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edláček\Documents\UZH\PMP\Macro_momentum\PMP_December_8\Data\"/>
    </mc:Choice>
  </mc:AlternateContent>
  <xr:revisionPtr revIDLastSave="0" documentId="13_ncr:1_{C4E49B10-201F-4B88-A8BA-8227609E44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URNS" sheetId="27" r:id="rId1"/>
    <sheet name="HEDGE RETURN" sheetId="39" r:id="rId2"/>
    <sheet name="SPOT" sheetId="30" r:id="rId3"/>
    <sheet name="CHFUSD Curncy" sheetId="19" r:id="rId4"/>
    <sheet name="EURUSD Curncy" sheetId="20" r:id="rId5"/>
    <sheet name="JPYUSD Curncy" sheetId="21" r:id="rId6"/>
    <sheet name="AUDUSD Curncy" sheetId="22" r:id="rId7"/>
    <sheet name="GBPUSD Curncy" sheetId="24" r:id="rId8"/>
    <sheet name="CNHUSD Curncy" sheetId="38" r:id="rId9"/>
  </sheets>
  <definedNames>
    <definedName name="SpreadsheetBuilder_1" hidden="1">#REF!</definedName>
    <definedName name="SpreadsheetBuilder_2" hidden="1">#REF!</definedName>
    <definedName name="SpreadsheetBuilder_3" localSheetId="1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'CNHUSD Curncy'!$A$1:$B$2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9" l="1"/>
  <c r="D3" i="39"/>
  <c r="E3" i="39"/>
  <c r="F3" i="39"/>
  <c r="B4" i="39"/>
  <c r="D4" i="39"/>
  <c r="E4" i="39"/>
  <c r="F4" i="39"/>
  <c r="B5" i="39"/>
  <c r="D5" i="39"/>
  <c r="E5" i="39"/>
  <c r="F5" i="39"/>
  <c r="B6" i="39"/>
  <c r="D6" i="39"/>
  <c r="E6" i="39"/>
  <c r="F6" i="39"/>
  <c r="B7" i="39"/>
  <c r="D7" i="39"/>
  <c r="E7" i="39"/>
  <c r="F7" i="39"/>
  <c r="B8" i="39"/>
  <c r="D8" i="39"/>
  <c r="E8" i="39"/>
  <c r="F8" i="39"/>
  <c r="B9" i="39"/>
  <c r="D9" i="39"/>
  <c r="E9" i="39"/>
  <c r="F9" i="39"/>
  <c r="B10" i="39"/>
  <c r="D10" i="39"/>
  <c r="E10" i="39"/>
  <c r="F10" i="39"/>
  <c r="B11" i="39"/>
  <c r="D11" i="39"/>
  <c r="E11" i="39"/>
  <c r="F11" i="39"/>
  <c r="B12" i="39"/>
  <c r="D12" i="39"/>
  <c r="E12" i="39"/>
  <c r="F12" i="39"/>
  <c r="B13" i="39"/>
  <c r="D13" i="39"/>
  <c r="E13" i="39"/>
  <c r="F13" i="39"/>
  <c r="B14" i="39"/>
  <c r="D14" i="39"/>
  <c r="E14" i="39"/>
  <c r="F14" i="39"/>
  <c r="B15" i="39"/>
  <c r="D15" i="39"/>
  <c r="E15" i="39"/>
  <c r="F15" i="39"/>
  <c r="B16" i="39"/>
  <c r="D16" i="39"/>
  <c r="E16" i="39"/>
  <c r="F16" i="39"/>
  <c r="B17" i="39"/>
  <c r="D17" i="39"/>
  <c r="E17" i="39"/>
  <c r="F17" i="39"/>
  <c r="B18" i="39"/>
  <c r="D18" i="39"/>
  <c r="E18" i="39"/>
  <c r="F18" i="39"/>
  <c r="B19" i="39"/>
  <c r="D19" i="39"/>
  <c r="E19" i="39"/>
  <c r="F19" i="39"/>
  <c r="B20" i="39"/>
  <c r="D20" i="39"/>
  <c r="E20" i="39"/>
  <c r="F20" i="39"/>
  <c r="B21" i="39"/>
  <c r="D21" i="39"/>
  <c r="E21" i="39"/>
  <c r="F21" i="39"/>
  <c r="B22" i="39"/>
  <c r="D22" i="39"/>
  <c r="E22" i="39"/>
  <c r="F22" i="39"/>
  <c r="B23" i="39"/>
  <c r="D23" i="39"/>
  <c r="E23" i="39"/>
  <c r="F23" i="39"/>
  <c r="B24" i="39"/>
  <c r="D24" i="39"/>
  <c r="E24" i="39"/>
  <c r="F24" i="39"/>
  <c r="B25" i="39"/>
  <c r="D25" i="39"/>
  <c r="E25" i="39"/>
  <c r="F25" i="39"/>
  <c r="B26" i="39"/>
  <c r="D26" i="39"/>
  <c r="E26" i="39"/>
  <c r="F26" i="39"/>
  <c r="B27" i="39"/>
  <c r="D27" i="39"/>
  <c r="E27" i="39"/>
  <c r="F27" i="39"/>
  <c r="B28" i="39"/>
  <c r="D28" i="39"/>
  <c r="E28" i="39"/>
  <c r="F28" i="39"/>
  <c r="B29" i="39"/>
  <c r="D29" i="39"/>
  <c r="E29" i="39"/>
  <c r="F29" i="39"/>
  <c r="B30" i="39"/>
  <c r="D30" i="39"/>
  <c r="E30" i="39"/>
  <c r="F30" i="39"/>
  <c r="B31" i="39"/>
  <c r="D31" i="39"/>
  <c r="E31" i="39"/>
  <c r="F31" i="39"/>
  <c r="B32" i="39"/>
  <c r="D32" i="39"/>
  <c r="E32" i="39"/>
  <c r="F32" i="39"/>
  <c r="B33" i="39"/>
  <c r="D33" i="39"/>
  <c r="E33" i="39"/>
  <c r="F33" i="39"/>
  <c r="B34" i="39"/>
  <c r="D34" i="39"/>
  <c r="E34" i="39"/>
  <c r="F34" i="39"/>
  <c r="B35" i="39"/>
  <c r="D35" i="39"/>
  <c r="E35" i="39"/>
  <c r="F35" i="39"/>
  <c r="B36" i="39"/>
  <c r="D36" i="39"/>
  <c r="E36" i="39"/>
  <c r="F36" i="39"/>
  <c r="B37" i="39"/>
  <c r="D37" i="39"/>
  <c r="E37" i="39"/>
  <c r="F37" i="39"/>
  <c r="B38" i="39"/>
  <c r="D38" i="39"/>
  <c r="E38" i="39"/>
  <c r="F38" i="39"/>
  <c r="B39" i="39"/>
  <c r="D39" i="39"/>
  <c r="E39" i="39"/>
  <c r="F39" i="39"/>
  <c r="B40" i="39"/>
  <c r="D40" i="39"/>
  <c r="E40" i="39"/>
  <c r="F40" i="39"/>
  <c r="B41" i="39"/>
  <c r="D41" i="39"/>
  <c r="E41" i="39"/>
  <c r="F41" i="39"/>
  <c r="B42" i="39"/>
  <c r="D42" i="39"/>
  <c r="E42" i="39"/>
  <c r="F42" i="39"/>
  <c r="B43" i="39"/>
  <c r="D43" i="39"/>
  <c r="E43" i="39"/>
  <c r="F43" i="39"/>
  <c r="B44" i="39"/>
  <c r="D44" i="39"/>
  <c r="E44" i="39"/>
  <c r="F44" i="39"/>
  <c r="B45" i="39"/>
  <c r="D45" i="39"/>
  <c r="E45" i="39"/>
  <c r="F45" i="39"/>
  <c r="B46" i="39"/>
  <c r="D46" i="39"/>
  <c r="E46" i="39"/>
  <c r="F46" i="39"/>
  <c r="B47" i="39"/>
  <c r="D47" i="39"/>
  <c r="E47" i="39"/>
  <c r="F47" i="39"/>
  <c r="B48" i="39"/>
  <c r="D48" i="39"/>
  <c r="E48" i="39"/>
  <c r="F48" i="39"/>
  <c r="B49" i="39"/>
  <c r="D49" i="39"/>
  <c r="E49" i="39"/>
  <c r="F49" i="39"/>
  <c r="B50" i="39"/>
  <c r="D50" i="39"/>
  <c r="E50" i="39"/>
  <c r="F50" i="39"/>
  <c r="B51" i="39"/>
  <c r="D51" i="39"/>
  <c r="E51" i="39"/>
  <c r="F51" i="39"/>
  <c r="B52" i="39"/>
  <c r="D52" i="39"/>
  <c r="E52" i="39"/>
  <c r="F52" i="39"/>
  <c r="B53" i="39"/>
  <c r="D53" i="39"/>
  <c r="E53" i="39"/>
  <c r="F53" i="39"/>
  <c r="B54" i="39"/>
  <c r="D54" i="39"/>
  <c r="E54" i="39"/>
  <c r="F54" i="39"/>
  <c r="B55" i="39"/>
  <c r="D55" i="39"/>
  <c r="E55" i="39"/>
  <c r="F55" i="39"/>
  <c r="B56" i="39"/>
  <c r="D56" i="39"/>
  <c r="E56" i="39"/>
  <c r="F56" i="39"/>
  <c r="B57" i="39"/>
  <c r="D57" i="39"/>
  <c r="E57" i="39"/>
  <c r="F57" i="39"/>
  <c r="B58" i="39"/>
  <c r="D58" i="39"/>
  <c r="E58" i="39"/>
  <c r="F58" i="39"/>
  <c r="B59" i="39"/>
  <c r="D59" i="39"/>
  <c r="E59" i="39"/>
  <c r="F59" i="39"/>
  <c r="B60" i="39"/>
  <c r="D60" i="39"/>
  <c r="E60" i="39"/>
  <c r="F60" i="39"/>
  <c r="B61" i="39"/>
  <c r="D61" i="39"/>
  <c r="E61" i="39"/>
  <c r="F61" i="39"/>
  <c r="B62" i="39"/>
  <c r="D62" i="39"/>
  <c r="E62" i="39"/>
  <c r="F62" i="39"/>
  <c r="B63" i="39"/>
  <c r="D63" i="39"/>
  <c r="E63" i="39"/>
  <c r="F63" i="39"/>
  <c r="B64" i="39"/>
  <c r="D64" i="39"/>
  <c r="E64" i="39"/>
  <c r="F64" i="39"/>
  <c r="B65" i="39"/>
  <c r="D65" i="39"/>
  <c r="E65" i="39"/>
  <c r="F65" i="39"/>
  <c r="B66" i="39"/>
  <c r="D66" i="39"/>
  <c r="E66" i="39"/>
  <c r="F66" i="39"/>
  <c r="B67" i="39"/>
  <c r="D67" i="39"/>
  <c r="E67" i="39"/>
  <c r="F67" i="39"/>
  <c r="B68" i="39"/>
  <c r="D68" i="39"/>
  <c r="E68" i="39"/>
  <c r="F68" i="39"/>
  <c r="B69" i="39"/>
  <c r="D69" i="39"/>
  <c r="E69" i="39"/>
  <c r="F69" i="39"/>
  <c r="B70" i="39"/>
  <c r="D70" i="39"/>
  <c r="E70" i="39"/>
  <c r="F70" i="39"/>
  <c r="B71" i="39"/>
  <c r="D71" i="39"/>
  <c r="E71" i="39"/>
  <c r="F71" i="39"/>
  <c r="B72" i="39"/>
  <c r="D72" i="39"/>
  <c r="E72" i="39"/>
  <c r="F72" i="39"/>
  <c r="B73" i="39"/>
  <c r="D73" i="39"/>
  <c r="E73" i="39"/>
  <c r="F73" i="39"/>
  <c r="B74" i="39"/>
  <c r="D74" i="39"/>
  <c r="E74" i="39"/>
  <c r="F74" i="39"/>
  <c r="B75" i="39"/>
  <c r="D75" i="39"/>
  <c r="E75" i="39"/>
  <c r="F75" i="39"/>
  <c r="B76" i="39"/>
  <c r="D76" i="39"/>
  <c r="E76" i="39"/>
  <c r="F76" i="39"/>
  <c r="B77" i="39"/>
  <c r="D77" i="39"/>
  <c r="E77" i="39"/>
  <c r="F77" i="39"/>
  <c r="B78" i="39"/>
  <c r="D78" i="39"/>
  <c r="E78" i="39"/>
  <c r="F78" i="39"/>
  <c r="B79" i="39"/>
  <c r="D79" i="39"/>
  <c r="E79" i="39"/>
  <c r="F79" i="39"/>
  <c r="B80" i="39"/>
  <c r="D80" i="39"/>
  <c r="E80" i="39"/>
  <c r="F80" i="39"/>
  <c r="B81" i="39"/>
  <c r="D81" i="39"/>
  <c r="E81" i="39"/>
  <c r="F81" i="39"/>
  <c r="B82" i="39"/>
  <c r="D82" i="39"/>
  <c r="E82" i="39"/>
  <c r="F82" i="39"/>
  <c r="B83" i="39"/>
  <c r="D83" i="39"/>
  <c r="E83" i="39"/>
  <c r="F83" i="39"/>
  <c r="B84" i="39"/>
  <c r="D84" i="39"/>
  <c r="E84" i="39"/>
  <c r="F84" i="39"/>
  <c r="B85" i="39"/>
  <c r="D85" i="39"/>
  <c r="E85" i="39"/>
  <c r="F85" i="39"/>
  <c r="B86" i="39"/>
  <c r="D86" i="39"/>
  <c r="E86" i="39"/>
  <c r="F86" i="39"/>
  <c r="B87" i="39"/>
  <c r="D87" i="39"/>
  <c r="E87" i="39"/>
  <c r="F87" i="39"/>
  <c r="B88" i="39"/>
  <c r="D88" i="39"/>
  <c r="E88" i="39"/>
  <c r="F88" i="39"/>
  <c r="B89" i="39"/>
  <c r="D89" i="39"/>
  <c r="E89" i="39"/>
  <c r="F89" i="39"/>
  <c r="B90" i="39"/>
  <c r="D90" i="39"/>
  <c r="E90" i="39"/>
  <c r="F90" i="39"/>
  <c r="B91" i="39"/>
  <c r="D91" i="39"/>
  <c r="E91" i="39"/>
  <c r="F91" i="39"/>
  <c r="B92" i="39"/>
  <c r="D92" i="39"/>
  <c r="E92" i="39"/>
  <c r="F92" i="39"/>
  <c r="B93" i="39"/>
  <c r="D93" i="39"/>
  <c r="E93" i="39"/>
  <c r="F93" i="39"/>
  <c r="B94" i="39"/>
  <c r="D94" i="39"/>
  <c r="E94" i="39"/>
  <c r="F94" i="39"/>
  <c r="B95" i="39"/>
  <c r="D95" i="39"/>
  <c r="E95" i="39"/>
  <c r="F95" i="39"/>
  <c r="B96" i="39"/>
  <c r="D96" i="39"/>
  <c r="E96" i="39"/>
  <c r="F96" i="39"/>
  <c r="B97" i="39"/>
  <c r="D97" i="39"/>
  <c r="E97" i="39"/>
  <c r="F97" i="39"/>
  <c r="B98" i="39"/>
  <c r="D98" i="39"/>
  <c r="E98" i="39"/>
  <c r="F98" i="39"/>
  <c r="B99" i="39"/>
  <c r="D99" i="39"/>
  <c r="E99" i="39"/>
  <c r="F99" i="39"/>
  <c r="B100" i="39"/>
  <c r="D100" i="39"/>
  <c r="E100" i="39"/>
  <c r="F100" i="39"/>
  <c r="B101" i="39"/>
  <c r="D101" i="39"/>
  <c r="E101" i="39"/>
  <c r="F101" i="39"/>
  <c r="B102" i="39"/>
  <c r="D102" i="39"/>
  <c r="E102" i="39"/>
  <c r="F102" i="39"/>
  <c r="B103" i="39"/>
  <c r="D103" i="39"/>
  <c r="E103" i="39"/>
  <c r="F103" i="39"/>
  <c r="B104" i="39"/>
  <c r="D104" i="39"/>
  <c r="E104" i="39"/>
  <c r="F104" i="39"/>
  <c r="B105" i="39"/>
  <c r="D105" i="39"/>
  <c r="E105" i="39"/>
  <c r="F105" i="39"/>
  <c r="B106" i="39"/>
  <c r="D106" i="39"/>
  <c r="E106" i="39"/>
  <c r="F106" i="39"/>
  <c r="B107" i="39"/>
  <c r="D107" i="39"/>
  <c r="E107" i="39"/>
  <c r="F107" i="39"/>
  <c r="B108" i="39"/>
  <c r="D108" i="39"/>
  <c r="E108" i="39"/>
  <c r="F108" i="39"/>
  <c r="B109" i="39"/>
  <c r="D109" i="39"/>
  <c r="E109" i="39"/>
  <c r="F109" i="39"/>
  <c r="B110" i="39"/>
  <c r="D110" i="39"/>
  <c r="E110" i="39"/>
  <c r="F110" i="39"/>
  <c r="B111" i="39"/>
  <c r="D111" i="39"/>
  <c r="E111" i="39"/>
  <c r="F111" i="39"/>
  <c r="B112" i="39"/>
  <c r="D112" i="39"/>
  <c r="E112" i="39"/>
  <c r="F112" i="39"/>
  <c r="B113" i="39"/>
  <c r="D113" i="39"/>
  <c r="E113" i="39"/>
  <c r="F113" i="39"/>
  <c r="B114" i="39"/>
  <c r="D114" i="39"/>
  <c r="E114" i="39"/>
  <c r="F114" i="39"/>
  <c r="B115" i="39"/>
  <c r="D115" i="39"/>
  <c r="E115" i="39"/>
  <c r="F115" i="39"/>
  <c r="B116" i="39"/>
  <c r="D116" i="39"/>
  <c r="E116" i="39"/>
  <c r="F116" i="39"/>
  <c r="B117" i="39"/>
  <c r="D117" i="39"/>
  <c r="E117" i="39"/>
  <c r="F117" i="39"/>
  <c r="B118" i="39"/>
  <c r="D118" i="39"/>
  <c r="E118" i="39"/>
  <c r="F118" i="39"/>
  <c r="B119" i="39"/>
  <c r="D119" i="39"/>
  <c r="E119" i="39"/>
  <c r="F119" i="39"/>
  <c r="B120" i="39"/>
  <c r="D120" i="39"/>
  <c r="E120" i="39"/>
  <c r="F120" i="39"/>
  <c r="B121" i="39"/>
  <c r="D121" i="39"/>
  <c r="E121" i="39"/>
  <c r="F121" i="39"/>
  <c r="B122" i="39"/>
  <c r="D122" i="39"/>
  <c r="E122" i="39"/>
  <c r="F122" i="39"/>
  <c r="B123" i="39"/>
  <c r="D123" i="39"/>
  <c r="E123" i="39"/>
  <c r="F123" i="39"/>
  <c r="B124" i="39"/>
  <c r="D124" i="39"/>
  <c r="E124" i="39"/>
  <c r="F124" i="39"/>
  <c r="B125" i="39"/>
  <c r="D125" i="39"/>
  <c r="E125" i="39"/>
  <c r="F125" i="39"/>
  <c r="B126" i="39"/>
  <c r="D126" i="39"/>
  <c r="E126" i="39"/>
  <c r="F126" i="39"/>
  <c r="B127" i="39"/>
  <c r="D127" i="39"/>
  <c r="E127" i="39"/>
  <c r="F127" i="39"/>
  <c r="B128" i="39"/>
  <c r="D128" i="39"/>
  <c r="E128" i="39"/>
  <c r="F128" i="39"/>
  <c r="B129" i="39"/>
  <c r="D129" i="39"/>
  <c r="E129" i="39"/>
  <c r="F129" i="39"/>
  <c r="B130" i="39"/>
  <c r="D130" i="39"/>
  <c r="E130" i="39"/>
  <c r="F130" i="39"/>
  <c r="B131" i="39"/>
  <c r="D131" i="39"/>
  <c r="E131" i="39"/>
  <c r="F131" i="39"/>
  <c r="B132" i="39"/>
  <c r="D132" i="39"/>
  <c r="E132" i="39"/>
  <c r="F132" i="39"/>
  <c r="B133" i="39"/>
  <c r="D133" i="39"/>
  <c r="E133" i="39"/>
  <c r="F133" i="39"/>
  <c r="B134" i="39"/>
  <c r="D134" i="39"/>
  <c r="E134" i="39"/>
  <c r="F134" i="39"/>
  <c r="B135" i="39"/>
  <c r="C135" i="39"/>
  <c r="D135" i="39"/>
  <c r="E135" i="39"/>
  <c r="F135" i="39"/>
  <c r="B136" i="39"/>
  <c r="C136" i="39"/>
  <c r="D136" i="39"/>
  <c r="E136" i="39"/>
  <c r="F136" i="39"/>
  <c r="B137" i="39"/>
  <c r="C137" i="39"/>
  <c r="D137" i="39"/>
  <c r="E137" i="39"/>
  <c r="F137" i="39"/>
  <c r="B138" i="39"/>
  <c r="C138" i="39"/>
  <c r="D138" i="39"/>
  <c r="E138" i="39"/>
  <c r="F138" i="39"/>
  <c r="B139" i="39"/>
  <c r="C139" i="39"/>
  <c r="D139" i="39"/>
  <c r="E139" i="39"/>
  <c r="F139" i="39"/>
  <c r="B140" i="39"/>
  <c r="C140" i="39"/>
  <c r="D140" i="39"/>
  <c r="E140" i="39"/>
  <c r="F140" i="39"/>
  <c r="B141" i="39"/>
  <c r="C141" i="39"/>
  <c r="D141" i="39"/>
  <c r="E141" i="39"/>
  <c r="F141" i="39"/>
  <c r="B142" i="39"/>
  <c r="C142" i="39"/>
  <c r="D142" i="39"/>
  <c r="E142" i="39"/>
  <c r="F142" i="39"/>
  <c r="B143" i="39"/>
  <c r="C143" i="39"/>
  <c r="D143" i="39"/>
  <c r="E143" i="39"/>
  <c r="F143" i="39"/>
  <c r="B144" i="39"/>
  <c r="C144" i="39"/>
  <c r="D144" i="39"/>
  <c r="E144" i="39"/>
  <c r="F144" i="39"/>
  <c r="B145" i="39"/>
  <c r="C145" i="39"/>
  <c r="D145" i="39"/>
  <c r="E145" i="39"/>
  <c r="F145" i="39"/>
  <c r="B146" i="39"/>
  <c r="C146" i="39"/>
  <c r="D146" i="39"/>
  <c r="E146" i="39"/>
  <c r="F146" i="39"/>
  <c r="B147" i="39"/>
  <c r="C147" i="39"/>
  <c r="D147" i="39"/>
  <c r="E147" i="39"/>
  <c r="F147" i="39"/>
  <c r="B148" i="39"/>
  <c r="C148" i="39"/>
  <c r="D148" i="39"/>
  <c r="E148" i="39"/>
  <c r="F148" i="39"/>
  <c r="B149" i="39"/>
  <c r="C149" i="39"/>
  <c r="D149" i="39"/>
  <c r="E149" i="39"/>
  <c r="F149" i="39"/>
  <c r="B150" i="39"/>
  <c r="C150" i="39"/>
  <c r="D150" i="39"/>
  <c r="E150" i="39"/>
  <c r="F150" i="39"/>
  <c r="B151" i="39"/>
  <c r="C151" i="39"/>
  <c r="D151" i="39"/>
  <c r="E151" i="39"/>
  <c r="F151" i="39"/>
  <c r="B152" i="39"/>
  <c r="C152" i="39"/>
  <c r="D152" i="39"/>
  <c r="E152" i="39"/>
  <c r="F152" i="39"/>
  <c r="B153" i="39"/>
  <c r="C153" i="39"/>
  <c r="D153" i="39"/>
  <c r="E153" i="39"/>
  <c r="F153" i="39"/>
  <c r="B154" i="39"/>
  <c r="C154" i="39"/>
  <c r="D154" i="39"/>
  <c r="E154" i="39"/>
  <c r="F154" i="39"/>
  <c r="B155" i="39"/>
  <c r="C155" i="39"/>
  <c r="D155" i="39"/>
  <c r="E155" i="39"/>
  <c r="F155" i="39"/>
  <c r="B156" i="39"/>
  <c r="C156" i="39"/>
  <c r="D156" i="39"/>
  <c r="E156" i="39"/>
  <c r="F156" i="39"/>
  <c r="B157" i="39"/>
  <c r="C157" i="39"/>
  <c r="D157" i="39"/>
  <c r="E157" i="39"/>
  <c r="F157" i="39"/>
  <c r="B158" i="39"/>
  <c r="C158" i="39"/>
  <c r="D158" i="39"/>
  <c r="E158" i="39"/>
  <c r="F158" i="39"/>
  <c r="B159" i="39"/>
  <c r="C159" i="39"/>
  <c r="D159" i="39"/>
  <c r="E159" i="39"/>
  <c r="F159" i="39"/>
  <c r="B160" i="39"/>
  <c r="C160" i="39"/>
  <c r="D160" i="39"/>
  <c r="E160" i="39"/>
  <c r="F160" i="39"/>
  <c r="B161" i="39"/>
  <c r="C161" i="39"/>
  <c r="D161" i="39"/>
  <c r="E161" i="39"/>
  <c r="F161" i="39"/>
  <c r="B162" i="39"/>
  <c r="C162" i="39"/>
  <c r="D162" i="39"/>
  <c r="E162" i="39"/>
  <c r="F162" i="39"/>
  <c r="B163" i="39"/>
  <c r="C163" i="39"/>
  <c r="D163" i="39"/>
  <c r="E163" i="39"/>
  <c r="F163" i="39"/>
  <c r="B164" i="39"/>
  <c r="C164" i="39"/>
  <c r="D164" i="39"/>
  <c r="E164" i="39"/>
  <c r="F164" i="39"/>
  <c r="B165" i="39"/>
  <c r="C165" i="39"/>
  <c r="D165" i="39"/>
  <c r="E165" i="39"/>
  <c r="F165" i="39"/>
  <c r="B166" i="39"/>
  <c r="C166" i="39"/>
  <c r="D166" i="39"/>
  <c r="E166" i="39"/>
  <c r="F166" i="39"/>
  <c r="B167" i="39"/>
  <c r="C167" i="39"/>
  <c r="D167" i="39"/>
  <c r="E167" i="39"/>
  <c r="F167" i="39"/>
  <c r="B168" i="39"/>
  <c r="C168" i="39"/>
  <c r="D168" i="39"/>
  <c r="E168" i="39"/>
  <c r="F168" i="39"/>
  <c r="B169" i="39"/>
  <c r="C169" i="39"/>
  <c r="D169" i="39"/>
  <c r="E169" i="39"/>
  <c r="F169" i="39"/>
  <c r="B170" i="39"/>
  <c r="C170" i="39"/>
  <c r="D170" i="39"/>
  <c r="E170" i="39"/>
  <c r="F170" i="39"/>
  <c r="B171" i="39"/>
  <c r="C171" i="39"/>
  <c r="D171" i="39"/>
  <c r="E171" i="39"/>
  <c r="F171" i="39"/>
  <c r="B172" i="39"/>
  <c r="C172" i="39"/>
  <c r="D172" i="39"/>
  <c r="E172" i="39"/>
  <c r="F172" i="39"/>
  <c r="B173" i="39"/>
  <c r="C173" i="39"/>
  <c r="D173" i="39"/>
  <c r="E173" i="39"/>
  <c r="F173" i="39"/>
  <c r="B174" i="39"/>
  <c r="C174" i="39"/>
  <c r="D174" i="39"/>
  <c r="E174" i="39"/>
  <c r="F174" i="39"/>
  <c r="B175" i="39"/>
  <c r="C175" i="39"/>
  <c r="D175" i="39"/>
  <c r="E175" i="39"/>
  <c r="F175" i="39"/>
  <c r="B176" i="39"/>
  <c r="C176" i="39"/>
  <c r="D176" i="39"/>
  <c r="E176" i="39"/>
  <c r="F176" i="39"/>
  <c r="B177" i="39"/>
  <c r="C177" i="39"/>
  <c r="D177" i="39"/>
  <c r="E177" i="39"/>
  <c r="F177" i="39"/>
  <c r="B178" i="39"/>
  <c r="C178" i="39"/>
  <c r="D178" i="39"/>
  <c r="E178" i="39"/>
  <c r="F178" i="39"/>
  <c r="B179" i="39"/>
  <c r="C179" i="39"/>
  <c r="D179" i="39"/>
  <c r="E179" i="39"/>
  <c r="F179" i="39"/>
  <c r="B180" i="39"/>
  <c r="C180" i="39"/>
  <c r="D180" i="39"/>
  <c r="E180" i="39"/>
  <c r="F180" i="39"/>
  <c r="B181" i="39"/>
  <c r="C181" i="39"/>
  <c r="D181" i="39"/>
  <c r="E181" i="39"/>
  <c r="F181" i="39"/>
  <c r="B182" i="39"/>
  <c r="C182" i="39"/>
  <c r="D182" i="39"/>
  <c r="E182" i="39"/>
  <c r="F182" i="39"/>
  <c r="B183" i="39"/>
  <c r="C183" i="39"/>
  <c r="D183" i="39"/>
  <c r="E183" i="39"/>
  <c r="F183" i="39"/>
  <c r="B184" i="39"/>
  <c r="C184" i="39"/>
  <c r="D184" i="39"/>
  <c r="E184" i="39"/>
  <c r="F184" i="39"/>
  <c r="B185" i="39"/>
  <c r="C185" i="39"/>
  <c r="D185" i="39"/>
  <c r="E185" i="39"/>
  <c r="F185" i="39"/>
  <c r="B186" i="39"/>
  <c r="C186" i="39"/>
  <c r="D186" i="39"/>
  <c r="E186" i="39"/>
  <c r="F186" i="39"/>
  <c r="B187" i="39"/>
  <c r="C187" i="39"/>
  <c r="D187" i="39"/>
  <c r="E187" i="39"/>
  <c r="F187" i="39"/>
  <c r="B188" i="39"/>
  <c r="C188" i="39"/>
  <c r="D188" i="39"/>
  <c r="E188" i="39"/>
  <c r="F188" i="39"/>
  <c r="B189" i="39"/>
  <c r="C189" i="39"/>
  <c r="D189" i="39"/>
  <c r="E189" i="39"/>
  <c r="F189" i="39"/>
  <c r="B190" i="39"/>
  <c r="C190" i="39"/>
  <c r="D190" i="39"/>
  <c r="E190" i="39"/>
  <c r="F190" i="39"/>
  <c r="B191" i="39"/>
  <c r="C191" i="39"/>
  <c r="D191" i="39"/>
  <c r="E191" i="39"/>
  <c r="F191" i="39"/>
  <c r="B192" i="39"/>
  <c r="C192" i="39"/>
  <c r="D192" i="39"/>
  <c r="E192" i="39"/>
  <c r="F192" i="39"/>
  <c r="B193" i="39"/>
  <c r="C193" i="39"/>
  <c r="D193" i="39"/>
  <c r="E193" i="39"/>
  <c r="F193" i="39"/>
  <c r="B194" i="39"/>
  <c r="C194" i="39"/>
  <c r="D194" i="39"/>
  <c r="E194" i="39"/>
  <c r="F194" i="39"/>
  <c r="B195" i="39"/>
  <c r="C195" i="39"/>
  <c r="D195" i="39"/>
  <c r="E195" i="39"/>
  <c r="F195" i="39"/>
  <c r="B196" i="39"/>
  <c r="C196" i="39"/>
  <c r="D196" i="39"/>
  <c r="E196" i="39"/>
  <c r="F196" i="39"/>
  <c r="B197" i="39"/>
  <c r="C197" i="39"/>
  <c r="D197" i="39"/>
  <c r="E197" i="39"/>
  <c r="F197" i="39"/>
  <c r="B198" i="39"/>
  <c r="C198" i="39"/>
  <c r="D198" i="39"/>
  <c r="E198" i="39"/>
  <c r="F198" i="39"/>
  <c r="B199" i="39"/>
  <c r="C199" i="39"/>
  <c r="D199" i="39"/>
  <c r="E199" i="39"/>
  <c r="F199" i="39"/>
  <c r="B200" i="39"/>
  <c r="C200" i="39"/>
  <c r="D200" i="39"/>
  <c r="E200" i="39"/>
  <c r="F200" i="39"/>
  <c r="B201" i="39"/>
  <c r="C201" i="39"/>
  <c r="D201" i="39"/>
  <c r="E201" i="39"/>
  <c r="F201" i="39"/>
  <c r="B202" i="39"/>
  <c r="C202" i="39"/>
  <c r="D202" i="39"/>
  <c r="E202" i="39"/>
  <c r="F202" i="39"/>
  <c r="B203" i="39"/>
  <c r="C203" i="39"/>
  <c r="D203" i="39"/>
  <c r="E203" i="39"/>
  <c r="F203" i="39"/>
  <c r="B204" i="39"/>
  <c r="C204" i="39"/>
  <c r="D204" i="39"/>
  <c r="E204" i="39"/>
  <c r="F204" i="39"/>
  <c r="B205" i="39"/>
  <c r="C205" i="39"/>
  <c r="D205" i="39"/>
  <c r="E205" i="39"/>
  <c r="F205" i="39"/>
  <c r="B206" i="39"/>
  <c r="C206" i="39"/>
  <c r="D206" i="39"/>
  <c r="E206" i="39"/>
  <c r="F206" i="39"/>
  <c r="B207" i="39"/>
  <c r="C207" i="39"/>
  <c r="D207" i="39"/>
  <c r="E207" i="39"/>
  <c r="F207" i="39"/>
  <c r="B208" i="39"/>
  <c r="C208" i="39"/>
  <c r="D208" i="39"/>
  <c r="E208" i="39"/>
  <c r="F208" i="39"/>
  <c r="B209" i="39"/>
  <c r="C209" i="39"/>
  <c r="D209" i="39"/>
  <c r="E209" i="39"/>
  <c r="F209" i="39"/>
  <c r="B210" i="39"/>
  <c r="C210" i="39"/>
  <c r="D210" i="39"/>
  <c r="E210" i="39"/>
  <c r="F210" i="39"/>
  <c r="B211" i="39"/>
  <c r="C211" i="39"/>
  <c r="D211" i="39"/>
  <c r="E211" i="39"/>
  <c r="F211" i="39"/>
  <c r="B212" i="39"/>
  <c r="C212" i="39"/>
  <c r="D212" i="39"/>
  <c r="E212" i="39"/>
  <c r="F212" i="39"/>
  <c r="B213" i="39"/>
  <c r="C213" i="39"/>
  <c r="D213" i="39"/>
  <c r="E213" i="39"/>
  <c r="F213" i="39"/>
  <c r="B214" i="39"/>
  <c r="C214" i="39"/>
  <c r="D214" i="39"/>
  <c r="E214" i="39"/>
  <c r="F214" i="39"/>
  <c r="B215" i="39"/>
  <c r="C215" i="39"/>
  <c r="D215" i="39"/>
  <c r="E215" i="39"/>
  <c r="F215" i="39"/>
  <c r="B216" i="39"/>
  <c r="C216" i="39"/>
  <c r="D216" i="39"/>
  <c r="E216" i="39"/>
  <c r="F216" i="39"/>
  <c r="B217" i="39"/>
  <c r="C217" i="39"/>
  <c r="D217" i="39"/>
  <c r="E217" i="39"/>
  <c r="F217" i="39"/>
  <c r="B218" i="39"/>
  <c r="C218" i="39"/>
  <c r="D218" i="39"/>
  <c r="E218" i="39"/>
  <c r="F218" i="39"/>
  <c r="B219" i="39"/>
  <c r="C219" i="39"/>
  <c r="D219" i="39"/>
  <c r="E219" i="39"/>
  <c r="F219" i="39"/>
  <c r="B220" i="39"/>
  <c r="C220" i="39"/>
  <c r="D220" i="39"/>
  <c r="E220" i="39"/>
  <c r="F220" i="39"/>
  <c r="B221" i="39"/>
  <c r="C221" i="39"/>
  <c r="D221" i="39"/>
  <c r="E221" i="39"/>
  <c r="F221" i="39"/>
  <c r="B222" i="39"/>
  <c r="C222" i="39"/>
  <c r="D222" i="39"/>
  <c r="E222" i="39"/>
  <c r="F222" i="39"/>
  <c r="B223" i="39"/>
  <c r="C223" i="39"/>
  <c r="D223" i="39"/>
  <c r="E223" i="39"/>
  <c r="F223" i="39"/>
  <c r="B224" i="39"/>
  <c r="C224" i="39"/>
  <c r="D224" i="39"/>
  <c r="E224" i="39"/>
  <c r="F224" i="39"/>
  <c r="B225" i="39"/>
  <c r="C225" i="39"/>
  <c r="D225" i="39"/>
  <c r="E225" i="39"/>
  <c r="F225" i="39"/>
  <c r="B226" i="39"/>
  <c r="C226" i="39"/>
  <c r="D226" i="39"/>
  <c r="E226" i="39"/>
  <c r="F226" i="39"/>
  <c r="B227" i="39"/>
  <c r="C227" i="39"/>
  <c r="D227" i="39"/>
  <c r="E227" i="39"/>
  <c r="F227" i="39"/>
  <c r="B228" i="39"/>
  <c r="C228" i="39"/>
  <c r="D228" i="39"/>
  <c r="E228" i="39"/>
  <c r="F228" i="39"/>
  <c r="B229" i="39"/>
  <c r="C229" i="39"/>
  <c r="D229" i="39"/>
  <c r="E229" i="39"/>
  <c r="F229" i="39"/>
  <c r="B230" i="39"/>
  <c r="C230" i="39"/>
  <c r="D230" i="39"/>
  <c r="E230" i="39"/>
  <c r="F230" i="39"/>
  <c r="B231" i="39"/>
  <c r="C231" i="39"/>
  <c r="D231" i="39"/>
  <c r="E231" i="39"/>
  <c r="F231" i="39"/>
  <c r="B232" i="39"/>
  <c r="C232" i="39"/>
  <c r="D232" i="39"/>
  <c r="E232" i="39"/>
  <c r="F232" i="39"/>
  <c r="B233" i="39"/>
  <c r="C233" i="39"/>
  <c r="D233" i="39"/>
  <c r="E233" i="39"/>
  <c r="F233" i="39"/>
  <c r="B234" i="39"/>
  <c r="C234" i="39"/>
  <c r="D234" i="39"/>
  <c r="E234" i="39"/>
  <c r="F234" i="39"/>
  <c r="B235" i="39"/>
  <c r="C235" i="39"/>
  <c r="D235" i="39"/>
  <c r="E235" i="39"/>
  <c r="F235" i="39"/>
  <c r="B236" i="39"/>
  <c r="C236" i="39"/>
  <c r="D236" i="39"/>
  <c r="E236" i="39"/>
  <c r="F236" i="39"/>
  <c r="B237" i="39"/>
  <c r="C237" i="39"/>
  <c r="D237" i="39"/>
  <c r="E237" i="39"/>
  <c r="F237" i="39"/>
  <c r="B238" i="39"/>
  <c r="C238" i="39"/>
  <c r="D238" i="39"/>
  <c r="E238" i="39"/>
  <c r="F238" i="39"/>
  <c r="B239" i="39"/>
  <c r="C239" i="39"/>
  <c r="D239" i="39"/>
  <c r="E239" i="39"/>
  <c r="F239" i="39"/>
  <c r="B240" i="39"/>
  <c r="C240" i="39"/>
  <c r="D240" i="39"/>
  <c r="E240" i="39"/>
  <c r="F240" i="39"/>
  <c r="B241" i="39"/>
  <c r="C241" i="39"/>
  <c r="D241" i="39"/>
  <c r="E241" i="39"/>
  <c r="F241" i="39"/>
  <c r="B242" i="39"/>
  <c r="C242" i="39"/>
  <c r="D242" i="39"/>
  <c r="E242" i="39"/>
  <c r="F242" i="39"/>
  <c r="B243" i="39"/>
  <c r="C243" i="39"/>
  <c r="D243" i="39"/>
  <c r="E243" i="39"/>
  <c r="F243" i="39"/>
  <c r="B244" i="39"/>
  <c r="C244" i="39"/>
  <c r="D244" i="39"/>
  <c r="E244" i="39"/>
  <c r="F244" i="39"/>
  <c r="B245" i="39"/>
  <c r="C245" i="39"/>
  <c r="D245" i="39"/>
  <c r="E245" i="39"/>
  <c r="F245" i="39"/>
  <c r="B246" i="39"/>
  <c r="C246" i="39"/>
  <c r="D246" i="39"/>
  <c r="E246" i="39"/>
  <c r="F246" i="39"/>
  <c r="B247" i="39"/>
  <c r="C247" i="39"/>
  <c r="D247" i="39"/>
  <c r="E247" i="39"/>
  <c r="F247" i="39"/>
  <c r="B248" i="39"/>
  <c r="C248" i="39"/>
  <c r="D248" i="39"/>
  <c r="E248" i="39"/>
  <c r="F248" i="39"/>
  <c r="B249" i="39"/>
  <c r="C249" i="39"/>
  <c r="D249" i="39"/>
  <c r="E249" i="39"/>
  <c r="F249" i="39"/>
  <c r="B250" i="39"/>
  <c r="C250" i="39"/>
  <c r="D250" i="39"/>
  <c r="E250" i="39"/>
  <c r="F250" i="39"/>
  <c r="B251" i="39"/>
  <c r="C251" i="39"/>
  <c r="D251" i="39"/>
  <c r="E251" i="39"/>
  <c r="F251" i="39"/>
  <c r="B252" i="39"/>
  <c r="C252" i="39"/>
  <c r="D252" i="39"/>
  <c r="E252" i="39"/>
  <c r="F252" i="39"/>
  <c r="B253" i="39"/>
  <c r="C253" i="39"/>
  <c r="D253" i="39"/>
  <c r="E253" i="39"/>
  <c r="F253" i="39"/>
  <c r="B254" i="39"/>
  <c r="C254" i="39"/>
  <c r="D254" i="39"/>
  <c r="E254" i="39"/>
  <c r="F254" i="39"/>
  <c r="B255" i="39"/>
  <c r="C255" i="39"/>
  <c r="D255" i="39"/>
  <c r="E255" i="39"/>
  <c r="F255" i="39"/>
  <c r="B256" i="39"/>
  <c r="C256" i="39"/>
  <c r="D256" i="39"/>
  <c r="E256" i="39"/>
  <c r="F256" i="39"/>
  <c r="B257" i="39"/>
  <c r="C257" i="39"/>
  <c r="D257" i="39"/>
  <c r="E257" i="39"/>
  <c r="F257" i="39"/>
  <c r="B258" i="39"/>
  <c r="C258" i="39"/>
  <c r="D258" i="39"/>
  <c r="E258" i="39"/>
  <c r="F258" i="39"/>
  <c r="B259" i="39"/>
  <c r="C259" i="39"/>
  <c r="D259" i="39"/>
  <c r="E259" i="39"/>
  <c r="F259" i="39"/>
  <c r="B260" i="39"/>
  <c r="C260" i="39"/>
  <c r="D260" i="39"/>
  <c r="E260" i="39"/>
  <c r="F260" i="39"/>
  <c r="B261" i="39"/>
  <c r="C261" i="39"/>
  <c r="D261" i="39"/>
  <c r="E261" i="39"/>
  <c r="F261" i="39"/>
  <c r="B262" i="39"/>
  <c r="C262" i="39"/>
  <c r="D262" i="39"/>
  <c r="E262" i="39"/>
  <c r="F262" i="39"/>
  <c r="G262" i="39"/>
  <c r="B263" i="39"/>
  <c r="C263" i="39"/>
  <c r="D263" i="39"/>
  <c r="E263" i="39"/>
  <c r="F263" i="39"/>
  <c r="G263" i="39"/>
  <c r="B264" i="39"/>
  <c r="C264" i="39"/>
  <c r="D264" i="39"/>
  <c r="E264" i="39"/>
  <c r="F264" i="39"/>
  <c r="G264" i="39"/>
  <c r="B265" i="39"/>
  <c r="C265" i="39"/>
  <c r="D265" i="39"/>
  <c r="E265" i="39"/>
  <c r="F265" i="39"/>
  <c r="G265" i="39"/>
  <c r="B266" i="39"/>
  <c r="C266" i="39"/>
  <c r="D266" i="39"/>
  <c r="E266" i="39"/>
  <c r="F266" i="39"/>
  <c r="G266" i="39"/>
  <c r="B267" i="39"/>
  <c r="C267" i="39"/>
  <c r="D267" i="39"/>
  <c r="E267" i="39"/>
  <c r="F267" i="39"/>
  <c r="G267" i="39"/>
  <c r="B268" i="39"/>
  <c r="C268" i="39"/>
  <c r="D268" i="39"/>
  <c r="E268" i="39"/>
  <c r="F268" i="39"/>
  <c r="G268" i="39"/>
  <c r="B269" i="39"/>
  <c r="C269" i="39"/>
  <c r="D269" i="39"/>
  <c r="E269" i="39"/>
  <c r="F269" i="39"/>
  <c r="G269" i="39"/>
  <c r="B270" i="39"/>
  <c r="C270" i="39"/>
  <c r="D270" i="39"/>
  <c r="E270" i="39"/>
  <c r="F270" i="39"/>
  <c r="G270" i="39"/>
  <c r="B271" i="39"/>
  <c r="C271" i="39"/>
  <c r="D271" i="39"/>
  <c r="E271" i="39"/>
  <c r="F271" i="39"/>
  <c r="G271" i="39"/>
  <c r="B272" i="39"/>
  <c r="C272" i="39"/>
  <c r="D272" i="39"/>
  <c r="E272" i="39"/>
  <c r="F272" i="39"/>
  <c r="G272" i="39"/>
  <c r="B273" i="39"/>
  <c r="C273" i="39"/>
  <c r="D273" i="39"/>
  <c r="E273" i="39"/>
  <c r="F273" i="39"/>
  <c r="G273" i="39"/>
  <c r="B274" i="39"/>
  <c r="C274" i="39"/>
  <c r="D274" i="39"/>
  <c r="E274" i="39"/>
  <c r="F274" i="39"/>
  <c r="G274" i="39"/>
  <c r="B275" i="39"/>
  <c r="C275" i="39"/>
  <c r="D275" i="39"/>
  <c r="E275" i="39"/>
  <c r="F275" i="39"/>
  <c r="G275" i="39"/>
  <c r="B276" i="39"/>
  <c r="C276" i="39"/>
  <c r="D276" i="39"/>
  <c r="E276" i="39"/>
  <c r="F276" i="39"/>
  <c r="G276" i="39"/>
  <c r="B277" i="39"/>
  <c r="C277" i="39"/>
  <c r="D277" i="39"/>
  <c r="E277" i="39"/>
  <c r="F277" i="39"/>
  <c r="G277" i="39"/>
  <c r="B278" i="39"/>
  <c r="C278" i="39"/>
  <c r="D278" i="39"/>
  <c r="E278" i="39"/>
  <c r="F278" i="39"/>
  <c r="G278" i="39"/>
  <c r="B279" i="39"/>
  <c r="C279" i="39"/>
  <c r="D279" i="39"/>
  <c r="E279" i="39"/>
  <c r="F279" i="39"/>
  <c r="G279" i="39"/>
  <c r="B280" i="39"/>
  <c r="C280" i="39"/>
  <c r="D280" i="39"/>
  <c r="E280" i="39"/>
  <c r="F280" i="39"/>
  <c r="G280" i="39"/>
  <c r="B281" i="39"/>
  <c r="C281" i="39"/>
  <c r="D281" i="39"/>
  <c r="E281" i="39"/>
  <c r="F281" i="39"/>
  <c r="G281" i="39"/>
  <c r="B282" i="39"/>
  <c r="C282" i="39"/>
  <c r="D282" i="39"/>
  <c r="E282" i="39"/>
  <c r="F282" i="39"/>
  <c r="G282" i="39"/>
  <c r="B283" i="39"/>
  <c r="C283" i="39"/>
  <c r="D283" i="39"/>
  <c r="E283" i="39"/>
  <c r="F283" i="39"/>
  <c r="G283" i="39"/>
  <c r="B284" i="39"/>
  <c r="C284" i="39"/>
  <c r="D284" i="39"/>
  <c r="E284" i="39"/>
  <c r="F284" i="39"/>
  <c r="G284" i="39"/>
  <c r="B285" i="39"/>
  <c r="C285" i="39"/>
  <c r="D285" i="39"/>
  <c r="E285" i="39"/>
  <c r="F285" i="39"/>
  <c r="G285" i="39"/>
  <c r="B286" i="39"/>
  <c r="C286" i="39"/>
  <c r="D286" i="39"/>
  <c r="E286" i="39"/>
  <c r="F286" i="39"/>
  <c r="G286" i="39"/>
  <c r="B287" i="39"/>
  <c r="C287" i="39"/>
  <c r="D287" i="39"/>
  <c r="E287" i="39"/>
  <c r="F287" i="39"/>
  <c r="G287" i="39"/>
  <c r="B288" i="39"/>
  <c r="C288" i="39"/>
  <c r="D288" i="39"/>
  <c r="E288" i="39"/>
  <c r="F288" i="39"/>
  <c r="G288" i="39"/>
  <c r="B289" i="39"/>
  <c r="C289" i="39"/>
  <c r="D289" i="39"/>
  <c r="E289" i="39"/>
  <c r="F289" i="39"/>
  <c r="G289" i="39"/>
  <c r="B290" i="39"/>
  <c r="C290" i="39"/>
  <c r="D290" i="39"/>
  <c r="E290" i="39"/>
  <c r="F290" i="39"/>
  <c r="G290" i="39"/>
  <c r="B291" i="39"/>
  <c r="C291" i="39"/>
  <c r="D291" i="39"/>
  <c r="E291" i="39"/>
  <c r="F291" i="39"/>
  <c r="G291" i="39"/>
  <c r="B292" i="39"/>
  <c r="C292" i="39"/>
  <c r="D292" i="39"/>
  <c r="E292" i="39"/>
  <c r="F292" i="39"/>
  <c r="G292" i="39"/>
  <c r="B293" i="39"/>
  <c r="C293" i="39"/>
  <c r="D293" i="39"/>
  <c r="E293" i="39"/>
  <c r="F293" i="39"/>
  <c r="G293" i="39"/>
  <c r="B294" i="39"/>
  <c r="C294" i="39"/>
  <c r="D294" i="39"/>
  <c r="E294" i="39"/>
  <c r="F294" i="39"/>
  <c r="G294" i="39"/>
  <c r="B295" i="39"/>
  <c r="C295" i="39"/>
  <c r="D295" i="39"/>
  <c r="E295" i="39"/>
  <c r="F295" i="39"/>
  <c r="G295" i="39"/>
  <c r="B296" i="39"/>
  <c r="C296" i="39"/>
  <c r="D296" i="39"/>
  <c r="E296" i="39"/>
  <c r="F296" i="39"/>
  <c r="G296" i="39"/>
  <c r="B297" i="39"/>
  <c r="C297" i="39"/>
  <c r="D297" i="39"/>
  <c r="E297" i="39"/>
  <c r="F297" i="39"/>
  <c r="G297" i="39"/>
  <c r="B298" i="39"/>
  <c r="C298" i="39"/>
  <c r="D298" i="39"/>
  <c r="E298" i="39"/>
  <c r="F298" i="39"/>
  <c r="G298" i="39"/>
  <c r="B299" i="39"/>
  <c r="C299" i="39"/>
  <c r="D299" i="39"/>
  <c r="E299" i="39"/>
  <c r="F299" i="39"/>
  <c r="G299" i="39"/>
  <c r="B300" i="39"/>
  <c r="C300" i="39"/>
  <c r="D300" i="39"/>
  <c r="E300" i="39"/>
  <c r="F300" i="39"/>
  <c r="G300" i="39"/>
  <c r="B301" i="39"/>
  <c r="C301" i="39"/>
  <c r="D301" i="39"/>
  <c r="E301" i="39"/>
  <c r="F301" i="39"/>
  <c r="G301" i="39"/>
  <c r="B302" i="39"/>
  <c r="C302" i="39"/>
  <c r="D302" i="39"/>
  <c r="E302" i="39"/>
  <c r="F302" i="39"/>
  <c r="G302" i="39"/>
  <c r="B303" i="39"/>
  <c r="C303" i="39"/>
  <c r="D303" i="39"/>
  <c r="E303" i="39"/>
  <c r="F303" i="39"/>
  <c r="G303" i="39"/>
  <c r="B304" i="39"/>
  <c r="C304" i="39"/>
  <c r="D304" i="39"/>
  <c r="E304" i="39"/>
  <c r="F304" i="39"/>
  <c r="G304" i="39"/>
  <c r="B305" i="39"/>
  <c r="C305" i="39"/>
  <c r="D305" i="39"/>
  <c r="E305" i="39"/>
  <c r="F305" i="39"/>
  <c r="G305" i="39"/>
  <c r="B306" i="39"/>
  <c r="C306" i="39"/>
  <c r="D306" i="39"/>
  <c r="E306" i="39"/>
  <c r="F306" i="39"/>
  <c r="G306" i="39"/>
  <c r="B307" i="39"/>
  <c r="C307" i="39"/>
  <c r="D307" i="39"/>
  <c r="E307" i="39"/>
  <c r="F307" i="39"/>
  <c r="G307" i="39"/>
  <c r="B308" i="39"/>
  <c r="C308" i="39"/>
  <c r="D308" i="39"/>
  <c r="E308" i="39"/>
  <c r="F308" i="39"/>
  <c r="G308" i="39"/>
  <c r="B309" i="39"/>
  <c r="C309" i="39"/>
  <c r="D309" i="39"/>
  <c r="E309" i="39"/>
  <c r="F309" i="39"/>
  <c r="G309" i="39"/>
  <c r="B310" i="39"/>
  <c r="C310" i="39"/>
  <c r="D310" i="39"/>
  <c r="E310" i="39"/>
  <c r="F310" i="39"/>
  <c r="G310" i="39"/>
  <c r="B311" i="39"/>
  <c r="C311" i="39"/>
  <c r="D311" i="39"/>
  <c r="E311" i="39"/>
  <c r="F311" i="39"/>
  <c r="G311" i="39"/>
  <c r="B312" i="39"/>
  <c r="C312" i="39"/>
  <c r="D312" i="39"/>
  <c r="E312" i="39"/>
  <c r="F312" i="39"/>
  <c r="G312" i="39"/>
  <c r="B313" i="39"/>
  <c r="C313" i="39"/>
  <c r="D313" i="39"/>
  <c r="E313" i="39"/>
  <c r="F313" i="39"/>
  <c r="G313" i="39"/>
  <c r="B314" i="39"/>
  <c r="C314" i="39"/>
  <c r="D314" i="39"/>
  <c r="E314" i="39"/>
  <c r="F314" i="39"/>
  <c r="G314" i="39"/>
  <c r="B315" i="39"/>
  <c r="C315" i="39"/>
  <c r="D315" i="39"/>
  <c r="E315" i="39"/>
  <c r="F315" i="39"/>
  <c r="G315" i="39"/>
  <c r="B316" i="39"/>
  <c r="C316" i="39"/>
  <c r="D316" i="39"/>
  <c r="E316" i="39"/>
  <c r="F316" i="39"/>
  <c r="G316" i="39"/>
  <c r="B317" i="39"/>
  <c r="C317" i="39"/>
  <c r="D317" i="39"/>
  <c r="E317" i="39"/>
  <c r="F317" i="39"/>
  <c r="G317" i="39"/>
  <c r="B318" i="39"/>
  <c r="C318" i="39"/>
  <c r="D318" i="39"/>
  <c r="E318" i="39"/>
  <c r="F318" i="39"/>
  <c r="G318" i="39"/>
  <c r="B319" i="39"/>
  <c r="C319" i="39"/>
  <c r="D319" i="39"/>
  <c r="E319" i="39"/>
  <c r="F319" i="39"/>
  <c r="G319" i="39"/>
  <c r="B320" i="39"/>
  <c r="C320" i="39"/>
  <c r="D320" i="39"/>
  <c r="E320" i="39"/>
  <c r="F320" i="39"/>
  <c r="G320" i="39"/>
  <c r="B321" i="39"/>
  <c r="C321" i="39"/>
  <c r="D321" i="39"/>
  <c r="E321" i="39"/>
  <c r="F321" i="39"/>
  <c r="G321" i="39"/>
  <c r="B322" i="39"/>
  <c r="C322" i="39"/>
  <c r="D322" i="39"/>
  <c r="E322" i="39"/>
  <c r="F322" i="39"/>
  <c r="G322" i="39"/>
  <c r="B323" i="39"/>
  <c r="C323" i="39"/>
  <c r="D323" i="39"/>
  <c r="E323" i="39"/>
  <c r="F323" i="39"/>
  <c r="G323" i="39"/>
  <c r="B324" i="39"/>
  <c r="C324" i="39"/>
  <c r="D324" i="39"/>
  <c r="E324" i="39"/>
  <c r="F324" i="39"/>
  <c r="G324" i="39"/>
  <c r="B325" i="39"/>
  <c r="C325" i="39"/>
  <c r="D325" i="39"/>
  <c r="E325" i="39"/>
  <c r="F325" i="39"/>
  <c r="G325" i="39"/>
  <c r="B326" i="39"/>
  <c r="C326" i="39"/>
  <c r="D326" i="39"/>
  <c r="E326" i="39"/>
  <c r="F326" i="39"/>
  <c r="G326" i="39"/>
  <c r="B327" i="39"/>
  <c r="C327" i="39"/>
  <c r="D327" i="39"/>
  <c r="E327" i="39"/>
  <c r="F327" i="39"/>
  <c r="G327" i="39"/>
  <c r="B328" i="39"/>
  <c r="C328" i="39"/>
  <c r="D328" i="39"/>
  <c r="E328" i="39"/>
  <c r="F328" i="39"/>
  <c r="G328" i="39"/>
  <c r="B329" i="39"/>
  <c r="C329" i="39"/>
  <c r="D329" i="39"/>
  <c r="E329" i="39"/>
  <c r="F329" i="39"/>
  <c r="G329" i="39"/>
  <c r="B330" i="39"/>
  <c r="C330" i="39"/>
  <c r="D330" i="39"/>
  <c r="E330" i="39"/>
  <c r="F330" i="39"/>
  <c r="G330" i="39"/>
  <c r="B331" i="39"/>
  <c r="C331" i="39"/>
  <c r="D331" i="39"/>
  <c r="E331" i="39"/>
  <c r="F331" i="39"/>
  <c r="G331" i="39"/>
  <c r="B332" i="39"/>
  <c r="C332" i="39"/>
  <c r="D332" i="39"/>
  <c r="E332" i="39"/>
  <c r="F332" i="39"/>
  <c r="G332" i="39"/>
  <c r="B333" i="39"/>
  <c r="C333" i="39"/>
  <c r="D333" i="39"/>
  <c r="E333" i="39"/>
  <c r="F333" i="39"/>
  <c r="G333" i="39"/>
  <c r="B334" i="39"/>
  <c r="C334" i="39"/>
  <c r="D334" i="39"/>
  <c r="E334" i="39"/>
  <c r="F334" i="39"/>
  <c r="G334" i="39"/>
  <c r="B335" i="39"/>
  <c r="C335" i="39"/>
  <c r="D335" i="39"/>
  <c r="E335" i="39"/>
  <c r="F335" i="39"/>
  <c r="G335" i="39"/>
  <c r="B336" i="39"/>
  <c r="C336" i="39"/>
  <c r="D336" i="39"/>
  <c r="E336" i="39"/>
  <c r="F336" i="39"/>
  <c r="G336" i="39"/>
  <c r="B337" i="39"/>
  <c r="C337" i="39"/>
  <c r="D337" i="39"/>
  <c r="E337" i="39"/>
  <c r="F337" i="39"/>
  <c r="G337" i="39"/>
  <c r="B338" i="39"/>
  <c r="C338" i="39"/>
  <c r="D338" i="39"/>
  <c r="E338" i="39"/>
  <c r="F338" i="39"/>
  <c r="G338" i="39"/>
  <c r="B339" i="39"/>
  <c r="C339" i="39"/>
  <c r="D339" i="39"/>
  <c r="E339" i="39"/>
  <c r="F339" i="39"/>
  <c r="G339" i="39"/>
  <c r="B340" i="39"/>
  <c r="C340" i="39"/>
  <c r="D340" i="39"/>
  <c r="E340" i="39"/>
  <c r="F340" i="39"/>
  <c r="G340" i="39"/>
  <c r="B341" i="39"/>
  <c r="C341" i="39"/>
  <c r="D341" i="39"/>
  <c r="E341" i="39"/>
  <c r="F341" i="39"/>
  <c r="G341" i="39"/>
  <c r="B342" i="39"/>
  <c r="C342" i="39"/>
  <c r="D342" i="39"/>
  <c r="E342" i="39"/>
  <c r="F342" i="39"/>
  <c r="G342" i="39"/>
  <c r="B343" i="39"/>
  <c r="C343" i="39"/>
  <c r="D343" i="39"/>
  <c r="E343" i="39"/>
  <c r="F343" i="39"/>
  <c r="G343" i="39"/>
  <c r="B344" i="39"/>
  <c r="C344" i="39"/>
  <c r="D344" i="39"/>
  <c r="E344" i="39"/>
  <c r="F344" i="39"/>
  <c r="G344" i="39"/>
  <c r="B345" i="39"/>
  <c r="C345" i="39"/>
  <c r="D345" i="39"/>
  <c r="E345" i="39"/>
  <c r="F345" i="39"/>
  <c r="G345" i="39"/>
  <c r="B346" i="39"/>
  <c r="C346" i="39"/>
  <c r="D346" i="39"/>
  <c r="E346" i="39"/>
  <c r="F346" i="39"/>
  <c r="G346" i="39"/>
  <c r="B347" i="39"/>
  <c r="C347" i="39"/>
  <c r="D347" i="39"/>
  <c r="E347" i="39"/>
  <c r="F347" i="39"/>
  <c r="G347" i="39"/>
  <c r="B348" i="39"/>
  <c r="C348" i="39"/>
  <c r="D348" i="39"/>
  <c r="E348" i="39"/>
  <c r="F348" i="39"/>
  <c r="G348" i="39"/>
  <c r="B349" i="39"/>
  <c r="C349" i="39"/>
  <c r="D349" i="39"/>
  <c r="E349" i="39"/>
  <c r="F349" i="39"/>
  <c r="G349" i="39"/>
  <c r="B350" i="39"/>
  <c r="C350" i="39"/>
  <c r="D350" i="39"/>
  <c r="E350" i="39"/>
  <c r="F350" i="39"/>
  <c r="G350" i="39"/>
  <c r="B351" i="39"/>
  <c r="C351" i="39"/>
  <c r="D351" i="39"/>
  <c r="E351" i="39"/>
  <c r="F351" i="39"/>
  <c r="G351" i="39"/>
  <c r="B352" i="39"/>
  <c r="C352" i="39"/>
  <c r="D352" i="39"/>
  <c r="E352" i="39"/>
  <c r="F352" i="39"/>
  <c r="G352" i="39"/>
  <c r="B353" i="39"/>
  <c r="C353" i="39"/>
  <c r="D353" i="39"/>
  <c r="E353" i="39"/>
  <c r="F353" i="39"/>
  <c r="G353" i="39"/>
  <c r="B354" i="39"/>
  <c r="C354" i="39"/>
  <c r="D354" i="39"/>
  <c r="E354" i="39"/>
  <c r="F354" i="39"/>
  <c r="G354" i="39"/>
  <c r="B355" i="39"/>
  <c r="C355" i="39"/>
  <c r="D355" i="39"/>
  <c r="E355" i="39"/>
  <c r="F355" i="39"/>
  <c r="G355" i="39"/>
  <c r="B356" i="39"/>
  <c r="C356" i="39"/>
  <c r="D356" i="39"/>
  <c r="E356" i="39"/>
  <c r="F356" i="39"/>
  <c r="G356" i="39"/>
  <c r="B357" i="39"/>
  <c r="C357" i="39"/>
  <c r="D357" i="39"/>
  <c r="E357" i="39"/>
  <c r="F357" i="39"/>
  <c r="G357" i="39"/>
  <c r="B358" i="39"/>
  <c r="C358" i="39"/>
  <c r="D358" i="39"/>
  <c r="E358" i="39"/>
  <c r="F358" i="39"/>
  <c r="G358" i="39"/>
  <c r="B359" i="39"/>
  <c r="C359" i="39"/>
  <c r="D359" i="39"/>
  <c r="E359" i="39"/>
  <c r="F359" i="39"/>
  <c r="G359" i="39"/>
  <c r="B360" i="39"/>
  <c r="C360" i="39"/>
  <c r="D360" i="39"/>
  <c r="E360" i="39"/>
  <c r="F360" i="39"/>
  <c r="G360" i="39"/>
  <c r="B361" i="39"/>
  <c r="C361" i="39"/>
  <c r="D361" i="39"/>
  <c r="E361" i="39"/>
  <c r="F361" i="39"/>
  <c r="G361" i="39"/>
  <c r="B362" i="39"/>
  <c r="C362" i="39"/>
  <c r="D362" i="39"/>
  <c r="E362" i="39"/>
  <c r="F362" i="39"/>
  <c r="G362" i="39"/>
  <c r="B363" i="39"/>
  <c r="C363" i="39"/>
  <c r="D363" i="39"/>
  <c r="E363" i="39"/>
  <c r="F363" i="39"/>
  <c r="G363" i="39"/>
  <c r="B364" i="39"/>
  <c r="C364" i="39"/>
  <c r="D364" i="39"/>
  <c r="E364" i="39"/>
  <c r="F364" i="39"/>
  <c r="G364" i="39"/>
  <c r="B365" i="39"/>
  <c r="C365" i="39"/>
  <c r="D365" i="39"/>
  <c r="E365" i="39"/>
  <c r="F365" i="39"/>
  <c r="G365" i="39"/>
  <c r="B366" i="39"/>
  <c r="C366" i="39"/>
  <c r="D366" i="39"/>
  <c r="E366" i="39"/>
  <c r="F366" i="39"/>
  <c r="G366" i="39"/>
  <c r="B367" i="39"/>
  <c r="C367" i="39"/>
  <c r="D367" i="39"/>
  <c r="E367" i="39"/>
  <c r="F367" i="39"/>
  <c r="G367" i="39"/>
  <c r="B368" i="39"/>
  <c r="C368" i="39"/>
  <c r="D368" i="39"/>
  <c r="E368" i="39"/>
  <c r="F368" i="39"/>
  <c r="G368" i="39"/>
  <c r="B369" i="39"/>
  <c r="C369" i="39"/>
  <c r="D369" i="39"/>
  <c r="E369" i="39"/>
  <c r="F369" i="39"/>
  <c r="G369" i="39"/>
  <c r="B370" i="39"/>
  <c r="C370" i="39"/>
  <c r="D370" i="39"/>
  <c r="E370" i="39"/>
  <c r="F370" i="39"/>
  <c r="G370" i="39"/>
  <c r="B371" i="39"/>
  <c r="C371" i="39"/>
  <c r="D371" i="39"/>
  <c r="E371" i="39"/>
  <c r="F371" i="39"/>
  <c r="G371" i="39"/>
  <c r="B372" i="39"/>
  <c r="C372" i="39"/>
  <c r="D372" i="39"/>
  <c r="E372" i="39"/>
  <c r="F372" i="39"/>
  <c r="G372" i="39"/>
  <c r="B373" i="39"/>
  <c r="C373" i="39"/>
  <c r="D373" i="39"/>
  <c r="E373" i="39"/>
  <c r="F373" i="39"/>
  <c r="G373" i="39"/>
  <c r="B374" i="39"/>
  <c r="C374" i="39"/>
  <c r="D374" i="39"/>
  <c r="E374" i="39"/>
  <c r="F374" i="39"/>
  <c r="G374" i="39"/>
  <c r="B375" i="39"/>
  <c r="C375" i="39"/>
  <c r="D375" i="39"/>
  <c r="E375" i="39"/>
  <c r="F375" i="39"/>
  <c r="G375" i="39"/>
  <c r="B376" i="39"/>
  <c r="C376" i="39"/>
  <c r="D376" i="39"/>
  <c r="E376" i="39"/>
  <c r="F376" i="39"/>
  <c r="G376" i="39"/>
  <c r="B377" i="39"/>
  <c r="C377" i="39"/>
  <c r="D377" i="39"/>
  <c r="E377" i="39"/>
  <c r="F377" i="39"/>
  <c r="G377" i="39"/>
  <c r="B378" i="39"/>
  <c r="C378" i="39"/>
  <c r="D378" i="39"/>
  <c r="E378" i="39"/>
  <c r="F378" i="39"/>
  <c r="G378" i="39"/>
  <c r="B379" i="39"/>
  <c r="C379" i="39"/>
  <c r="D379" i="39"/>
  <c r="E379" i="39"/>
  <c r="F379" i="39"/>
  <c r="G379" i="39"/>
  <c r="B380" i="39"/>
  <c r="C380" i="39"/>
  <c r="D380" i="39"/>
  <c r="E380" i="39"/>
  <c r="F380" i="39"/>
  <c r="G380" i="39"/>
  <c r="B381" i="39"/>
  <c r="C381" i="39"/>
  <c r="D381" i="39"/>
  <c r="E381" i="39"/>
  <c r="F381" i="39"/>
  <c r="G381" i="39"/>
  <c r="B382" i="39"/>
  <c r="C382" i="39"/>
  <c r="D382" i="39"/>
  <c r="E382" i="39"/>
  <c r="F382" i="39"/>
  <c r="G382" i="39"/>
  <c r="B383" i="39"/>
  <c r="C383" i="39"/>
  <c r="D383" i="39"/>
  <c r="E383" i="39"/>
  <c r="F383" i="39"/>
  <c r="G383" i="39"/>
  <c r="B384" i="39"/>
  <c r="C384" i="39"/>
  <c r="D384" i="39"/>
  <c r="E384" i="39"/>
  <c r="F384" i="39"/>
  <c r="G384" i="39"/>
  <c r="B385" i="39"/>
  <c r="C385" i="39"/>
  <c r="D385" i="39"/>
  <c r="E385" i="39"/>
  <c r="F385" i="39"/>
  <c r="G385" i="39"/>
  <c r="B386" i="39"/>
  <c r="C386" i="39"/>
  <c r="D386" i="39"/>
  <c r="E386" i="39"/>
  <c r="F386" i="39"/>
  <c r="G386" i="39"/>
  <c r="B387" i="39"/>
  <c r="C387" i="39"/>
  <c r="D387" i="39"/>
  <c r="E387" i="39"/>
  <c r="F387" i="39"/>
  <c r="G387" i="39"/>
  <c r="B388" i="39"/>
  <c r="C388" i="39"/>
  <c r="D388" i="39"/>
  <c r="E388" i="39"/>
  <c r="F388" i="39"/>
  <c r="G388" i="39"/>
  <c r="B389" i="39"/>
  <c r="C389" i="39"/>
  <c r="D389" i="39"/>
  <c r="E389" i="39"/>
  <c r="F389" i="39"/>
  <c r="G389" i="39"/>
  <c r="B390" i="39"/>
  <c r="C390" i="39"/>
  <c r="D390" i="39"/>
  <c r="E390" i="39"/>
  <c r="F390" i="39"/>
  <c r="G390" i="39"/>
  <c r="B391" i="39"/>
  <c r="C391" i="39"/>
  <c r="D391" i="39"/>
  <c r="E391" i="39"/>
  <c r="F391" i="39"/>
  <c r="G391" i="39"/>
  <c r="B392" i="39"/>
  <c r="C392" i="39"/>
  <c r="D392" i="39"/>
  <c r="E392" i="39"/>
  <c r="F392" i="39"/>
  <c r="G392" i="39"/>
  <c r="B393" i="39"/>
  <c r="C393" i="39"/>
  <c r="D393" i="39"/>
  <c r="E393" i="39"/>
  <c r="F393" i="39"/>
  <c r="G393" i="39"/>
  <c r="B394" i="39"/>
  <c r="C394" i="39"/>
  <c r="D394" i="39"/>
  <c r="E394" i="39"/>
  <c r="F394" i="39"/>
  <c r="G394" i="39"/>
  <c r="B395" i="39"/>
  <c r="C395" i="39"/>
  <c r="D395" i="39"/>
  <c r="E395" i="39"/>
  <c r="F395" i="39"/>
  <c r="G395" i="39"/>
  <c r="B396" i="39"/>
  <c r="C396" i="39"/>
  <c r="D396" i="39"/>
  <c r="E396" i="39"/>
  <c r="F396" i="39"/>
  <c r="G396" i="39"/>
  <c r="B397" i="39"/>
  <c r="C397" i="39"/>
  <c r="D397" i="39"/>
  <c r="E397" i="39"/>
  <c r="F397" i="39"/>
  <c r="G397" i="39"/>
  <c r="B398" i="39"/>
  <c r="C398" i="39"/>
  <c r="D398" i="39"/>
  <c r="E398" i="39"/>
  <c r="F398" i="39"/>
  <c r="G398" i="39"/>
  <c r="B399" i="39"/>
  <c r="C399" i="39"/>
  <c r="D399" i="39"/>
  <c r="E399" i="39"/>
  <c r="F399" i="39"/>
  <c r="G399" i="39"/>
  <c r="B400" i="39"/>
  <c r="C400" i="39"/>
  <c r="D400" i="39"/>
  <c r="E400" i="39"/>
  <c r="F400" i="39"/>
  <c r="G400" i="39"/>
  <c r="B401" i="39"/>
  <c r="C401" i="39"/>
  <c r="D401" i="39"/>
  <c r="E401" i="39"/>
  <c r="F401" i="39"/>
  <c r="G401" i="39"/>
  <c r="B402" i="39"/>
  <c r="C402" i="39"/>
  <c r="D402" i="39"/>
  <c r="E402" i="39"/>
  <c r="F402" i="39"/>
  <c r="G402" i="39"/>
  <c r="B403" i="39"/>
  <c r="C403" i="39"/>
  <c r="D403" i="39"/>
  <c r="E403" i="39"/>
  <c r="F403" i="39"/>
  <c r="G403" i="39"/>
  <c r="B404" i="39"/>
  <c r="C404" i="39"/>
  <c r="D404" i="39"/>
  <c r="E404" i="39"/>
  <c r="F404" i="39"/>
  <c r="G404" i="39"/>
  <c r="B405" i="39"/>
  <c r="C405" i="39"/>
  <c r="D405" i="39"/>
  <c r="E405" i="39"/>
  <c r="F405" i="39"/>
  <c r="G405" i="39"/>
  <c r="B406" i="39"/>
  <c r="C406" i="39"/>
  <c r="D406" i="39"/>
  <c r="E406" i="39"/>
  <c r="F406" i="39"/>
  <c r="G406" i="39"/>
  <c r="B407" i="39"/>
  <c r="C407" i="39"/>
  <c r="D407" i="39"/>
  <c r="E407" i="39"/>
  <c r="F407" i="39"/>
  <c r="G407" i="39"/>
  <c r="B408" i="39"/>
  <c r="C408" i="39"/>
  <c r="D408" i="39"/>
  <c r="E408" i="39"/>
  <c r="F408" i="39"/>
  <c r="G408" i="39"/>
  <c r="B409" i="39"/>
  <c r="C409" i="39"/>
  <c r="D409" i="39"/>
  <c r="E409" i="39"/>
  <c r="F409" i="39"/>
  <c r="G409" i="39"/>
  <c r="B410" i="39"/>
  <c r="C410" i="39"/>
  <c r="D410" i="39"/>
  <c r="E410" i="39"/>
  <c r="F410" i="39"/>
  <c r="G410" i="39"/>
  <c r="B411" i="39"/>
  <c r="C411" i="39"/>
  <c r="D411" i="39"/>
  <c r="E411" i="39"/>
  <c r="F411" i="39"/>
  <c r="G411" i="39"/>
  <c r="B412" i="39"/>
  <c r="C412" i="39"/>
  <c r="D412" i="39"/>
  <c r="E412" i="39"/>
  <c r="F412" i="39"/>
  <c r="G412" i="39"/>
  <c r="B413" i="39"/>
  <c r="C413" i="39"/>
  <c r="D413" i="39"/>
  <c r="E413" i="39"/>
  <c r="F413" i="39"/>
  <c r="G413" i="39"/>
  <c r="B414" i="39"/>
  <c r="C414" i="39"/>
  <c r="D414" i="39"/>
  <c r="E414" i="39"/>
  <c r="F414" i="39"/>
  <c r="G414" i="39"/>
  <c r="B415" i="39"/>
  <c r="C415" i="39"/>
  <c r="D415" i="39"/>
  <c r="E415" i="39"/>
  <c r="F415" i="39"/>
  <c r="G415" i="39"/>
  <c r="B416" i="39"/>
  <c r="C416" i="39"/>
  <c r="D416" i="39"/>
  <c r="E416" i="39"/>
  <c r="F416" i="39"/>
  <c r="G416" i="39"/>
  <c r="B417" i="39"/>
  <c r="C417" i="39"/>
  <c r="D417" i="39"/>
  <c r="E417" i="39"/>
  <c r="F417" i="39"/>
  <c r="G417" i="39"/>
  <c r="B418" i="39"/>
  <c r="C418" i="39"/>
  <c r="D418" i="39"/>
  <c r="E418" i="39"/>
  <c r="F418" i="39"/>
  <c r="G418" i="39"/>
  <c r="B419" i="39"/>
  <c r="C419" i="39"/>
  <c r="D419" i="39"/>
  <c r="E419" i="39"/>
  <c r="F419" i="39"/>
  <c r="G419" i="39"/>
  <c r="B420" i="39"/>
  <c r="C420" i="39"/>
  <c r="D420" i="39"/>
  <c r="E420" i="39"/>
  <c r="F420" i="39"/>
  <c r="G420" i="39"/>
  <c r="B421" i="39"/>
  <c r="C421" i="39"/>
  <c r="D421" i="39"/>
  <c r="E421" i="39"/>
  <c r="F421" i="39"/>
  <c r="G421" i="39"/>
  <c r="B422" i="39"/>
  <c r="C422" i="39"/>
  <c r="D422" i="39"/>
  <c r="E422" i="39"/>
  <c r="F422" i="39"/>
  <c r="G422" i="39"/>
  <c r="B423" i="39"/>
  <c r="C423" i="39"/>
  <c r="D423" i="39"/>
  <c r="E423" i="39"/>
  <c r="F423" i="39"/>
  <c r="G423" i="39"/>
  <c r="B424" i="39"/>
  <c r="C424" i="39"/>
  <c r="D424" i="39"/>
  <c r="E424" i="39"/>
  <c r="F424" i="39"/>
  <c r="G424" i="39"/>
  <c r="B425" i="39"/>
  <c r="C425" i="39"/>
  <c r="D425" i="39"/>
  <c r="E425" i="39"/>
  <c r="F425" i="39"/>
  <c r="G425" i="39"/>
  <c r="B426" i="39"/>
  <c r="C426" i="39"/>
  <c r="D426" i="39"/>
  <c r="E426" i="39"/>
  <c r="F426" i="39"/>
  <c r="G426" i="39"/>
  <c r="B427" i="39"/>
  <c r="C427" i="39"/>
  <c r="D427" i="39"/>
  <c r="E427" i="39"/>
  <c r="F427" i="39"/>
  <c r="G427" i="39"/>
  <c r="B428" i="39"/>
  <c r="C428" i="39"/>
  <c r="D428" i="39"/>
  <c r="E428" i="39"/>
  <c r="F428" i="39"/>
  <c r="G428" i="39"/>
  <c r="B429" i="39"/>
  <c r="C429" i="39"/>
  <c r="D429" i="39"/>
  <c r="E429" i="39"/>
  <c r="F429" i="39"/>
  <c r="G429" i="39"/>
  <c r="B430" i="39"/>
  <c r="C430" i="39"/>
  <c r="D430" i="39"/>
  <c r="E430" i="39"/>
  <c r="F430" i="39"/>
  <c r="G430" i="39"/>
  <c r="B431" i="39"/>
  <c r="C431" i="39"/>
  <c r="D431" i="39"/>
  <c r="E431" i="39"/>
  <c r="F431" i="39"/>
  <c r="G431" i="39"/>
  <c r="B432" i="39"/>
  <c r="C432" i="39"/>
  <c r="D432" i="39"/>
  <c r="E432" i="39"/>
  <c r="F432" i="39"/>
  <c r="G432" i="39"/>
  <c r="B433" i="39"/>
  <c r="C433" i="39"/>
  <c r="D433" i="39"/>
  <c r="E433" i="39"/>
  <c r="F433" i="39"/>
  <c r="G433" i="39"/>
  <c r="B434" i="39"/>
  <c r="C434" i="39"/>
  <c r="D434" i="39"/>
  <c r="E434" i="39"/>
  <c r="F434" i="39"/>
  <c r="G434" i="39"/>
  <c r="B435" i="39"/>
  <c r="C435" i="39"/>
  <c r="D435" i="39"/>
  <c r="E435" i="39"/>
  <c r="F435" i="39"/>
  <c r="G435" i="39"/>
  <c r="B436" i="39"/>
  <c r="C436" i="39"/>
  <c r="D436" i="39"/>
  <c r="E436" i="39"/>
  <c r="F436" i="39"/>
  <c r="G436" i="39"/>
  <c r="B437" i="39"/>
  <c r="C437" i="39"/>
  <c r="D437" i="39"/>
  <c r="E437" i="39"/>
  <c r="F437" i="39"/>
  <c r="G437" i="39"/>
  <c r="B438" i="39"/>
  <c r="C438" i="39"/>
  <c r="D438" i="39"/>
  <c r="E438" i="39"/>
  <c r="F438" i="39"/>
  <c r="G438" i="39"/>
  <c r="B439" i="39"/>
  <c r="C439" i="39"/>
  <c r="D439" i="39"/>
  <c r="E439" i="39"/>
  <c r="F439" i="39"/>
  <c r="G439" i="39"/>
  <c r="B440" i="39"/>
  <c r="C440" i="39"/>
  <c r="D440" i="39"/>
  <c r="E440" i="39"/>
  <c r="F440" i="39"/>
  <c r="G440" i="39"/>
  <c r="B441" i="39"/>
  <c r="C441" i="39"/>
  <c r="D441" i="39"/>
  <c r="E441" i="39"/>
  <c r="F441" i="39"/>
  <c r="G441" i="39"/>
  <c r="B442" i="39"/>
  <c r="C442" i="39"/>
  <c r="D442" i="39"/>
  <c r="E442" i="39"/>
  <c r="F442" i="39"/>
  <c r="G442" i="39"/>
  <c r="B443" i="39"/>
  <c r="C443" i="39"/>
  <c r="D443" i="39"/>
  <c r="E443" i="39"/>
  <c r="F443" i="39"/>
  <c r="G443" i="39"/>
  <c r="D2" i="39"/>
  <c r="E2" i="39"/>
  <c r="F2" i="39"/>
  <c r="B2" i="39"/>
  <c r="F14" i="38"/>
  <c r="G15" i="38" s="1"/>
  <c r="F21" i="38"/>
  <c r="G22" i="38" s="1"/>
  <c r="F38" i="38"/>
  <c r="G39" i="38" s="1"/>
  <c r="F62" i="38"/>
  <c r="G63" i="38" s="1"/>
  <c r="F86" i="38"/>
  <c r="G87" i="38" s="1"/>
  <c r="F129" i="38"/>
  <c r="G130" i="38" s="1"/>
  <c r="F134" i="38"/>
  <c r="G135" i="38" s="1"/>
  <c r="F141" i="38"/>
  <c r="G142" i="38" s="1"/>
  <c r="F148" i="38"/>
  <c r="G149" i="38" s="1"/>
  <c r="F149" i="38"/>
  <c r="G150" i="38" s="1"/>
  <c r="F158" i="38"/>
  <c r="G159" i="38" s="1"/>
  <c r="F165" i="38"/>
  <c r="G166" i="38" s="1"/>
  <c r="E4" i="38"/>
  <c r="F4" i="38" s="1"/>
  <c r="G5" i="38" s="1"/>
  <c r="E5" i="38"/>
  <c r="F5" i="38" s="1"/>
  <c r="G6" i="38" s="1"/>
  <c r="E6" i="38"/>
  <c r="F6" i="38" s="1"/>
  <c r="G7" i="38" s="1"/>
  <c r="E23" i="38"/>
  <c r="F23" i="38" s="1"/>
  <c r="G24" i="38" s="1"/>
  <c r="E24" i="38"/>
  <c r="F24" i="38" s="1"/>
  <c r="G25" i="38" s="1"/>
  <c r="E35" i="38"/>
  <c r="F35" i="38" s="1"/>
  <c r="G36" i="38" s="1"/>
  <c r="E36" i="38"/>
  <c r="F36" i="38" s="1"/>
  <c r="G37" i="38" s="1"/>
  <c r="E37" i="38"/>
  <c r="F37" i="38" s="1"/>
  <c r="G38" i="38" s="1"/>
  <c r="E40" i="38"/>
  <c r="F40" i="38" s="1"/>
  <c r="G41" i="38" s="1"/>
  <c r="E52" i="38"/>
  <c r="F52" i="38" s="1"/>
  <c r="G53" i="38" s="1"/>
  <c r="E53" i="38"/>
  <c r="F53" i="38" s="1"/>
  <c r="G54" i="38" s="1"/>
  <c r="E54" i="38"/>
  <c r="F54" i="38" s="1"/>
  <c r="G55" i="38" s="1"/>
  <c r="E71" i="38"/>
  <c r="F71" i="38" s="1"/>
  <c r="G72" i="38" s="1"/>
  <c r="E72" i="38"/>
  <c r="F72" i="38" s="1"/>
  <c r="G73" i="38" s="1"/>
  <c r="E83" i="38"/>
  <c r="F83" i="38" s="1"/>
  <c r="G84" i="38" s="1"/>
  <c r="E84" i="38"/>
  <c r="F84" i="38" s="1"/>
  <c r="G85" i="38" s="1"/>
  <c r="E85" i="38"/>
  <c r="F85" i="38" s="1"/>
  <c r="G86" i="38" s="1"/>
  <c r="E88" i="38"/>
  <c r="F88" i="38" s="1"/>
  <c r="G89" i="38" s="1"/>
  <c r="E100" i="38"/>
  <c r="F100" i="38" s="1"/>
  <c r="G101" i="38" s="1"/>
  <c r="E101" i="38"/>
  <c r="F101" i="38" s="1"/>
  <c r="G102" i="38" s="1"/>
  <c r="E102" i="38"/>
  <c r="F102" i="38" s="1"/>
  <c r="G103" i="38" s="1"/>
  <c r="E119" i="38"/>
  <c r="F119" i="38" s="1"/>
  <c r="G120" i="38" s="1"/>
  <c r="E120" i="38"/>
  <c r="F120" i="38" s="1"/>
  <c r="G121" i="38" s="1"/>
  <c r="E131" i="38"/>
  <c r="F131" i="38" s="1"/>
  <c r="G132" i="38" s="1"/>
  <c r="E132" i="38"/>
  <c r="F132" i="38" s="1"/>
  <c r="G133" i="38" s="1"/>
  <c r="E133" i="38"/>
  <c r="F133" i="38" s="1"/>
  <c r="G134" i="38" s="1"/>
  <c r="E136" i="38"/>
  <c r="F136" i="38" s="1"/>
  <c r="G137" i="38" s="1"/>
  <c r="E148" i="38"/>
  <c r="E149" i="38"/>
  <c r="E150" i="38"/>
  <c r="F150" i="38" s="1"/>
  <c r="G151" i="38" s="1"/>
  <c r="E167" i="38"/>
  <c r="F167" i="38" s="1"/>
  <c r="G168" i="38" s="1"/>
  <c r="E168" i="38"/>
  <c r="F168" i="38" s="1"/>
  <c r="G169" i="38" s="1"/>
  <c r="E179" i="38"/>
  <c r="F179" i="38" s="1"/>
  <c r="G180" i="38" s="1"/>
  <c r="E180" i="38"/>
  <c r="F180" i="38" s="1"/>
  <c r="G181" i="38" s="1"/>
  <c r="E181" i="38"/>
  <c r="F181" i="38" s="1"/>
  <c r="G182" i="38" s="1"/>
  <c r="E184" i="38"/>
  <c r="F184" i="38" s="1"/>
  <c r="C3" i="38"/>
  <c r="E3" i="38" s="1"/>
  <c r="F3" i="38" s="1"/>
  <c r="G4" i="38" s="1"/>
  <c r="C4" i="38"/>
  <c r="C5" i="38"/>
  <c r="C6" i="38"/>
  <c r="C7" i="38"/>
  <c r="E7" i="38" s="1"/>
  <c r="F7" i="38" s="1"/>
  <c r="G8" i="38" s="1"/>
  <c r="C8" i="38"/>
  <c r="E8" i="38" s="1"/>
  <c r="F8" i="38" s="1"/>
  <c r="G9" i="38" s="1"/>
  <c r="C9" i="38"/>
  <c r="E9" i="38" s="1"/>
  <c r="F9" i="38" s="1"/>
  <c r="G10" i="38" s="1"/>
  <c r="C10" i="38"/>
  <c r="E10" i="38" s="1"/>
  <c r="F10" i="38" s="1"/>
  <c r="G11" i="38" s="1"/>
  <c r="C11" i="38"/>
  <c r="E11" i="38" s="1"/>
  <c r="F11" i="38" s="1"/>
  <c r="G12" i="38" s="1"/>
  <c r="C12" i="38"/>
  <c r="E12" i="38" s="1"/>
  <c r="F12" i="38" s="1"/>
  <c r="G13" i="38" s="1"/>
  <c r="C13" i="38"/>
  <c r="E13" i="38" s="1"/>
  <c r="F13" i="38" s="1"/>
  <c r="G14" i="38" s="1"/>
  <c r="C14" i="38"/>
  <c r="E14" i="38" s="1"/>
  <c r="C15" i="38"/>
  <c r="E15" i="38" s="1"/>
  <c r="F15" i="38" s="1"/>
  <c r="G16" i="38" s="1"/>
  <c r="C16" i="38"/>
  <c r="E16" i="38" s="1"/>
  <c r="F16" i="38" s="1"/>
  <c r="G17" i="38" s="1"/>
  <c r="C17" i="38"/>
  <c r="E17" i="38" s="1"/>
  <c r="F17" i="38" s="1"/>
  <c r="G18" i="38" s="1"/>
  <c r="C18" i="38"/>
  <c r="E18" i="38" s="1"/>
  <c r="F18" i="38" s="1"/>
  <c r="G19" i="38" s="1"/>
  <c r="C19" i="38"/>
  <c r="E19" i="38" s="1"/>
  <c r="F19" i="38" s="1"/>
  <c r="G20" i="38" s="1"/>
  <c r="C20" i="38"/>
  <c r="E20" i="38" s="1"/>
  <c r="F20" i="38" s="1"/>
  <c r="G21" i="38" s="1"/>
  <c r="C21" i="38"/>
  <c r="E21" i="38" s="1"/>
  <c r="C22" i="38"/>
  <c r="E22" i="38" s="1"/>
  <c r="F22" i="38" s="1"/>
  <c r="G23" i="38" s="1"/>
  <c r="C23" i="38"/>
  <c r="C24" i="38"/>
  <c r="C25" i="38"/>
  <c r="E25" i="38" s="1"/>
  <c r="F25" i="38" s="1"/>
  <c r="G26" i="38" s="1"/>
  <c r="C26" i="38"/>
  <c r="E26" i="38" s="1"/>
  <c r="F26" i="38" s="1"/>
  <c r="G27" i="38" s="1"/>
  <c r="C27" i="38"/>
  <c r="E27" i="38" s="1"/>
  <c r="F27" i="38" s="1"/>
  <c r="G28" i="38" s="1"/>
  <c r="C28" i="38"/>
  <c r="E28" i="38" s="1"/>
  <c r="F28" i="38" s="1"/>
  <c r="G29" i="38" s="1"/>
  <c r="C29" i="38"/>
  <c r="E29" i="38" s="1"/>
  <c r="F29" i="38" s="1"/>
  <c r="G30" i="38" s="1"/>
  <c r="C30" i="38"/>
  <c r="E30" i="38" s="1"/>
  <c r="F30" i="38" s="1"/>
  <c r="G31" i="38" s="1"/>
  <c r="C31" i="38"/>
  <c r="E31" i="38" s="1"/>
  <c r="F31" i="38" s="1"/>
  <c r="G32" i="38" s="1"/>
  <c r="C32" i="38"/>
  <c r="E32" i="38" s="1"/>
  <c r="F32" i="38" s="1"/>
  <c r="G33" i="38" s="1"/>
  <c r="C33" i="38"/>
  <c r="E33" i="38" s="1"/>
  <c r="F33" i="38" s="1"/>
  <c r="G34" i="38" s="1"/>
  <c r="C34" i="38"/>
  <c r="E34" i="38" s="1"/>
  <c r="F34" i="38" s="1"/>
  <c r="G35" i="38" s="1"/>
  <c r="C35" i="38"/>
  <c r="C36" i="38"/>
  <c r="C37" i="38"/>
  <c r="C38" i="38"/>
  <c r="E38" i="38" s="1"/>
  <c r="C39" i="38"/>
  <c r="E39" i="38" s="1"/>
  <c r="F39" i="38" s="1"/>
  <c r="G40" i="38" s="1"/>
  <c r="C40" i="38"/>
  <c r="C41" i="38"/>
  <c r="E41" i="38" s="1"/>
  <c r="F41" i="38" s="1"/>
  <c r="G42" i="38" s="1"/>
  <c r="C42" i="38"/>
  <c r="E42" i="38" s="1"/>
  <c r="F42" i="38" s="1"/>
  <c r="G43" i="38" s="1"/>
  <c r="C43" i="38"/>
  <c r="E43" i="38" s="1"/>
  <c r="F43" i="38" s="1"/>
  <c r="G44" i="38" s="1"/>
  <c r="C44" i="38"/>
  <c r="E44" i="38" s="1"/>
  <c r="F44" i="38" s="1"/>
  <c r="G45" i="38" s="1"/>
  <c r="C45" i="38"/>
  <c r="E45" i="38" s="1"/>
  <c r="F45" i="38" s="1"/>
  <c r="G46" i="38" s="1"/>
  <c r="C46" i="38"/>
  <c r="E46" i="38" s="1"/>
  <c r="F46" i="38" s="1"/>
  <c r="G47" i="38" s="1"/>
  <c r="C47" i="38"/>
  <c r="E47" i="38" s="1"/>
  <c r="F47" i="38" s="1"/>
  <c r="G48" i="38" s="1"/>
  <c r="C48" i="38"/>
  <c r="E48" i="38" s="1"/>
  <c r="F48" i="38" s="1"/>
  <c r="G49" i="38" s="1"/>
  <c r="C49" i="38"/>
  <c r="E49" i="38" s="1"/>
  <c r="F49" i="38" s="1"/>
  <c r="G50" i="38" s="1"/>
  <c r="C50" i="38"/>
  <c r="E50" i="38" s="1"/>
  <c r="F50" i="38" s="1"/>
  <c r="G51" i="38" s="1"/>
  <c r="C51" i="38"/>
  <c r="E51" i="38" s="1"/>
  <c r="F51" i="38" s="1"/>
  <c r="G52" i="38" s="1"/>
  <c r="C52" i="38"/>
  <c r="C53" i="38"/>
  <c r="C54" i="38"/>
  <c r="C55" i="38"/>
  <c r="E55" i="38" s="1"/>
  <c r="F55" i="38" s="1"/>
  <c r="G56" i="38" s="1"/>
  <c r="C56" i="38"/>
  <c r="E56" i="38" s="1"/>
  <c r="F56" i="38" s="1"/>
  <c r="G57" i="38" s="1"/>
  <c r="C57" i="38"/>
  <c r="E57" i="38" s="1"/>
  <c r="F57" i="38" s="1"/>
  <c r="G58" i="38" s="1"/>
  <c r="C58" i="38"/>
  <c r="E58" i="38" s="1"/>
  <c r="F58" i="38" s="1"/>
  <c r="G59" i="38" s="1"/>
  <c r="C59" i="38"/>
  <c r="E59" i="38" s="1"/>
  <c r="F59" i="38" s="1"/>
  <c r="G60" i="38" s="1"/>
  <c r="C60" i="38"/>
  <c r="E60" i="38" s="1"/>
  <c r="F60" i="38" s="1"/>
  <c r="G61" i="38" s="1"/>
  <c r="C61" i="38"/>
  <c r="E61" i="38" s="1"/>
  <c r="F61" i="38" s="1"/>
  <c r="G62" i="38" s="1"/>
  <c r="C62" i="38"/>
  <c r="E62" i="38" s="1"/>
  <c r="C63" i="38"/>
  <c r="E63" i="38" s="1"/>
  <c r="F63" i="38" s="1"/>
  <c r="G64" i="38" s="1"/>
  <c r="C64" i="38"/>
  <c r="E64" i="38" s="1"/>
  <c r="F64" i="38" s="1"/>
  <c r="G65" i="38" s="1"/>
  <c r="C65" i="38"/>
  <c r="E65" i="38" s="1"/>
  <c r="F65" i="38" s="1"/>
  <c r="G66" i="38" s="1"/>
  <c r="C66" i="38"/>
  <c r="E66" i="38" s="1"/>
  <c r="F66" i="38" s="1"/>
  <c r="G67" i="38" s="1"/>
  <c r="C67" i="38"/>
  <c r="E67" i="38" s="1"/>
  <c r="F67" i="38" s="1"/>
  <c r="G68" i="38" s="1"/>
  <c r="C68" i="38"/>
  <c r="E68" i="38" s="1"/>
  <c r="F68" i="38" s="1"/>
  <c r="G69" i="38" s="1"/>
  <c r="C69" i="38"/>
  <c r="E69" i="38" s="1"/>
  <c r="F69" i="38" s="1"/>
  <c r="G70" i="38" s="1"/>
  <c r="C70" i="38"/>
  <c r="E70" i="38" s="1"/>
  <c r="F70" i="38" s="1"/>
  <c r="G71" i="38" s="1"/>
  <c r="C71" i="38"/>
  <c r="C72" i="38"/>
  <c r="C73" i="38"/>
  <c r="E73" i="38" s="1"/>
  <c r="F73" i="38" s="1"/>
  <c r="G74" i="38" s="1"/>
  <c r="C74" i="38"/>
  <c r="E74" i="38" s="1"/>
  <c r="F74" i="38" s="1"/>
  <c r="G75" i="38" s="1"/>
  <c r="C75" i="38"/>
  <c r="E75" i="38" s="1"/>
  <c r="F75" i="38" s="1"/>
  <c r="G76" i="38" s="1"/>
  <c r="C76" i="38"/>
  <c r="E76" i="38" s="1"/>
  <c r="F76" i="38" s="1"/>
  <c r="G77" i="38" s="1"/>
  <c r="C77" i="38"/>
  <c r="E77" i="38" s="1"/>
  <c r="F77" i="38" s="1"/>
  <c r="G78" i="38" s="1"/>
  <c r="C78" i="38"/>
  <c r="E78" i="38" s="1"/>
  <c r="F78" i="38" s="1"/>
  <c r="G79" i="38" s="1"/>
  <c r="C79" i="38"/>
  <c r="E79" i="38" s="1"/>
  <c r="F79" i="38" s="1"/>
  <c r="G80" i="38" s="1"/>
  <c r="C80" i="38"/>
  <c r="E80" i="38" s="1"/>
  <c r="F80" i="38" s="1"/>
  <c r="G81" i="38" s="1"/>
  <c r="C81" i="38"/>
  <c r="E81" i="38" s="1"/>
  <c r="F81" i="38" s="1"/>
  <c r="G82" i="38" s="1"/>
  <c r="C82" i="38"/>
  <c r="E82" i="38" s="1"/>
  <c r="F82" i="38" s="1"/>
  <c r="G83" i="38" s="1"/>
  <c r="C83" i="38"/>
  <c r="C84" i="38"/>
  <c r="C85" i="38"/>
  <c r="C86" i="38"/>
  <c r="E86" i="38" s="1"/>
  <c r="C87" i="38"/>
  <c r="E87" i="38" s="1"/>
  <c r="F87" i="38" s="1"/>
  <c r="G88" i="38" s="1"/>
  <c r="C88" i="38"/>
  <c r="C89" i="38"/>
  <c r="E89" i="38" s="1"/>
  <c r="F89" i="38" s="1"/>
  <c r="G90" i="38" s="1"/>
  <c r="C90" i="38"/>
  <c r="E90" i="38" s="1"/>
  <c r="F90" i="38" s="1"/>
  <c r="G91" i="38" s="1"/>
  <c r="C91" i="38"/>
  <c r="E91" i="38" s="1"/>
  <c r="F91" i="38" s="1"/>
  <c r="G92" i="38" s="1"/>
  <c r="C92" i="38"/>
  <c r="E92" i="38" s="1"/>
  <c r="F92" i="38" s="1"/>
  <c r="G93" i="38" s="1"/>
  <c r="C93" i="38"/>
  <c r="E93" i="38" s="1"/>
  <c r="F93" i="38" s="1"/>
  <c r="G94" i="38" s="1"/>
  <c r="C94" i="38"/>
  <c r="E94" i="38" s="1"/>
  <c r="F94" i="38" s="1"/>
  <c r="G95" i="38" s="1"/>
  <c r="C95" i="38"/>
  <c r="E95" i="38" s="1"/>
  <c r="F95" i="38" s="1"/>
  <c r="G96" i="38" s="1"/>
  <c r="C96" i="38"/>
  <c r="E96" i="38" s="1"/>
  <c r="F96" i="38" s="1"/>
  <c r="G97" i="38" s="1"/>
  <c r="C97" i="38"/>
  <c r="E97" i="38" s="1"/>
  <c r="F97" i="38" s="1"/>
  <c r="G98" i="38" s="1"/>
  <c r="C98" i="38"/>
  <c r="E98" i="38" s="1"/>
  <c r="F98" i="38" s="1"/>
  <c r="G99" i="38" s="1"/>
  <c r="C99" i="38"/>
  <c r="E99" i="38" s="1"/>
  <c r="F99" i="38" s="1"/>
  <c r="G100" i="38" s="1"/>
  <c r="C100" i="38"/>
  <c r="C101" i="38"/>
  <c r="C102" i="38"/>
  <c r="C103" i="38"/>
  <c r="E103" i="38" s="1"/>
  <c r="F103" i="38" s="1"/>
  <c r="G104" i="38" s="1"/>
  <c r="C104" i="38"/>
  <c r="E104" i="38" s="1"/>
  <c r="F104" i="38" s="1"/>
  <c r="G105" i="38" s="1"/>
  <c r="C105" i="38"/>
  <c r="E105" i="38" s="1"/>
  <c r="F105" i="38" s="1"/>
  <c r="G106" i="38" s="1"/>
  <c r="C106" i="38"/>
  <c r="E106" i="38" s="1"/>
  <c r="F106" i="38" s="1"/>
  <c r="G107" i="38" s="1"/>
  <c r="C107" i="38"/>
  <c r="E107" i="38" s="1"/>
  <c r="F107" i="38" s="1"/>
  <c r="G108" i="38" s="1"/>
  <c r="C108" i="38"/>
  <c r="E108" i="38" s="1"/>
  <c r="F108" i="38" s="1"/>
  <c r="G109" i="38" s="1"/>
  <c r="C109" i="38"/>
  <c r="E109" i="38" s="1"/>
  <c r="F109" i="38" s="1"/>
  <c r="G110" i="38" s="1"/>
  <c r="C110" i="38"/>
  <c r="E110" i="38" s="1"/>
  <c r="F110" i="38" s="1"/>
  <c r="G111" i="38" s="1"/>
  <c r="C111" i="38"/>
  <c r="E111" i="38" s="1"/>
  <c r="F111" i="38" s="1"/>
  <c r="G112" i="38" s="1"/>
  <c r="C112" i="38"/>
  <c r="E112" i="38" s="1"/>
  <c r="F112" i="38" s="1"/>
  <c r="G113" i="38" s="1"/>
  <c r="C113" i="38"/>
  <c r="E113" i="38" s="1"/>
  <c r="F113" i="38" s="1"/>
  <c r="G114" i="38" s="1"/>
  <c r="C114" i="38"/>
  <c r="E114" i="38" s="1"/>
  <c r="F114" i="38" s="1"/>
  <c r="G115" i="38" s="1"/>
  <c r="C115" i="38"/>
  <c r="E115" i="38" s="1"/>
  <c r="F115" i="38" s="1"/>
  <c r="G116" i="38" s="1"/>
  <c r="C116" i="38"/>
  <c r="E116" i="38" s="1"/>
  <c r="F116" i="38" s="1"/>
  <c r="G117" i="38" s="1"/>
  <c r="C117" i="38"/>
  <c r="E117" i="38" s="1"/>
  <c r="F117" i="38" s="1"/>
  <c r="G118" i="38" s="1"/>
  <c r="C118" i="38"/>
  <c r="E118" i="38" s="1"/>
  <c r="F118" i="38" s="1"/>
  <c r="G119" i="38" s="1"/>
  <c r="C119" i="38"/>
  <c r="C120" i="38"/>
  <c r="C121" i="38"/>
  <c r="E121" i="38" s="1"/>
  <c r="F121" i="38" s="1"/>
  <c r="G122" i="38" s="1"/>
  <c r="C122" i="38"/>
  <c r="E122" i="38" s="1"/>
  <c r="F122" i="38" s="1"/>
  <c r="G123" i="38" s="1"/>
  <c r="C123" i="38"/>
  <c r="E123" i="38" s="1"/>
  <c r="F123" i="38" s="1"/>
  <c r="G124" i="38" s="1"/>
  <c r="C124" i="38"/>
  <c r="E124" i="38" s="1"/>
  <c r="F124" i="38" s="1"/>
  <c r="G125" i="38" s="1"/>
  <c r="C125" i="38"/>
  <c r="E125" i="38" s="1"/>
  <c r="F125" i="38" s="1"/>
  <c r="G126" i="38" s="1"/>
  <c r="C126" i="38"/>
  <c r="E126" i="38" s="1"/>
  <c r="F126" i="38" s="1"/>
  <c r="G127" i="38" s="1"/>
  <c r="C127" i="38"/>
  <c r="E127" i="38" s="1"/>
  <c r="F127" i="38" s="1"/>
  <c r="G128" i="38" s="1"/>
  <c r="C128" i="38"/>
  <c r="E128" i="38" s="1"/>
  <c r="F128" i="38" s="1"/>
  <c r="G129" i="38" s="1"/>
  <c r="C129" i="38"/>
  <c r="E129" i="38" s="1"/>
  <c r="C130" i="38"/>
  <c r="E130" i="38" s="1"/>
  <c r="F130" i="38" s="1"/>
  <c r="G131" i="38" s="1"/>
  <c r="C131" i="38"/>
  <c r="C132" i="38"/>
  <c r="C133" i="38"/>
  <c r="C134" i="38"/>
  <c r="E134" i="38" s="1"/>
  <c r="C135" i="38"/>
  <c r="E135" i="38" s="1"/>
  <c r="F135" i="38" s="1"/>
  <c r="G136" i="38" s="1"/>
  <c r="C136" i="38"/>
  <c r="C137" i="38"/>
  <c r="E137" i="38" s="1"/>
  <c r="F137" i="38" s="1"/>
  <c r="G138" i="38" s="1"/>
  <c r="C138" i="38"/>
  <c r="E138" i="38" s="1"/>
  <c r="F138" i="38" s="1"/>
  <c r="G139" i="38" s="1"/>
  <c r="C139" i="38"/>
  <c r="E139" i="38" s="1"/>
  <c r="F139" i="38" s="1"/>
  <c r="G140" i="38" s="1"/>
  <c r="C140" i="38"/>
  <c r="E140" i="38" s="1"/>
  <c r="F140" i="38" s="1"/>
  <c r="G141" i="38" s="1"/>
  <c r="C141" i="38"/>
  <c r="E141" i="38" s="1"/>
  <c r="C142" i="38"/>
  <c r="E142" i="38" s="1"/>
  <c r="F142" i="38" s="1"/>
  <c r="G143" i="38" s="1"/>
  <c r="C143" i="38"/>
  <c r="E143" i="38" s="1"/>
  <c r="F143" i="38" s="1"/>
  <c r="G144" i="38" s="1"/>
  <c r="C144" i="38"/>
  <c r="E144" i="38" s="1"/>
  <c r="F144" i="38" s="1"/>
  <c r="G145" i="38" s="1"/>
  <c r="C145" i="38"/>
  <c r="E145" i="38" s="1"/>
  <c r="F145" i="38" s="1"/>
  <c r="G146" i="38" s="1"/>
  <c r="C146" i="38"/>
  <c r="E146" i="38" s="1"/>
  <c r="F146" i="38" s="1"/>
  <c r="G147" i="38" s="1"/>
  <c r="C147" i="38"/>
  <c r="E147" i="38" s="1"/>
  <c r="F147" i="38" s="1"/>
  <c r="G148" i="38" s="1"/>
  <c r="C148" i="38"/>
  <c r="C149" i="38"/>
  <c r="C150" i="38"/>
  <c r="C151" i="38"/>
  <c r="E151" i="38" s="1"/>
  <c r="F151" i="38" s="1"/>
  <c r="G152" i="38" s="1"/>
  <c r="C152" i="38"/>
  <c r="E152" i="38" s="1"/>
  <c r="F152" i="38" s="1"/>
  <c r="G153" i="38" s="1"/>
  <c r="C153" i="38"/>
  <c r="E153" i="38" s="1"/>
  <c r="F153" i="38" s="1"/>
  <c r="G154" i="38" s="1"/>
  <c r="C154" i="38"/>
  <c r="E154" i="38" s="1"/>
  <c r="F154" i="38" s="1"/>
  <c r="G155" i="38" s="1"/>
  <c r="C155" i="38"/>
  <c r="E155" i="38" s="1"/>
  <c r="F155" i="38" s="1"/>
  <c r="G156" i="38" s="1"/>
  <c r="C156" i="38"/>
  <c r="E156" i="38" s="1"/>
  <c r="F156" i="38" s="1"/>
  <c r="G157" i="38" s="1"/>
  <c r="C157" i="38"/>
  <c r="E157" i="38" s="1"/>
  <c r="F157" i="38" s="1"/>
  <c r="G158" i="38" s="1"/>
  <c r="C158" i="38"/>
  <c r="E158" i="38" s="1"/>
  <c r="C159" i="38"/>
  <c r="E159" i="38" s="1"/>
  <c r="F159" i="38" s="1"/>
  <c r="G160" i="38" s="1"/>
  <c r="C160" i="38"/>
  <c r="E160" i="38" s="1"/>
  <c r="F160" i="38" s="1"/>
  <c r="G161" i="38" s="1"/>
  <c r="C161" i="38"/>
  <c r="E161" i="38" s="1"/>
  <c r="F161" i="38" s="1"/>
  <c r="G162" i="38" s="1"/>
  <c r="C162" i="38"/>
  <c r="E162" i="38" s="1"/>
  <c r="F162" i="38" s="1"/>
  <c r="G163" i="38" s="1"/>
  <c r="C163" i="38"/>
  <c r="E163" i="38" s="1"/>
  <c r="F163" i="38" s="1"/>
  <c r="G164" i="38" s="1"/>
  <c r="C164" i="38"/>
  <c r="E164" i="38" s="1"/>
  <c r="F164" i="38" s="1"/>
  <c r="G165" i="38" s="1"/>
  <c r="C165" i="38"/>
  <c r="E165" i="38" s="1"/>
  <c r="C166" i="38"/>
  <c r="E166" i="38" s="1"/>
  <c r="F166" i="38" s="1"/>
  <c r="G167" i="38" s="1"/>
  <c r="C167" i="38"/>
  <c r="C168" i="38"/>
  <c r="C169" i="38"/>
  <c r="E169" i="38" s="1"/>
  <c r="F169" i="38" s="1"/>
  <c r="G170" i="38" s="1"/>
  <c r="C170" i="38"/>
  <c r="E170" i="38" s="1"/>
  <c r="F170" i="38" s="1"/>
  <c r="G171" i="38" s="1"/>
  <c r="C171" i="38"/>
  <c r="E171" i="38" s="1"/>
  <c r="F171" i="38" s="1"/>
  <c r="G172" i="38" s="1"/>
  <c r="C172" i="38"/>
  <c r="E172" i="38" s="1"/>
  <c r="F172" i="38" s="1"/>
  <c r="G173" i="38" s="1"/>
  <c r="C173" i="38"/>
  <c r="E173" i="38" s="1"/>
  <c r="F173" i="38" s="1"/>
  <c r="G174" i="38" s="1"/>
  <c r="C174" i="38"/>
  <c r="E174" i="38" s="1"/>
  <c r="F174" i="38" s="1"/>
  <c r="G175" i="38" s="1"/>
  <c r="C175" i="38"/>
  <c r="E175" i="38" s="1"/>
  <c r="F175" i="38" s="1"/>
  <c r="G176" i="38" s="1"/>
  <c r="C176" i="38"/>
  <c r="E176" i="38" s="1"/>
  <c r="F176" i="38" s="1"/>
  <c r="G177" i="38" s="1"/>
  <c r="C177" i="38"/>
  <c r="E177" i="38" s="1"/>
  <c r="F177" i="38" s="1"/>
  <c r="G178" i="38" s="1"/>
  <c r="C178" i="38"/>
  <c r="E178" i="38" s="1"/>
  <c r="F178" i="38" s="1"/>
  <c r="G179" i="38" s="1"/>
  <c r="C179" i="38"/>
  <c r="C180" i="38"/>
  <c r="C181" i="38"/>
  <c r="C182" i="38"/>
  <c r="E182" i="38" s="1"/>
  <c r="F182" i="38" s="1"/>
  <c r="G183" i="38" s="1"/>
  <c r="C183" i="38"/>
  <c r="E183" i="38" s="1"/>
  <c r="F183" i="38" s="1"/>
  <c r="G184" i="38" s="1"/>
  <c r="C184" i="38"/>
  <c r="C2" i="38"/>
  <c r="D2" i="38"/>
  <c r="E50" i="21" l="1"/>
  <c r="F50" i="21" s="1"/>
  <c r="G51" i="21" s="1"/>
  <c r="E55" i="21"/>
  <c r="F55" i="21" s="1"/>
  <c r="G56" i="21" s="1"/>
  <c r="E58" i="21"/>
  <c r="F58" i="21" s="1"/>
  <c r="G59" i="21" s="1"/>
  <c r="E122" i="21"/>
  <c r="F122" i="21" s="1"/>
  <c r="G123" i="21" s="1"/>
  <c r="E127" i="21"/>
  <c r="F127" i="21" s="1"/>
  <c r="G128" i="21" s="1"/>
  <c r="E130" i="21"/>
  <c r="F130" i="21" s="1"/>
  <c r="G131" i="21" s="1"/>
  <c r="E194" i="21"/>
  <c r="F194" i="21" s="1"/>
  <c r="G195" i="21" s="1"/>
  <c r="E199" i="21"/>
  <c r="F199" i="21" s="1"/>
  <c r="G200" i="21" s="1"/>
  <c r="E202" i="21"/>
  <c r="F202" i="21" s="1"/>
  <c r="G203" i="21" s="1"/>
  <c r="E266" i="21"/>
  <c r="F266" i="21" s="1"/>
  <c r="G267" i="21" s="1"/>
  <c r="E271" i="21"/>
  <c r="F271" i="21" s="1"/>
  <c r="G272" i="21" s="1"/>
  <c r="E274" i="21"/>
  <c r="F274" i="21" s="1"/>
  <c r="G275" i="21" s="1"/>
  <c r="E338" i="21"/>
  <c r="F338" i="21" s="1"/>
  <c r="G339" i="21" s="1"/>
  <c r="E343" i="21"/>
  <c r="F343" i="21" s="1"/>
  <c r="G344" i="21" s="1"/>
  <c r="E346" i="21"/>
  <c r="F346" i="21" s="1"/>
  <c r="G347" i="21" s="1"/>
  <c r="E410" i="21"/>
  <c r="F410" i="21" s="1"/>
  <c r="G411" i="21" s="1"/>
  <c r="E418" i="21"/>
  <c r="F418" i="21" s="1"/>
  <c r="G419" i="21" s="1"/>
  <c r="C3" i="21"/>
  <c r="C4" i="21"/>
  <c r="E4" i="21" s="1"/>
  <c r="F4" i="21" s="1"/>
  <c r="G5" i="21" s="1"/>
  <c r="C5" i="21"/>
  <c r="E5" i="21" s="1"/>
  <c r="F5" i="21" s="1"/>
  <c r="G6" i="21" s="1"/>
  <c r="C6" i="21"/>
  <c r="C7" i="21"/>
  <c r="E7" i="21" s="1"/>
  <c r="F7" i="21" s="1"/>
  <c r="G8" i="21" s="1"/>
  <c r="C8" i="21"/>
  <c r="C9" i="21"/>
  <c r="E9" i="21" s="1"/>
  <c r="F9" i="21" s="1"/>
  <c r="G10" i="21" s="1"/>
  <c r="C10" i="21"/>
  <c r="E10" i="21" s="1"/>
  <c r="F10" i="21" s="1"/>
  <c r="G11" i="21" s="1"/>
  <c r="C11" i="21"/>
  <c r="E11" i="21" s="1"/>
  <c r="F11" i="21" s="1"/>
  <c r="G12" i="21" s="1"/>
  <c r="C12" i="21"/>
  <c r="E12" i="21" s="1"/>
  <c r="F12" i="21" s="1"/>
  <c r="G13" i="21" s="1"/>
  <c r="C13" i="21"/>
  <c r="E13" i="21" s="1"/>
  <c r="F13" i="21" s="1"/>
  <c r="G14" i="21" s="1"/>
  <c r="C14" i="21"/>
  <c r="E14" i="21" s="1"/>
  <c r="F14" i="21" s="1"/>
  <c r="G15" i="21" s="1"/>
  <c r="C15" i="21"/>
  <c r="E15" i="21" s="1"/>
  <c r="F15" i="21" s="1"/>
  <c r="G16" i="21" s="1"/>
  <c r="C16" i="21"/>
  <c r="E16" i="21" s="1"/>
  <c r="F16" i="21" s="1"/>
  <c r="G17" i="21" s="1"/>
  <c r="C17" i="21"/>
  <c r="E17" i="21" s="1"/>
  <c r="F17" i="21" s="1"/>
  <c r="G18" i="21" s="1"/>
  <c r="C18" i="21"/>
  <c r="C19" i="21"/>
  <c r="E19" i="21" s="1"/>
  <c r="F19" i="21" s="1"/>
  <c r="G20" i="21" s="1"/>
  <c r="C20" i="21"/>
  <c r="C21" i="21"/>
  <c r="E21" i="21" s="1"/>
  <c r="F21" i="21" s="1"/>
  <c r="G22" i="21" s="1"/>
  <c r="C22" i="21"/>
  <c r="E22" i="21" s="1"/>
  <c r="F22" i="21" s="1"/>
  <c r="G23" i="21" s="1"/>
  <c r="C23" i="21"/>
  <c r="E23" i="21" s="1"/>
  <c r="F23" i="21" s="1"/>
  <c r="G24" i="21" s="1"/>
  <c r="C24" i="21"/>
  <c r="E24" i="21" s="1"/>
  <c r="F24" i="21" s="1"/>
  <c r="G25" i="21" s="1"/>
  <c r="C25" i="21"/>
  <c r="E25" i="21" s="1"/>
  <c r="F25" i="21" s="1"/>
  <c r="G26" i="21" s="1"/>
  <c r="C26" i="21"/>
  <c r="E26" i="21" s="1"/>
  <c r="F26" i="21" s="1"/>
  <c r="G27" i="21" s="1"/>
  <c r="C27" i="21"/>
  <c r="E27" i="21" s="1"/>
  <c r="F27" i="21" s="1"/>
  <c r="G28" i="21" s="1"/>
  <c r="C28" i="21"/>
  <c r="E28" i="21" s="1"/>
  <c r="F28" i="21" s="1"/>
  <c r="G29" i="21" s="1"/>
  <c r="C29" i="21"/>
  <c r="E29" i="21" s="1"/>
  <c r="F29" i="21" s="1"/>
  <c r="G30" i="21" s="1"/>
  <c r="C30" i="21"/>
  <c r="C31" i="21"/>
  <c r="E31" i="21" s="1"/>
  <c r="F31" i="21" s="1"/>
  <c r="G32" i="21" s="1"/>
  <c r="C32" i="21"/>
  <c r="C33" i="21"/>
  <c r="E33" i="21" s="1"/>
  <c r="F33" i="21" s="1"/>
  <c r="G34" i="21" s="1"/>
  <c r="C34" i="21"/>
  <c r="E34" i="21" s="1"/>
  <c r="F34" i="21" s="1"/>
  <c r="G35" i="21" s="1"/>
  <c r="C35" i="21"/>
  <c r="E35" i="21" s="1"/>
  <c r="F35" i="21" s="1"/>
  <c r="G36" i="21" s="1"/>
  <c r="C36" i="21"/>
  <c r="E36" i="21" s="1"/>
  <c r="F36" i="21" s="1"/>
  <c r="G37" i="21" s="1"/>
  <c r="C37" i="21"/>
  <c r="E37" i="21" s="1"/>
  <c r="F37" i="21" s="1"/>
  <c r="G38" i="21" s="1"/>
  <c r="C38" i="21"/>
  <c r="E38" i="21" s="1"/>
  <c r="F38" i="21" s="1"/>
  <c r="G39" i="21" s="1"/>
  <c r="C39" i="21"/>
  <c r="E39" i="21" s="1"/>
  <c r="F39" i="21" s="1"/>
  <c r="G40" i="21" s="1"/>
  <c r="C40" i="21"/>
  <c r="E40" i="21" s="1"/>
  <c r="F40" i="21" s="1"/>
  <c r="G41" i="21" s="1"/>
  <c r="C41" i="21"/>
  <c r="E41" i="21" s="1"/>
  <c r="F41" i="21" s="1"/>
  <c r="G42" i="21" s="1"/>
  <c r="C42" i="21"/>
  <c r="C43" i="21"/>
  <c r="E43" i="21" s="1"/>
  <c r="F43" i="21" s="1"/>
  <c r="G44" i="21" s="1"/>
  <c r="C44" i="21"/>
  <c r="C45" i="21"/>
  <c r="E45" i="21" s="1"/>
  <c r="F45" i="21" s="1"/>
  <c r="G46" i="21" s="1"/>
  <c r="C46" i="21"/>
  <c r="E46" i="21" s="1"/>
  <c r="F46" i="21" s="1"/>
  <c r="G47" i="21" s="1"/>
  <c r="C47" i="21"/>
  <c r="E47" i="21" s="1"/>
  <c r="F47" i="21" s="1"/>
  <c r="G48" i="21" s="1"/>
  <c r="C48" i="21"/>
  <c r="E48" i="21" s="1"/>
  <c r="F48" i="21" s="1"/>
  <c r="G49" i="21" s="1"/>
  <c r="C49" i="21"/>
  <c r="E49" i="21" s="1"/>
  <c r="F49" i="21" s="1"/>
  <c r="G50" i="21" s="1"/>
  <c r="C50" i="21"/>
  <c r="C51" i="21"/>
  <c r="E51" i="21" s="1"/>
  <c r="F51" i="21" s="1"/>
  <c r="G52" i="21" s="1"/>
  <c r="C52" i="21"/>
  <c r="E52" i="21" s="1"/>
  <c r="F52" i="21" s="1"/>
  <c r="G53" i="21" s="1"/>
  <c r="C53" i="21"/>
  <c r="E53" i="21" s="1"/>
  <c r="F53" i="21" s="1"/>
  <c r="G54" i="21" s="1"/>
  <c r="C54" i="21"/>
  <c r="C55" i="21"/>
  <c r="C56" i="21"/>
  <c r="C57" i="21"/>
  <c r="E57" i="21" s="1"/>
  <c r="F57" i="21" s="1"/>
  <c r="G58" i="21" s="1"/>
  <c r="C58" i="21"/>
  <c r="C59" i="21"/>
  <c r="E59" i="21" s="1"/>
  <c r="F59" i="21" s="1"/>
  <c r="G60" i="21" s="1"/>
  <c r="C60" i="21"/>
  <c r="E60" i="21" s="1"/>
  <c r="F60" i="21" s="1"/>
  <c r="G61" i="21" s="1"/>
  <c r="C61" i="21"/>
  <c r="E61" i="21" s="1"/>
  <c r="F61" i="21" s="1"/>
  <c r="G62" i="21" s="1"/>
  <c r="C62" i="21"/>
  <c r="E62" i="21" s="1"/>
  <c r="F62" i="21" s="1"/>
  <c r="G63" i="21" s="1"/>
  <c r="C63" i="21"/>
  <c r="E63" i="21" s="1"/>
  <c r="F63" i="21" s="1"/>
  <c r="G64" i="21" s="1"/>
  <c r="C64" i="21"/>
  <c r="E64" i="21" s="1"/>
  <c r="F64" i="21" s="1"/>
  <c r="G65" i="21" s="1"/>
  <c r="C65" i="21"/>
  <c r="E65" i="21" s="1"/>
  <c r="F65" i="21" s="1"/>
  <c r="G66" i="21" s="1"/>
  <c r="C66" i="21"/>
  <c r="C67" i="21"/>
  <c r="E67" i="21" s="1"/>
  <c r="F67" i="21" s="1"/>
  <c r="G68" i="21" s="1"/>
  <c r="C68" i="21"/>
  <c r="C69" i="21"/>
  <c r="E69" i="21" s="1"/>
  <c r="F69" i="21" s="1"/>
  <c r="G70" i="21" s="1"/>
  <c r="C70" i="21"/>
  <c r="E70" i="21" s="1"/>
  <c r="F70" i="21" s="1"/>
  <c r="G71" i="21" s="1"/>
  <c r="C71" i="21"/>
  <c r="E71" i="21" s="1"/>
  <c r="F71" i="21" s="1"/>
  <c r="G72" i="21" s="1"/>
  <c r="C72" i="21"/>
  <c r="E72" i="21" s="1"/>
  <c r="F72" i="21" s="1"/>
  <c r="G73" i="21" s="1"/>
  <c r="C73" i="21"/>
  <c r="E73" i="21" s="1"/>
  <c r="F73" i="21" s="1"/>
  <c r="G74" i="21" s="1"/>
  <c r="C74" i="21"/>
  <c r="E74" i="21" s="1"/>
  <c r="F74" i="21" s="1"/>
  <c r="G75" i="21" s="1"/>
  <c r="C75" i="21"/>
  <c r="E75" i="21" s="1"/>
  <c r="F75" i="21" s="1"/>
  <c r="G76" i="21" s="1"/>
  <c r="C76" i="21"/>
  <c r="E76" i="21" s="1"/>
  <c r="F76" i="21" s="1"/>
  <c r="G77" i="21" s="1"/>
  <c r="C77" i="21"/>
  <c r="E77" i="21" s="1"/>
  <c r="F77" i="21" s="1"/>
  <c r="G78" i="21" s="1"/>
  <c r="C78" i="21"/>
  <c r="C79" i="21"/>
  <c r="E79" i="21" s="1"/>
  <c r="F79" i="21" s="1"/>
  <c r="G80" i="21" s="1"/>
  <c r="C80" i="21"/>
  <c r="C81" i="21"/>
  <c r="E81" i="21" s="1"/>
  <c r="F81" i="21" s="1"/>
  <c r="G82" i="21" s="1"/>
  <c r="C82" i="21"/>
  <c r="E82" i="21" s="1"/>
  <c r="F82" i="21" s="1"/>
  <c r="G83" i="21" s="1"/>
  <c r="C83" i="21"/>
  <c r="E83" i="21" s="1"/>
  <c r="F83" i="21" s="1"/>
  <c r="G84" i="21" s="1"/>
  <c r="C84" i="21"/>
  <c r="E84" i="21" s="1"/>
  <c r="F84" i="21" s="1"/>
  <c r="G85" i="21" s="1"/>
  <c r="C85" i="21"/>
  <c r="E85" i="21" s="1"/>
  <c r="F85" i="21" s="1"/>
  <c r="G86" i="21" s="1"/>
  <c r="C86" i="21"/>
  <c r="E86" i="21" s="1"/>
  <c r="F86" i="21" s="1"/>
  <c r="G87" i="21" s="1"/>
  <c r="C87" i="21"/>
  <c r="E87" i="21" s="1"/>
  <c r="F87" i="21" s="1"/>
  <c r="G88" i="21" s="1"/>
  <c r="C88" i="21"/>
  <c r="E88" i="21" s="1"/>
  <c r="F88" i="21" s="1"/>
  <c r="G89" i="21" s="1"/>
  <c r="C89" i="21"/>
  <c r="E89" i="21" s="1"/>
  <c r="F89" i="21" s="1"/>
  <c r="G90" i="21" s="1"/>
  <c r="C90" i="21"/>
  <c r="C91" i="21"/>
  <c r="E91" i="21" s="1"/>
  <c r="F91" i="21" s="1"/>
  <c r="G92" i="21" s="1"/>
  <c r="C92" i="21"/>
  <c r="C93" i="21"/>
  <c r="E93" i="21" s="1"/>
  <c r="F93" i="21" s="1"/>
  <c r="G94" i="21" s="1"/>
  <c r="C94" i="21"/>
  <c r="E94" i="21" s="1"/>
  <c r="F94" i="21" s="1"/>
  <c r="G95" i="21" s="1"/>
  <c r="C95" i="21"/>
  <c r="E95" i="21" s="1"/>
  <c r="F95" i="21" s="1"/>
  <c r="G96" i="21" s="1"/>
  <c r="C96" i="21"/>
  <c r="E96" i="21" s="1"/>
  <c r="F96" i="21" s="1"/>
  <c r="G97" i="21" s="1"/>
  <c r="C97" i="21"/>
  <c r="E97" i="21" s="1"/>
  <c r="F97" i="21" s="1"/>
  <c r="G98" i="21" s="1"/>
  <c r="C98" i="21"/>
  <c r="E98" i="21" s="1"/>
  <c r="F98" i="21" s="1"/>
  <c r="G99" i="21" s="1"/>
  <c r="C99" i="21"/>
  <c r="E99" i="21" s="1"/>
  <c r="F99" i="21" s="1"/>
  <c r="G100" i="21" s="1"/>
  <c r="C100" i="21"/>
  <c r="E100" i="21" s="1"/>
  <c r="F100" i="21" s="1"/>
  <c r="G101" i="21" s="1"/>
  <c r="C101" i="21"/>
  <c r="E101" i="21" s="1"/>
  <c r="F101" i="21" s="1"/>
  <c r="G102" i="21" s="1"/>
  <c r="C102" i="21"/>
  <c r="C103" i="21"/>
  <c r="E103" i="21" s="1"/>
  <c r="F103" i="21" s="1"/>
  <c r="G104" i="21" s="1"/>
  <c r="C104" i="21"/>
  <c r="C105" i="21"/>
  <c r="E105" i="21" s="1"/>
  <c r="F105" i="21" s="1"/>
  <c r="G106" i="21" s="1"/>
  <c r="C106" i="21"/>
  <c r="E106" i="21" s="1"/>
  <c r="F106" i="21" s="1"/>
  <c r="G107" i="21" s="1"/>
  <c r="C107" i="21"/>
  <c r="E107" i="21" s="1"/>
  <c r="F107" i="21" s="1"/>
  <c r="G108" i="21" s="1"/>
  <c r="C108" i="21"/>
  <c r="E108" i="21" s="1"/>
  <c r="F108" i="21" s="1"/>
  <c r="G109" i="21" s="1"/>
  <c r="C109" i="21"/>
  <c r="E109" i="21" s="1"/>
  <c r="F109" i="21" s="1"/>
  <c r="G110" i="21" s="1"/>
  <c r="C110" i="21"/>
  <c r="E110" i="21" s="1"/>
  <c r="F110" i="21" s="1"/>
  <c r="G111" i="21" s="1"/>
  <c r="C111" i="21"/>
  <c r="E111" i="21" s="1"/>
  <c r="F111" i="21" s="1"/>
  <c r="G112" i="21" s="1"/>
  <c r="C112" i="21"/>
  <c r="E112" i="21" s="1"/>
  <c r="F112" i="21" s="1"/>
  <c r="G113" i="21" s="1"/>
  <c r="C113" i="21"/>
  <c r="E113" i="21" s="1"/>
  <c r="F113" i="21" s="1"/>
  <c r="G114" i="21" s="1"/>
  <c r="C114" i="21"/>
  <c r="C115" i="21"/>
  <c r="E115" i="21" s="1"/>
  <c r="F115" i="21" s="1"/>
  <c r="G116" i="21" s="1"/>
  <c r="C116" i="21"/>
  <c r="C117" i="21"/>
  <c r="E117" i="21" s="1"/>
  <c r="F117" i="21" s="1"/>
  <c r="G118" i="21" s="1"/>
  <c r="C118" i="21"/>
  <c r="E118" i="21" s="1"/>
  <c r="F118" i="21" s="1"/>
  <c r="G119" i="21" s="1"/>
  <c r="C119" i="21"/>
  <c r="E119" i="21" s="1"/>
  <c r="F119" i="21" s="1"/>
  <c r="G120" i="21" s="1"/>
  <c r="C120" i="21"/>
  <c r="E120" i="21" s="1"/>
  <c r="F120" i="21" s="1"/>
  <c r="G121" i="21" s="1"/>
  <c r="C121" i="21"/>
  <c r="E121" i="21" s="1"/>
  <c r="F121" i="21" s="1"/>
  <c r="G122" i="21" s="1"/>
  <c r="C122" i="21"/>
  <c r="C123" i="21"/>
  <c r="E123" i="21" s="1"/>
  <c r="F123" i="21" s="1"/>
  <c r="G124" i="21" s="1"/>
  <c r="C124" i="21"/>
  <c r="E124" i="21" s="1"/>
  <c r="F124" i="21" s="1"/>
  <c r="G125" i="21" s="1"/>
  <c r="C125" i="21"/>
  <c r="E125" i="21" s="1"/>
  <c r="F125" i="21" s="1"/>
  <c r="G126" i="21" s="1"/>
  <c r="C126" i="21"/>
  <c r="C127" i="21"/>
  <c r="C128" i="21"/>
  <c r="C129" i="21"/>
  <c r="E129" i="21" s="1"/>
  <c r="F129" i="21" s="1"/>
  <c r="G130" i="21" s="1"/>
  <c r="C130" i="21"/>
  <c r="C131" i="21"/>
  <c r="E131" i="21" s="1"/>
  <c r="F131" i="21" s="1"/>
  <c r="G132" i="21" s="1"/>
  <c r="C132" i="21"/>
  <c r="E132" i="21" s="1"/>
  <c r="F132" i="21" s="1"/>
  <c r="G133" i="21" s="1"/>
  <c r="C133" i="21"/>
  <c r="E133" i="21" s="1"/>
  <c r="F133" i="21" s="1"/>
  <c r="G134" i="21" s="1"/>
  <c r="C134" i="21"/>
  <c r="E134" i="21" s="1"/>
  <c r="F134" i="21" s="1"/>
  <c r="G135" i="21" s="1"/>
  <c r="C135" i="21"/>
  <c r="E135" i="21" s="1"/>
  <c r="F135" i="21" s="1"/>
  <c r="G136" i="21" s="1"/>
  <c r="C136" i="21"/>
  <c r="E136" i="21" s="1"/>
  <c r="F136" i="21" s="1"/>
  <c r="G137" i="21" s="1"/>
  <c r="C137" i="21"/>
  <c r="E137" i="21" s="1"/>
  <c r="F137" i="21" s="1"/>
  <c r="G138" i="21" s="1"/>
  <c r="C138" i="21"/>
  <c r="C139" i="21"/>
  <c r="E139" i="21" s="1"/>
  <c r="F139" i="21" s="1"/>
  <c r="G140" i="21" s="1"/>
  <c r="C140" i="21"/>
  <c r="C141" i="21"/>
  <c r="E141" i="21" s="1"/>
  <c r="F141" i="21" s="1"/>
  <c r="G142" i="21" s="1"/>
  <c r="C142" i="21"/>
  <c r="E142" i="21" s="1"/>
  <c r="F142" i="21" s="1"/>
  <c r="G143" i="21" s="1"/>
  <c r="C143" i="21"/>
  <c r="E143" i="21" s="1"/>
  <c r="F143" i="21" s="1"/>
  <c r="G144" i="21" s="1"/>
  <c r="C144" i="21"/>
  <c r="E144" i="21" s="1"/>
  <c r="F144" i="21" s="1"/>
  <c r="G145" i="21" s="1"/>
  <c r="C145" i="21"/>
  <c r="E145" i="21" s="1"/>
  <c r="F145" i="21" s="1"/>
  <c r="G146" i="21" s="1"/>
  <c r="C146" i="21"/>
  <c r="E146" i="21" s="1"/>
  <c r="F146" i="21" s="1"/>
  <c r="G147" i="21" s="1"/>
  <c r="C147" i="21"/>
  <c r="E147" i="21" s="1"/>
  <c r="F147" i="21" s="1"/>
  <c r="G148" i="21" s="1"/>
  <c r="C148" i="21"/>
  <c r="E148" i="21" s="1"/>
  <c r="F148" i="21" s="1"/>
  <c r="G149" i="21" s="1"/>
  <c r="C149" i="21"/>
  <c r="E149" i="21" s="1"/>
  <c r="F149" i="21" s="1"/>
  <c r="G150" i="21" s="1"/>
  <c r="C150" i="21"/>
  <c r="C151" i="21"/>
  <c r="E151" i="21" s="1"/>
  <c r="F151" i="21" s="1"/>
  <c r="G152" i="21" s="1"/>
  <c r="C152" i="21"/>
  <c r="C153" i="21"/>
  <c r="E153" i="21" s="1"/>
  <c r="F153" i="21" s="1"/>
  <c r="G154" i="21" s="1"/>
  <c r="C154" i="21"/>
  <c r="E154" i="21" s="1"/>
  <c r="F154" i="21" s="1"/>
  <c r="G155" i="21" s="1"/>
  <c r="C155" i="21"/>
  <c r="E155" i="21" s="1"/>
  <c r="F155" i="21" s="1"/>
  <c r="G156" i="21" s="1"/>
  <c r="C156" i="21"/>
  <c r="E156" i="21" s="1"/>
  <c r="F156" i="21" s="1"/>
  <c r="G157" i="21" s="1"/>
  <c r="C157" i="21"/>
  <c r="E157" i="21" s="1"/>
  <c r="F157" i="21" s="1"/>
  <c r="G158" i="21" s="1"/>
  <c r="C158" i="21"/>
  <c r="E158" i="21" s="1"/>
  <c r="F158" i="21" s="1"/>
  <c r="G159" i="21" s="1"/>
  <c r="C159" i="21"/>
  <c r="E159" i="21" s="1"/>
  <c r="F159" i="21" s="1"/>
  <c r="G160" i="21" s="1"/>
  <c r="C160" i="21"/>
  <c r="E160" i="21" s="1"/>
  <c r="F160" i="21" s="1"/>
  <c r="G161" i="21" s="1"/>
  <c r="C161" i="21"/>
  <c r="E161" i="21" s="1"/>
  <c r="F161" i="21" s="1"/>
  <c r="G162" i="21" s="1"/>
  <c r="C162" i="21"/>
  <c r="C163" i="21"/>
  <c r="E163" i="21" s="1"/>
  <c r="F163" i="21" s="1"/>
  <c r="G164" i="21" s="1"/>
  <c r="C164" i="21"/>
  <c r="C165" i="21"/>
  <c r="E165" i="21" s="1"/>
  <c r="F165" i="21" s="1"/>
  <c r="G166" i="21" s="1"/>
  <c r="C166" i="21"/>
  <c r="E166" i="21" s="1"/>
  <c r="F166" i="21" s="1"/>
  <c r="G167" i="21" s="1"/>
  <c r="C167" i="21"/>
  <c r="E167" i="21" s="1"/>
  <c r="F167" i="21" s="1"/>
  <c r="G168" i="21" s="1"/>
  <c r="C168" i="21"/>
  <c r="E168" i="21" s="1"/>
  <c r="F168" i="21" s="1"/>
  <c r="G169" i="21" s="1"/>
  <c r="C169" i="21"/>
  <c r="E169" i="21" s="1"/>
  <c r="F169" i="21" s="1"/>
  <c r="G170" i="21" s="1"/>
  <c r="C170" i="21"/>
  <c r="E170" i="21" s="1"/>
  <c r="F170" i="21" s="1"/>
  <c r="G171" i="21" s="1"/>
  <c r="C171" i="21"/>
  <c r="E171" i="21" s="1"/>
  <c r="F171" i="21" s="1"/>
  <c r="G172" i="21" s="1"/>
  <c r="C172" i="21"/>
  <c r="E172" i="21" s="1"/>
  <c r="F172" i="21" s="1"/>
  <c r="G173" i="21" s="1"/>
  <c r="C173" i="21"/>
  <c r="E173" i="21" s="1"/>
  <c r="F173" i="21" s="1"/>
  <c r="G174" i="21" s="1"/>
  <c r="C174" i="21"/>
  <c r="C175" i="21"/>
  <c r="E175" i="21" s="1"/>
  <c r="F175" i="21" s="1"/>
  <c r="G176" i="21" s="1"/>
  <c r="C176" i="21"/>
  <c r="C177" i="21"/>
  <c r="E177" i="21" s="1"/>
  <c r="F177" i="21" s="1"/>
  <c r="G178" i="21" s="1"/>
  <c r="C178" i="21"/>
  <c r="E178" i="21" s="1"/>
  <c r="F178" i="21" s="1"/>
  <c r="G179" i="21" s="1"/>
  <c r="C179" i="21"/>
  <c r="E179" i="21" s="1"/>
  <c r="F179" i="21" s="1"/>
  <c r="G180" i="21" s="1"/>
  <c r="C180" i="21"/>
  <c r="E180" i="21" s="1"/>
  <c r="F180" i="21" s="1"/>
  <c r="G181" i="21" s="1"/>
  <c r="C181" i="21"/>
  <c r="E181" i="21" s="1"/>
  <c r="F181" i="21" s="1"/>
  <c r="G182" i="21" s="1"/>
  <c r="C182" i="21"/>
  <c r="E182" i="21" s="1"/>
  <c r="F182" i="21" s="1"/>
  <c r="G183" i="21" s="1"/>
  <c r="C183" i="21"/>
  <c r="E183" i="21" s="1"/>
  <c r="F183" i="21" s="1"/>
  <c r="G184" i="21" s="1"/>
  <c r="C184" i="21"/>
  <c r="E184" i="21" s="1"/>
  <c r="F184" i="21" s="1"/>
  <c r="G185" i="21" s="1"/>
  <c r="C185" i="21"/>
  <c r="E185" i="21" s="1"/>
  <c r="F185" i="21" s="1"/>
  <c r="G186" i="21" s="1"/>
  <c r="C186" i="21"/>
  <c r="C187" i="21"/>
  <c r="E187" i="21" s="1"/>
  <c r="F187" i="21" s="1"/>
  <c r="G188" i="21" s="1"/>
  <c r="C188" i="21"/>
  <c r="C189" i="21"/>
  <c r="E189" i="21" s="1"/>
  <c r="F189" i="21" s="1"/>
  <c r="G190" i="21" s="1"/>
  <c r="C190" i="21"/>
  <c r="E190" i="21" s="1"/>
  <c r="F190" i="21" s="1"/>
  <c r="G191" i="21" s="1"/>
  <c r="C191" i="21"/>
  <c r="E191" i="21" s="1"/>
  <c r="F191" i="21" s="1"/>
  <c r="G192" i="21" s="1"/>
  <c r="C192" i="21"/>
  <c r="E192" i="21" s="1"/>
  <c r="F192" i="21" s="1"/>
  <c r="G193" i="21" s="1"/>
  <c r="C193" i="21"/>
  <c r="E193" i="21" s="1"/>
  <c r="F193" i="21" s="1"/>
  <c r="G194" i="21" s="1"/>
  <c r="C194" i="21"/>
  <c r="C195" i="21"/>
  <c r="E195" i="21" s="1"/>
  <c r="F195" i="21" s="1"/>
  <c r="G196" i="21" s="1"/>
  <c r="C196" i="21"/>
  <c r="E196" i="21" s="1"/>
  <c r="F196" i="21" s="1"/>
  <c r="G197" i="21" s="1"/>
  <c r="C197" i="21"/>
  <c r="E197" i="21" s="1"/>
  <c r="F197" i="21" s="1"/>
  <c r="G198" i="21" s="1"/>
  <c r="C198" i="21"/>
  <c r="C199" i="21"/>
  <c r="C200" i="21"/>
  <c r="C201" i="21"/>
  <c r="E201" i="21" s="1"/>
  <c r="F201" i="21" s="1"/>
  <c r="G202" i="21" s="1"/>
  <c r="C202" i="21"/>
  <c r="C203" i="21"/>
  <c r="E203" i="21" s="1"/>
  <c r="F203" i="21" s="1"/>
  <c r="G204" i="21" s="1"/>
  <c r="C204" i="21"/>
  <c r="E204" i="21" s="1"/>
  <c r="F204" i="21" s="1"/>
  <c r="G205" i="21" s="1"/>
  <c r="C205" i="21"/>
  <c r="E205" i="21" s="1"/>
  <c r="F205" i="21" s="1"/>
  <c r="G206" i="21" s="1"/>
  <c r="C206" i="21"/>
  <c r="E206" i="21" s="1"/>
  <c r="F206" i="21" s="1"/>
  <c r="G207" i="21" s="1"/>
  <c r="C207" i="21"/>
  <c r="E207" i="21" s="1"/>
  <c r="F207" i="21" s="1"/>
  <c r="G208" i="21" s="1"/>
  <c r="C208" i="21"/>
  <c r="E208" i="21" s="1"/>
  <c r="F208" i="21" s="1"/>
  <c r="G209" i="21" s="1"/>
  <c r="C209" i="21"/>
  <c r="E209" i="21" s="1"/>
  <c r="F209" i="21" s="1"/>
  <c r="G210" i="21" s="1"/>
  <c r="C210" i="21"/>
  <c r="C211" i="21"/>
  <c r="E211" i="21" s="1"/>
  <c r="F211" i="21" s="1"/>
  <c r="G212" i="21" s="1"/>
  <c r="C212" i="21"/>
  <c r="C213" i="21"/>
  <c r="E213" i="21" s="1"/>
  <c r="F213" i="21" s="1"/>
  <c r="G214" i="21" s="1"/>
  <c r="C214" i="21"/>
  <c r="E214" i="21" s="1"/>
  <c r="F214" i="21" s="1"/>
  <c r="G215" i="21" s="1"/>
  <c r="C215" i="21"/>
  <c r="E215" i="21" s="1"/>
  <c r="F215" i="21" s="1"/>
  <c r="G216" i="21" s="1"/>
  <c r="C216" i="21"/>
  <c r="E216" i="21" s="1"/>
  <c r="F216" i="21" s="1"/>
  <c r="G217" i="21" s="1"/>
  <c r="C217" i="21"/>
  <c r="E217" i="21" s="1"/>
  <c r="F217" i="21" s="1"/>
  <c r="G218" i="21" s="1"/>
  <c r="C218" i="21"/>
  <c r="E218" i="21" s="1"/>
  <c r="F218" i="21" s="1"/>
  <c r="G219" i="21" s="1"/>
  <c r="C219" i="21"/>
  <c r="E219" i="21" s="1"/>
  <c r="F219" i="21" s="1"/>
  <c r="G220" i="21" s="1"/>
  <c r="C220" i="21"/>
  <c r="E220" i="21" s="1"/>
  <c r="F220" i="21" s="1"/>
  <c r="G221" i="21" s="1"/>
  <c r="C221" i="21"/>
  <c r="E221" i="21" s="1"/>
  <c r="F221" i="21" s="1"/>
  <c r="G222" i="21" s="1"/>
  <c r="C222" i="21"/>
  <c r="C223" i="21"/>
  <c r="E223" i="21" s="1"/>
  <c r="F223" i="21" s="1"/>
  <c r="G224" i="21" s="1"/>
  <c r="C224" i="21"/>
  <c r="C225" i="21"/>
  <c r="E225" i="21" s="1"/>
  <c r="F225" i="21" s="1"/>
  <c r="G226" i="21" s="1"/>
  <c r="C226" i="21"/>
  <c r="E226" i="21" s="1"/>
  <c r="F226" i="21" s="1"/>
  <c r="G227" i="21" s="1"/>
  <c r="C227" i="21"/>
  <c r="E227" i="21" s="1"/>
  <c r="F227" i="21" s="1"/>
  <c r="G228" i="21" s="1"/>
  <c r="C228" i="21"/>
  <c r="E228" i="21" s="1"/>
  <c r="F228" i="21" s="1"/>
  <c r="G229" i="21" s="1"/>
  <c r="C229" i="21"/>
  <c r="E229" i="21" s="1"/>
  <c r="F229" i="21" s="1"/>
  <c r="G230" i="21" s="1"/>
  <c r="C230" i="21"/>
  <c r="E230" i="21" s="1"/>
  <c r="F230" i="21" s="1"/>
  <c r="G231" i="21" s="1"/>
  <c r="C231" i="21"/>
  <c r="E231" i="21" s="1"/>
  <c r="F231" i="21" s="1"/>
  <c r="G232" i="21" s="1"/>
  <c r="C232" i="21"/>
  <c r="E232" i="21" s="1"/>
  <c r="F232" i="21" s="1"/>
  <c r="G233" i="21" s="1"/>
  <c r="C233" i="21"/>
  <c r="E233" i="21" s="1"/>
  <c r="F233" i="21" s="1"/>
  <c r="G234" i="21" s="1"/>
  <c r="C234" i="21"/>
  <c r="C235" i="21"/>
  <c r="E235" i="21" s="1"/>
  <c r="F235" i="21" s="1"/>
  <c r="G236" i="21" s="1"/>
  <c r="C236" i="21"/>
  <c r="C237" i="21"/>
  <c r="E237" i="21" s="1"/>
  <c r="F237" i="21" s="1"/>
  <c r="G238" i="21" s="1"/>
  <c r="C238" i="21"/>
  <c r="E238" i="21" s="1"/>
  <c r="F238" i="21" s="1"/>
  <c r="G239" i="21" s="1"/>
  <c r="C239" i="21"/>
  <c r="E239" i="21" s="1"/>
  <c r="F239" i="21" s="1"/>
  <c r="G240" i="21" s="1"/>
  <c r="C240" i="21"/>
  <c r="E240" i="21" s="1"/>
  <c r="F240" i="21" s="1"/>
  <c r="G241" i="21" s="1"/>
  <c r="C241" i="21"/>
  <c r="E241" i="21" s="1"/>
  <c r="F241" i="21" s="1"/>
  <c r="G242" i="21" s="1"/>
  <c r="C242" i="21"/>
  <c r="E242" i="21" s="1"/>
  <c r="F242" i="21" s="1"/>
  <c r="G243" i="21" s="1"/>
  <c r="C243" i="21"/>
  <c r="E243" i="21" s="1"/>
  <c r="F243" i="21" s="1"/>
  <c r="G244" i="21" s="1"/>
  <c r="C244" i="21"/>
  <c r="E244" i="21" s="1"/>
  <c r="F244" i="21" s="1"/>
  <c r="G245" i="21" s="1"/>
  <c r="C245" i="21"/>
  <c r="E245" i="21" s="1"/>
  <c r="F245" i="21" s="1"/>
  <c r="G246" i="21" s="1"/>
  <c r="C246" i="21"/>
  <c r="C247" i="21"/>
  <c r="E247" i="21" s="1"/>
  <c r="F247" i="21" s="1"/>
  <c r="G248" i="21" s="1"/>
  <c r="C248" i="21"/>
  <c r="C249" i="21"/>
  <c r="E249" i="21" s="1"/>
  <c r="F249" i="21" s="1"/>
  <c r="G250" i="21" s="1"/>
  <c r="C250" i="21"/>
  <c r="E250" i="21" s="1"/>
  <c r="F250" i="21" s="1"/>
  <c r="G251" i="21" s="1"/>
  <c r="C251" i="21"/>
  <c r="E251" i="21" s="1"/>
  <c r="F251" i="21" s="1"/>
  <c r="G252" i="21" s="1"/>
  <c r="C252" i="21"/>
  <c r="E252" i="21" s="1"/>
  <c r="F252" i="21" s="1"/>
  <c r="G253" i="21" s="1"/>
  <c r="C253" i="21"/>
  <c r="E253" i="21" s="1"/>
  <c r="F253" i="21" s="1"/>
  <c r="G254" i="21" s="1"/>
  <c r="C254" i="21"/>
  <c r="E254" i="21" s="1"/>
  <c r="F254" i="21" s="1"/>
  <c r="G255" i="21" s="1"/>
  <c r="C255" i="21"/>
  <c r="E255" i="21" s="1"/>
  <c r="F255" i="21" s="1"/>
  <c r="G256" i="21" s="1"/>
  <c r="C256" i="21"/>
  <c r="E256" i="21" s="1"/>
  <c r="F256" i="21" s="1"/>
  <c r="G257" i="21" s="1"/>
  <c r="C257" i="21"/>
  <c r="E257" i="21" s="1"/>
  <c r="F257" i="21" s="1"/>
  <c r="G258" i="21" s="1"/>
  <c r="C258" i="21"/>
  <c r="C259" i="21"/>
  <c r="E259" i="21" s="1"/>
  <c r="F259" i="21" s="1"/>
  <c r="G260" i="21" s="1"/>
  <c r="C260" i="21"/>
  <c r="C261" i="21"/>
  <c r="E261" i="21" s="1"/>
  <c r="F261" i="21" s="1"/>
  <c r="G262" i="21" s="1"/>
  <c r="C262" i="21"/>
  <c r="E262" i="21" s="1"/>
  <c r="F262" i="21" s="1"/>
  <c r="G263" i="21" s="1"/>
  <c r="C263" i="21"/>
  <c r="E263" i="21" s="1"/>
  <c r="F263" i="21" s="1"/>
  <c r="G264" i="21" s="1"/>
  <c r="C264" i="21"/>
  <c r="E264" i="21" s="1"/>
  <c r="F264" i="21" s="1"/>
  <c r="G265" i="21" s="1"/>
  <c r="C265" i="21"/>
  <c r="E265" i="21" s="1"/>
  <c r="F265" i="21" s="1"/>
  <c r="G266" i="21" s="1"/>
  <c r="C266" i="21"/>
  <c r="C267" i="21"/>
  <c r="E267" i="21" s="1"/>
  <c r="F267" i="21" s="1"/>
  <c r="G268" i="21" s="1"/>
  <c r="C268" i="21"/>
  <c r="E268" i="21" s="1"/>
  <c r="F268" i="21" s="1"/>
  <c r="G269" i="21" s="1"/>
  <c r="C269" i="21"/>
  <c r="E269" i="21" s="1"/>
  <c r="F269" i="21" s="1"/>
  <c r="G270" i="21" s="1"/>
  <c r="C270" i="21"/>
  <c r="C271" i="21"/>
  <c r="C272" i="21"/>
  <c r="C273" i="21"/>
  <c r="E273" i="21" s="1"/>
  <c r="F273" i="21" s="1"/>
  <c r="G274" i="21" s="1"/>
  <c r="C274" i="21"/>
  <c r="C275" i="21"/>
  <c r="E275" i="21" s="1"/>
  <c r="F275" i="21" s="1"/>
  <c r="G276" i="21" s="1"/>
  <c r="C276" i="21"/>
  <c r="E276" i="21" s="1"/>
  <c r="F276" i="21" s="1"/>
  <c r="G277" i="21" s="1"/>
  <c r="C277" i="21"/>
  <c r="E277" i="21" s="1"/>
  <c r="F277" i="21" s="1"/>
  <c r="G278" i="21" s="1"/>
  <c r="C278" i="21"/>
  <c r="E278" i="21" s="1"/>
  <c r="F278" i="21" s="1"/>
  <c r="G279" i="21" s="1"/>
  <c r="C279" i="21"/>
  <c r="E279" i="21" s="1"/>
  <c r="F279" i="21" s="1"/>
  <c r="G280" i="21" s="1"/>
  <c r="C280" i="21"/>
  <c r="E280" i="21" s="1"/>
  <c r="F280" i="21" s="1"/>
  <c r="G281" i="21" s="1"/>
  <c r="C281" i="21"/>
  <c r="E281" i="21" s="1"/>
  <c r="F281" i="21" s="1"/>
  <c r="G282" i="21" s="1"/>
  <c r="C282" i="21"/>
  <c r="C283" i="21"/>
  <c r="E283" i="21" s="1"/>
  <c r="F283" i="21" s="1"/>
  <c r="G284" i="21" s="1"/>
  <c r="C284" i="21"/>
  <c r="C285" i="21"/>
  <c r="E285" i="21" s="1"/>
  <c r="F285" i="21" s="1"/>
  <c r="G286" i="21" s="1"/>
  <c r="C286" i="21"/>
  <c r="E286" i="21" s="1"/>
  <c r="F286" i="21" s="1"/>
  <c r="G287" i="21" s="1"/>
  <c r="C287" i="21"/>
  <c r="E287" i="21" s="1"/>
  <c r="F287" i="21" s="1"/>
  <c r="G288" i="21" s="1"/>
  <c r="C288" i="21"/>
  <c r="E288" i="21" s="1"/>
  <c r="F288" i="21" s="1"/>
  <c r="G289" i="21" s="1"/>
  <c r="C289" i="21"/>
  <c r="E289" i="21" s="1"/>
  <c r="F289" i="21" s="1"/>
  <c r="G290" i="21" s="1"/>
  <c r="C290" i="21"/>
  <c r="E290" i="21" s="1"/>
  <c r="F290" i="21" s="1"/>
  <c r="G291" i="21" s="1"/>
  <c r="C291" i="21"/>
  <c r="E291" i="21" s="1"/>
  <c r="F291" i="21" s="1"/>
  <c r="G292" i="21" s="1"/>
  <c r="C292" i="21"/>
  <c r="E292" i="21" s="1"/>
  <c r="F292" i="21" s="1"/>
  <c r="G293" i="21" s="1"/>
  <c r="C293" i="21"/>
  <c r="E293" i="21" s="1"/>
  <c r="F293" i="21" s="1"/>
  <c r="G294" i="21" s="1"/>
  <c r="C294" i="21"/>
  <c r="C295" i="21"/>
  <c r="E295" i="21" s="1"/>
  <c r="F295" i="21" s="1"/>
  <c r="G296" i="21" s="1"/>
  <c r="C296" i="21"/>
  <c r="C297" i="21"/>
  <c r="E297" i="21" s="1"/>
  <c r="F297" i="21" s="1"/>
  <c r="G298" i="21" s="1"/>
  <c r="C298" i="21"/>
  <c r="E298" i="21" s="1"/>
  <c r="F298" i="21" s="1"/>
  <c r="G299" i="21" s="1"/>
  <c r="C299" i="21"/>
  <c r="E299" i="21" s="1"/>
  <c r="F299" i="21" s="1"/>
  <c r="G300" i="21" s="1"/>
  <c r="C300" i="21"/>
  <c r="E300" i="21" s="1"/>
  <c r="F300" i="21" s="1"/>
  <c r="G301" i="21" s="1"/>
  <c r="C301" i="21"/>
  <c r="E301" i="21" s="1"/>
  <c r="F301" i="21" s="1"/>
  <c r="G302" i="21" s="1"/>
  <c r="C302" i="21"/>
  <c r="E302" i="21" s="1"/>
  <c r="F302" i="21" s="1"/>
  <c r="G303" i="21" s="1"/>
  <c r="C303" i="21"/>
  <c r="E303" i="21" s="1"/>
  <c r="F303" i="21" s="1"/>
  <c r="G304" i="21" s="1"/>
  <c r="C304" i="21"/>
  <c r="E304" i="21" s="1"/>
  <c r="F304" i="21" s="1"/>
  <c r="G305" i="21" s="1"/>
  <c r="C305" i="21"/>
  <c r="E305" i="21" s="1"/>
  <c r="F305" i="21" s="1"/>
  <c r="G306" i="21" s="1"/>
  <c r="C306" i="21"/>
  <c r="C307" i="21"/>
  <c r="E307" i="21" s="1"/>
  <c r="F307" i="21" s="1"/>
  <c r="G308" i="21" s="1"/>
  <c r="C308" i="21"/>
  <c r="C309" i="21"/>
  <c r="E309" i="21" s="1"/>
  <c r="F309" i="21" s="1"/>
  <c r="G310" i="21" s="1"/>
  <c r="C310" i="21"/>
  <c r="E310" i="21" s="1"/>
  <c r="F310" i="21" s="1"/>
  <c r="G311" i="21" s="1"/>
  <c r="C311" i="21"/>
  <c r="E311" i="21" s="1"/>
  <c r="F311" i="21" s="1"/>
  <c r="G312" i="21" s="1"/>
  <c r="C312" i="21"/>
  <c r="E312" i="21" s="1"/>
  <c r="F312" i="21" s="1"/>
  <c r="G313" i="21" s="1"/>
  <c r="C313" i="21"/>
  <c r="E313" i="21" s="1"/>
  <c r="F313" i="21" s="1"/>
  <c r="G314" i="21" s="1"/>
  <c r="C314" i="21"/>
  <c r="E314" i="21" s="1"/>
  <c r="F314" i="21" s="1"/>
  <c r="G315" i="21" s="1"/>
  <c r="C315" i="21"/>
  <c r="E315" i="21" s="1"/>
  <c r="F315" i="21" s="1"/>
  <c r="G316" i="21" s="1"/>
  <c r="C316" i="21"/>
  <c r="E316" i="21" s="1"/>
  <c r="F316" i="21" s="1"/>
  <c r="G317" i="21" s="1"/>
  <c r="C317" i="21"/>
  <c r="E317" i="21" s="1"/>
  <c r="F317" i="21" s="1"/>
  <c r="G318" i="21" s="1"/>
  <c r="C318" i="21"/>
  <c r="C319" i="21"/>
  <c r="E319" i="21" s="1"/>
  <c r="F319" i="21" s="1"/>
  <c r="G320" i="21" s="1"/>
  <c r="C320" i="21"/>
  <c r="C321" i="21"/>
  <c r="E321" i="21" s="1"/>
  <c r="F321" i="21" s="1"/>
  <c r="G322" i="21" s="1"/>
  <c r="C322" i="21"/>
  <c r="E322" i="21" s="1"/>
  <c r="F322" i="21" s="1"/>
  <c r="G323" i="21" s="1"/>
  <c r="C323" i="21"/>
  <c r="E323" i="21" s="1"/>
  <c r="F323" i="21" s="1"/>
  <c r="G324" i="21" s="1"/>
  <c r="C324" i="21"/>
  <c r="E324" i="21" s="1"/>
  <c r="F324" i="21" s="1"/>
  <c r="G325" i="21" s="1"/>
  <c r="C325" i="21"/>
  <c r="E325" i="21" s="1"/>
  <c r="F325" i="21" s="1"/>
  <c r="G326" i="21" s="1"/>
  <c r="C326" i="21"/>
  <c r="E326" i="21" s="1"/>
  <c r="F326" i="21" s="1"/>
  <c r="G327" i="21" s="1"/>
  <c r="C327" i="21"/>
  <c r="E327" i="21" s="1"/>
  <c r="F327" i="21" s="1"/>
  <c r="G328" i="21" s="1"/>
  <c r="C328" i="21"/>
  <c r="E328" i="21" s="1"/>
  <c r="F328" i="21" s="1"/>
  <c r="G329" i="21" s="1"/>
  <c r="C329" i="21"/>
  <c r="E329" i="21" s="1"/>
  <c r="F329" i="21" s="1"/>
  <c r="G330" i="21" s="1"/>
  <c r="C330" i="21"/>
  <c r="C331" i="21"/>
  <c r="E331" i="21" s="1"/>
  <c r="F331" i="21" s="1"/>
  <c r="G332" i="21" s="1"/>
  <c r="C332" i="21"/>
  <c r="C333" i="21"/>
  <c r="E333" i="21" s="1"/>
  <c r="F333" i="21" s="1"/>
  <c r="G334" i="21" s="1"/>
  <c r="C334" i="21"/>
  <c r="E334" i="21" s="1"/>
  <c r="F334" i="21" s="1"/>
  <c r="G335" i="21" s="1"/>
  <c r="C335" i="21"/>
  <c r="E335" i="21" s="1"/>
  <c r="F335" i="21" s="1"/>
  <c r="G336" i="21" s="1"/>
  <c r="C336" i="21"/>
  <c r="E336" i="21" s="1"/>
  <c r="F336" i="21" s="1"/>
  <c r="G337" i="21" s="1"/>
  <c r="C337" i="21"/>
  <c r="E337" i="21" s="1"/>
  <c r="F337" i="21" s="1"/>
  <c r="G338" i="21" s="1"/>
  <c r="C338" i="21"/>
  <c r="C339" i="21"/>
  <c r="E339" i="21" s="1"/>
  <c r="F339" i="21" s="1"/>
  <c r="G340" i="21" s="1"/>
  <c r="C340" i="21"/>
  <c r="E340" i="21" s="1"/>
  <c r="F340" i="21" s="1"/>
  <c r="G341" i="21" s="1"/>
  <c r="C341" i="21"/>
  <c r="E341" i="21" s="1"/>
  <c r="F341" i="21" s="1"/>
  <c r="G342" i="21" s="1"/>
  <c r="C342" i="21"/>
  <c r="C343" i="21"/>
  <c r="C344" i="21"/>
  <c r="C345" i="21"/>
  <c r="E345" i="21" s="1"/>
  <c r="F345" i="21" s="1"/>
  <c r="G346" i="21" s="1"/>
  <c r="C346" i="21"/>
  <c r="C347" i="21"/>
  <c r="E347" i="21" s="1"/>
  <c r="F347" i="21" s="1"/>
  <c r="G348" i="21" s="1"/>
  <c r="C348" i="21"/>
  <c r="E348" i="21" s="1"/>
  <c r="F348" i="21" s="1"/>
  <c r="G349" i="21" s="1"/>
  <c r="C349" i="21"/>
  <c r="E349" i="21" s="1"/>
  <c r="F349" i="21" s="1"/>
  <c r="G350" i="21" s="1"/>
  <c r="C350" i="21"/>
  <c r="E350" i="21" s="1"/>
  <c r="F350" i="21" s="1"/>
  <c r="G351" i="21" s="1"/>
  <c r="C351" i="21"/>
  <c r="E351" i="21" s="1"/>
  <c r="F351" i="21" s="1"/>
  <c r="G352" i="21" s="1"/>
  <c r="C352" i="21"/>
  <c r="E352" i="21" s="1"/>
  <c r="F352" i="21" s="1"/>
  <c r="G353" i="21" s="1"/>
  <c r="C353" i="21"/>
  <c r="E353" i="21" s="1"/>
  <c r="F353" i="21" s="1"/>
  <c r="G354" i="21" s="1"/>
  <c r="C354" i="21"/>
  <c r="C355" i="21"/>
  <c r="E355" i="21" s="1"/>
  <c r="F355" i="21" s="1"/>
  <c r="G356" i="21" s="1"/>
  <c r="C356" i="21"/>
  <c r="C357" i="21"/>
  <c r="E357" i="21" s="1"/>
  <c r="F357" i="21" s="1"/>
  <c r="G358" i="21" s="1"/>
  <c r="C358" i="21"/>
  <c r="E358" i="21" s="1"/>
  <c r="F358" i="21" s="1"/>
  <c r="G359" i="21" s="1"/>
  <c r="C359" i="21"/>
  <c r="E359" i="21" s="1"/>
  <c r="F359" i="21" s="1"/>
  <c r="G360" i="21" s="1"/>
  <c r="C360" i="21"/>
  <c r="E360" i="21" s="1"/>
  <c r="F360" i="21" s="1"/>
  <c r="G361" i="21" s="1"/>
  <c r="C361" i="21"/>
  <c r="E361" i="21" s="1"/>
  <c r="F361" i="21" s="1"/>
  <c r="G362" i="21" s="1"/>
  <c r="C362" i="21"/>
  <c r="E362" i="21" s="1"/>
  <c r="F362" i="21" s="1"/>
  <c r="G363" i="21" s="1"/>
  <c r="C363" i="21"/>
  <c r="E363" i="21" s="1"/>
  <c r="F363" i="21" s="1"/>
  <c r="G364" i="21" s="1"/>
  <c r="C364" i="21"/>
  <c r="E364" i="21" s="1"/>
  <c r="F364" i="21" s="1"/>
  <c r="G365" i="21" s="1"/>
  <c r="C365" i="21"/>
  <c r="E365" i="21" s="1"/>
  <c r="F365" i="21" s="1"/>
  <c r="G366" i="21" s="1"/>
  <c r="C366" i="21"/>
  <c r="C367" i="21"/>
  <c r="E367" i="21" s="1"/>
  <c r="F367" i="21" s="1"/>
  <c r="G368" i="21" s="1"/>
  <c r="C368" i="21"/>
  <c r="C369" i="21"/>
  <c r="E369" i="21" s="1"/>
  <c r="F369" i="21" s="1"/>
  <c r="G370" i="21" s="1"/>
  <c r="C370" i="21"/>
  <c r="E370" i="21" s="1"/>
  <c r="F370" i="21" s="1"/>
  <c r="G371" i="21" s="1"/>
  <c r="C371" i="21"/>
  <c r="E371" i="21" s="1"/>
  <c r="F371" i="21" s="1"/>
  <c r="G372" i="21" s="1"/>
  <c r="C372" i="21"/>
  <c r="E372" i="21" s="1"/>
  <c r="F372" i="21" s="1"/>
  <c r="G373" i="21" s="1"/>
  <c r="C373" i="21"/>
  <c r="E373" i="21" s="1"/>
  <c r="F373" i="21" s="1"/>
  <c r="G374" i="21" s="1"/>
  <c r="C374" i="21"/>
  <c r="E374" i="21" s="1"/>
  <c r="F374" i="21" s="1"/>
  <c r="G375" i="21" s="1"/>
  <c r="C375" i="21"/>
  <c r="E375" i="21" s="1"/>
  <c r="F375" i="21" s="1"/>
  <c r="G376" i="21" s="1"/>
  <c r="C376" i="21"/>
  <c r="E376" i="21" s="1"/>
  <c r="F376" i="21" s="1"/>
  <c r="G377" i="21" s="1"/>
  <c r="C377" i="21"/>
  <c r="E377" i="21" s="1"/>
  <c r="F377" i="21" s="1"/>
  <c r="G378" i="21" s="1"/>
  <c r="C378" i="21"/>
  <c r="C379" i="21"/>
  <c r="E379" i="21" s="1"/>
  <c r="F379" i="21" s="1"/>
  <c r="G380" i="21" s="1"/>
  <c r="C380" i="21"/>
  <c r="C381" i="21"/>
  <c r="E381" i="21" s="1"/>
  <c r="F381" i="21" s="1"/>
  <c r="G382" i="21" s="1"/>
  <c r="C382" i="21"/>
  <c r="E382" i="21" s="1"/>
  <c r="F382" i="21" s="1"/>
  <c r="G383" i="21" s="1"/>
  <c r="C383" i="21"/>
  <c r="E383" i="21" s="1"/>
  <c r="F383" i="21" s="1"/>
  <c r="G384" i="21" s="1"/>
  <c r="C384" i="21"/>
  <c r="E384" i="21" s="1"/>
  <c r="F384" i="21" s="1"/>
  <c r="G385" i="21" s="1"/>
  <c r="C385" i="21"/>
  <c r="E385" i="21" s="1"/>
  <c r="F385" i="21" s="1"/>
  <c r="G386" i="21" s="1"/>
  <c r="C386" i="21"/>
  <c r="E386" i="21" s="1"/>
  <c r="F386" i="21" s="1"/>
  <c r="G387" i="21" s="1"/>
  <c r="C387" i="21"/>
  <c r="E387" i="21" s="1"/>
  <c r="F387" i="21" s="1"/>
  <c r="G388" i="21" s="1"/>
  <c r="C388" i="21"/>
  <c r="E388" i="21" s="1"/>
  <c r="F388" i="21" s="1"/>
  <c r="G389" i="21" s="1"/>
  <c r="C389" i="21"/>
  <c r="E389" i="21" s="1"/>
  <c r="F389" i="21" s="1"/>
  <c r="G390" i="21" s="1"/>
  <c r="C390" i="21"/>
  <c r="C391" i="21"/>
  <c r="E391" i="21" s="1"/>
  <c r="F391" i="21" s="1"/>
  <c r="G392" i="21" s="1"/>
  <c r="C392" i="21"/>
  <c r="C393" i="21"/>
  <c r="E393" i="21" s="1"/>
  <c r="F393" i="21" s="1"/>
  <c r="G394" i="21" s="1"/>
  <c r="C394" i="21"/>
  <c r="E394" i="21" s="1"/>
  <c r="F394" i="21" s="1"/>
  <c r="G395" i="21" s="1"/>
  <c r="C395" i="21"/>
  <c r="E395" i="21" s="1"/>
  <c r="F395" i="21" s="1"/>
  <c r="G396" i="21" s="1"/>
  <c r="C396" i="21"/>
  <c r="E396" i="21" s="1"/>
  <c r="F396" i="21" s="1"/>
  <c r="G397" i="21" s="1"/>
  <c r="C397" i="21"/>
  <c r="E397" i="21" s="1"/>
  <c r="F397" i="21" s="1"/>
  <c r="G398" i="21" s="1"/>
  <c r="C398" i="21"/>
  <c r="E398" i="21" s="1"/>
  <c r="F398" i="21" s="1"/>
  <c r="G399" i="21" s="1"/>
  <c r="C399" i="21"/>
  <c r="E399" i="21" s="1"/>
  <c r="F399" i="21" s="1"/>
  <c r="G400" i="21" s="1"/>
  <c r="C400" i="21"/>
  <c r="E400" i="21" s="1"/>
  <c r="F400" i="21" s="1"/>
  <c r="G401" i="21" s="1"/>
  <c r="C401" i="21"/>
  <c r="E401" i="21" s="1"/>
  <c r="F401" i="21" s="1"/>
  <c r="G402" i="21" s="1"/>
  <c r="C402" i="21"/>
  <c r="C403" i="21"/>
  <c r="E403" i="21" s="1"/>
  <c r="F403" i="21" s="1"/>
  <c r="G404" i="21" s="1"/>
  <c r="C404" i="21"/>
  <c r="C405" i="21"/>
  <c r="E405" i="21" s="1"/>
  <c r="F405" i="21" s="1"/>
  <c r="G406" i="21" s="1"/>
  <c r="C406" i="21"/>
  <c r="E406" i="21" s="1"/>
  <c r="F406" i="21" s="1"/>
  <c r="G407" i="21" s="1"/>
  <c r="C407" i="21"/>
  <c r="E407" i="21" s="1"/>
  <c r="F407" i="21" s="1"/>
  <c r="G408" i="21" s="1"/>
  <c r="C408" i="21"/>
  <c r="E408" i="21" s="1"/>
  <c r="F408" i="21" s="1"/>
  <c r="G409" i="21" s="1"/>
  <c r="C409" i="21"/>
  <c r="E409" i="21" s="1"/>
  <c r="F409" i="21" s="1"/>
  <c r="G410" i="21" s="1"/>
  <c r="C410" i="21"/>
  <c r="C411" i="21"/>
  <c r="E411" i="21" s="1"/>
  <c r="F411" i="21" s="1"/>
  <c r="G412" i="21" s="1"/>
  <c r="C412" i="21"/>
  <c r="E412" i="21" s="1"/>
  <c r="F412" i="21" s="1"/>
  <c r="G413" i="21" s="1"/>
  <c r="C413" i="21"/>
  <c r="E413" i="21" s="1"/>
  <c r="F413" i="21" s="1"/>
  <c r="G414" i="21" s="1"/>
  <c r="C414" i="21"/>
  <c r="C415" i="21"/>
  <c r="E415" i="21" s="1"/>
  <c r="F415" i="21" s="1"/>
  <c r="G416" i="21" s="1"/>
  <c r="C416" i="21"/>
  <c r="C417" i="21"/>
  <c r="E417" i="21" s="1"/>
  <c r="F417" i="21" s="1"/>
  <c r="G418" i="21" s="1"/>
  <c r="C418" i="21"/>
  <c r="C419" i="21"/>
  <c r="E419" i="21" s="1"/>
  <c r="F419" i="21" s="1"/>
  <c r="G420" i="21" s="1"/>
  <c r="C420" i="21"/>
  <c r="E420" i="21" s="1"/>
  <c r="F420" i="21" s="1"/>
  <c r="G421" i="21" s="1"/>
  <c r="C421" i="21"/>
  <c r="E421" i="21" s="1"/>
  <c r="F421" i="21" s="1"/>
  <c r="G422" i="21" s="1"/>
  <c r="C422" i="21"/>
  <c r="E422" i="21" s="1"/>
  <c r="F422" i="21" s="1"/>
  <c r="G423" i="21" s="1"/>
  <c r="C423" i="21"/>
  <c r="E423" i="21" s="1"/>
  <c r="F423" i="21" s="1"/>
  <c r="G424" i="21" s="1"/>
  <c r="C424" i="21"/>
  <c r="E424" i="21" s="1"/>
  <c r="F424" i="21" s="1"/>
  <c r="G425" i="21" s="1"/>
  <c r="C425" i="21"/>
  <c r="E425" i="21" s="1"/>
  <c r="F425" i="21" s="1"/>
  <c r="G426" i="21" s="1"/>
  <c r="C426" i="21"/>
  <c r="C427" i="21"/>
  <c r="E427" i="21" s="1"/>
  <c r="F427" i="21" s="1"/>
  <c r="G428" i="21" s="1"/>
  <c r="C428" i="21"/>
  <c r="C429" i="21"/>
  <c r="E429" i="21" s="1"/>
  <c r="F429" i="21" s="1"/>
  <c r="G430" i="21" s="1"/>
  <c r="C430" i="21"/>
  <c r="E430" i="21" s="1"/>
  <c r="F430" i="21" s="1"/>
  <c r="G431" i="21" s="1"/>
  <c r="C431" i="21"/>
  <c r="E431" i="21" s="1"/>
  <c r="F431" i="21" s="1"/>
  <c r="G432" i="21" s="1"/>
  <c r="C432" i="21"/>
  <c r="E432" i="21" s="1"/>
  <c r="F432" i="21" s="1"/>
  <c r="G433" i="21" s="1"/>
  <c r="C433" i="21"/>
  <c r="E433" i="21" s="1"/>
  <c r="F433" i="21" s="1"/>
  <c r="G434" i="21" s="1"/>
  <c r="C434" i="21"/>
  <c r="E434" i="21" s="1"/>
  <c r="F434" i="21" s="1"/>
  <c r="G435" i="21" s="1"/>
  <c r="C435" i="21"/>
  <c r="E435" i="21" s="1"/>
  <c r="F435" i="21" s="1"/>
  <c r="G436" i="21" s="1"/>
  <c r="C436" i="21"/>
  <c r="E436" i="21" s="1"/>
  <c r="F436" i="21" s="1"/>
  <c r="G437" i="21" s="1"/>
  <c r="C437" i="21"/>
  <c r="E437" i="21" s="1"/>
  <c r="F437" i="21" s="1"/>
  <c r="G438" i="21" s="1"/>
  <c r="C438" i="21"/>
  <c r="C439" i="21"/>
  <c r="E439" i="21" s="1"/>
  <c r="F439" i="21" s="1"/>
  <c r="G440" i="21" s="1"/>
  <c r="C440" i="21"/>
  <c r="C441" i="21"/>
  <c r="E441" i="21" s="1"/>
  <c r="F441" i="21" s="1"/>
  <c r="G442" i="21" s="1"/>
  <c r="C442" i="21"/>
  <c r="E442" i="21" s="1"/>
  <c r="F442" i="21" s="1"/>
  <c r="G443" i="21" s="1"/>
  <c r="C443" i="21"/>
  <c r="E443" i="21" s="1"/>
  <c r="F443" i="21" s="1"/>
  <c r="G444" i="21" s="1"/>
  <c r="C444" i="21"/>
  <c r="E444" i="21" s="1"/>
  <c r="F444" i="21" s="1"/>
  <c r="C2" i="21"/>
  <c r="E2" i="21" s="1"/>
  <c r="F2" i="21" s="1"/>
  <c r="G3" i="21" s="1"/>
  <c r="E66" i="24"/>
  <c r="E67" i="24"/>
  <c r="E74" i="24"/>
  <c r="E75" i="24"/>
  <c r="E82" i="24"/>
  <c r="E83" i="24"/>
  <c r="E90" i="24"/>
  <c r="E91" i="24"/>
  <c r="E98" i="24"/>
  <c r="E99" i="24"/>
  <c r="E106" i="24"/>
  <c r="E107" i="24"/>
  <c r="E114" i="24"/>
  <c r="E115" i="24"/>
  <c r="E122" i="24"/>
  <c r="E123" i="24"/>
  <c r="E130" i="24"/>
  <c r="E131" i="24"/>
  <c r="E138" i="24"/>
  <c r="E139" i="24"/>
  <c r="E146" i="24"/>
  <c r="E147" i="24"/>
  <c r="E154" i="24"/>
  <c r="E155" i="24"/>
  <c r="E162" i="24"/>
  <c r="E163" i="24"/>
  <c r="E170" i="24"/>
  <c r="E171" i="24"/>
  <c r="E178" i="24"/>
  <c r="E179" i="24"/>
  <c r="E186" i="24"/>
  <c r="E187" i="24"/>
  <c r="E194" i="24"/>
  <c r="E195" i="24"/>
  <c r="E202" i="24"/>
  <c r="E203" i="24"/>
  <c r="E210" i="24"/>
  <c r="E211" i="24"/>
  <c r="E218" i="24"/>
  <c r="E219" i="24"/>
  <c r="E226" i="24"/>
  <c r="E227" i="24"/>
  <c r="E234" i="24"/>
  <c r="E235" i="24"/>
  <c r="E242" i="24"/>
  <c r="E243" i="24"/>
  <c r="E250" i="24"/>
  <c r="E251" i="24"/>
  <c r="E258" i="24"/>
  <c r="E259" i="24"/>
  <c r="E266" i="24"/>
  <c r="E267" i="24"/>
  <c r="E274" i="24"/>
  <c r="E275" i="24"/>
  <c r="E282" i="24"/>
  <c r="E283" i="24"/>
  <c r="E290" i="24"/>
  <c r="E291" i="24"/>
  <c r="E298" i="24"/>
  <c r="E299" i="24"/>
  <c r="E306" i="24"/>
  <c r="E307" i="24"/>
  <c r="E314" i="24"/>
  <c r="E315" i="24"/>
  <c r="E322" i="24"/>
  <c r="E323" i="24"/>
  <c r="E330" i="24"/>
  <c r="E331" i="24"/>
  <c r="E338" i="24"/>
  <c r="E339" i="24"/>
  <c r="E346" i="24"/>
  <c r="E347" i="24"/>
  <c r="E354" i="24"/>
  <c r="E355" i="24"/>
  <c r="E362" i="24"/>
  <c r="E363" i="24"/>
  <c r="E370" i="24"/>
  <c r="E371" i="24"/>
  <c r="E378" i="24"/>
  <c r="E379" i="24"/>
  <c r="E386" i="24"/>
  <c r="E387" i="24"/>
  <c r="E394" i="24"/>
  <c r="E395" i="24"/>
  <c r="E402" i="24"/>
  <c r="E403" i="24"/>
  <c r="E410" i="24"/>
  <c r="E411" i="24"/>
  <c r="E418" i="24"/>
  <c r="E419" i="24"/>
  <c r="E426" i="24"/>
  <c r="E427" i="24"/>
  <c r="E434" i="24"/>
  <c r="E435" i="24"/>
  <c r="E442" i="24"/>
  <c r="E443" i="24"/>
  <c r="E450" i="24"/>
  <c r="E451" i="24"/>
  <c r="E458" i="24"/>
  <c r="E459" i="24"/>
  <c r="E466" i="24"/>
  <c r="E467" i="24"/>
  <c r="E474" i="24"/>
  <c r="E475" i="24"/>
  <c r="E482" i="24"/>
  <c r="E483" i="24"/>
  <c r="E490" i="24"/>
  <c r="E491" i="24"/>
  <c r="E498" i="24"/>
  <c r="E499" i="24"/>
  <c r="E63" i="24"/>
  <c r="D63" i="24"/>
  <c r="E64" i="24" s="1"/>
  <c r="D64" i="24"/>
  <c r="E65" i="24" s="1"/>
  <c r="D65" i="24"/>
  <c r="D66" i="24"/>
  <c r="D67" i="24"/>
  <c r="E68" i="24" s="1"/>
  <c r="D68" i="24"/>
  <c r="E69" i="24" s="1"/>
  <c r="D69" i="24"/>
  <c r="E70" i="24" s="1"/>
  <c r="D70" i="24"/>
  <c r="E71" i="24" s="1"/>
  <c r="D71" i="24"/>
  <c r="E72" i="24" s="1"/>
  <c r="D72" i="24"/>
  <c r="E73" i="24" s="1"/>
  <c r="D73" i="24"/>
  <c r="D74" i="24"/>
  <c r="D75" i="24"/>
  <c r="E76" i="24" s="1"/>
  <c r="D76" i="24"/>
  <c r="E77" i="24" s="1"/>
  <c r="D77" i="24"/>
  <c r="E78" i="24" s="1"/>
  <c r="D78" i="24"/>
  <c r="E79" i="24" s="1"/>
  <c r="D79" i="24"/>
  <c r="E80" i="24" s="1"/>
  <c r="D80" i="24"/>
  <c r="E81" i="24" s="1"/>
  <c r="D81" i="24"/>
  <c r="D82" i="24"/>
  <c r="D83" i="24"/>
  <c r="E84" i="24" s="1"/>
  <c r="D84" i="24"/>
  <c r="E85" i="24" s="1"/>
  <c r="D85" i="24"/>
  <c r="E86" i="24" s="1"/>
  <c r="D86" i="24"/>
  <c r="E87" i="24" s="1"/>
  <c r="D87" i="24"/>
  <c r="E88" i="24" s="1"/>
  <c r="D88" i="24"/>
  <c r="E89" i="24" s="1"/>
  <c r="D89" i="24"/>
  <c r="D90" i="24"/>
  <c r="D91" i="24"/>
  <c r="E92" i="24" s="1"/>
  <c r="D92" i="24"/>
  <c r="E93" i="24" s="1"/>
  <c r="D93" i="24"/>
  <c r="E94" i="24" s="1"/>
  <c r="D94" i="24"/>
  <c r="E95" i="24" s="1"/>
  <c r="D95" i="24"/>
  <c r="E96" i="24" s="1"/>
  <c r="D96" i="24"/>
  <c r="E97" i="24" s="1"/>
  <c r="D97" i="24"/>
  <c r="D98" i="24"/>
  <c r="D99" i="24"/>
  <c r="E100" i="24" s="1"/>
  <c r="D100" i="24"/>
  <c r="E101" i="24" s="1"/>
  <c r="D101" i="24"/>
  <c r="E102" i="24" s="1"/>
  <c r="D102" i="24"/>
  <c r="E103" i="24" s="1"/>
  <c r="D103" i="24"/>
  <c r="E104" i="24" s="1"/>
  <c r="D104" i="24"/>
  <c r="E105" i="24" s="1"/>
  <c r="D105" i="24"/>
  <c r="D106" i="24"/>
  <c r="D107" i="24"/>
  <c r="E108" i="24" s="1"/>
  <c r="D108" i="24"/>
  <c r="E109" i="24" s="1"/>
  <c r="D109" i="24"/>
  <c r="E110" i="24" s="1"/>
  <c r="D110" i="24"/>
  <c r="E111" i="24" s="1"/>
  <c r="D111" i="24"/>
  <c r="E112" i="24" s="1"/>
  <c r="D112" i="24"/>
  <c r="E113" i="24" s="1"/>
  <c r="D113" i="24"/>
  <c r="D114" i="24"/>
  <c r="D115" i="24"/>
  <c r="E116" i="24" s="1"/>
  <c r="D116" i="24"/>
  <c r="E117" i="24" s="1"/>
  <c r="D117" i="24"/>
  <c r="E118" i="24" s="1"/>
  <c r="D118" i="24"/>
  <c r="E119" i="24" s="1"/>
  <c r="D119" i="24"/>
  <c r="E120" i="24" s="1"/>
  <c r="D120" i="24"/>
  <c r="E121" i="24" s="1"/>
  <c r="D121" i="24"/>
  <c r="D122" i="24"/>
  <c r="D123" i="24"/>
  <c r="E124" i="24" s="1"/>
  <c r="D124" i="24"/>
  <c r="E125" i="24" s="1"/>
  <c r="D125" i="24"/>
  <c r="E126" i="24" s="1"/>
  <c r="D126" i="24"/>
  <c r="E127" i="24" s="1"/>
  <c r="D127" i="24"/>
  <c r="E128" i="24" s="1"/>
  <c r="D128" i="24"/>
  <c r="E129" i="24" s="1"/>
  <c r="D129" i="24"/>
  <c r="D130" i="24"/>
  <c r="D131" i="24"/>
  <c r="E132" i="24" s="1"/>
  <c r="D132" i="24"/>
  <c r="E133" i="24" s="1"/>
  <c r="D133" i="24"/>
  <c r="E134" i="24" s="1"/>
  <c r="D134" i="24"/>
  <c r="E135" i="24" s="1"/>
  <c r="D135" i="24"/>
  <c r="E136" i="24" s="1"/>
  <c r="D136" i="24"/>
  <c r="E137" i="24" s="1"/>
  <c r="D137" i="24"/>
  <c r="D138" i="24"/>
  <c r="D139" i="24"/>
  <c r="E140" i="24" s="1"/>
  <c r="D140" i="24"/>
  <c r="E141" i="24" s="1"/>
  <c r="D141" i="24"/>
  <c r="E142" i="24" s="1"/>
  <c r="D142" i="24"/>
  <c r="E143" i="24" s="1"/>
  <c r="D143" i="24"/>
  <c r="E144" i="24" s="1"/>
  <c r="D144" i="24"/>
  <c r="E145" i="24" s="1"/>
  <c r="D145" i="24"/>
  <c r="D146" i="24"/>
  <c r="D147" i="24"/>
  <c r="E148" i="24" s="1"/>
  <c r="D148" i="24"/>
  <c r="E149" i="24" s="1"/>
  <c r="D149" i="24"/>
  <c r="E150" i="24" s="1"/>
  <c r="D150" i="24"/>
  <c r="E151" i="24" s="1"/>
  <c r="D151" i="24"/>
  <c r="E152" i="24" s="1"/>
  <c r="D152" i="24"/>
  <c r="E153" i="24" s="1"/>
  <c r="D153" i="24"/>
  <c r="D154" i="24"/>
  <c r="D155" i="24"/>
  <c r="E156" i="24" s="1"/>
  <c r="D156" i="24"/>
  <c r="E157" i="24" s="1"/>
  <c r="D157" i="24"/>
  <c r="E158" i="24" s="1"/>
  <c r="D158" i="24"/>
  <c r="E159" i="24" s="1"/>
  <c r="D159" i="24"/>
  <c r="E160" i="24" s="1"/>
  <c r="D160" i="24"/>
  <c r="E161" i="24" s="1"/>
  <c r="D161" i="24"/>
  <c r="D162" i="24"/>
  <c r="D163" i="24"/>
  <c r="E164" i="24" s="1"/>
  <c r="D164" i="24"/>
  <c r="E165" i="24" s="1"/>
  <c r="D165" i="24"/>
  <c r="E166" i="24" s="1"/>
  <c r="D166" i="24"/>
  <c r="E167" i="24" s="1"/>
  <c r="D167" i="24"/>
  <c r="E168" i="24" s="1"/>
  <c r="D168" i="24"/>
  <c r="E169" i="24" s="1"/>
  <c r="D169" i="24"/>
  <c r="D170" i="24"/>
  <c r="D171" i="24"/>
  <c r="E172" i="24" s="1"/>
  <c r="D172" i="24"/>
  <c r="E173" i="24" s="1"/>
  <c r="D173" i="24"/>
  <c r="E174" i="24" s="1"/>
  <c r="D174" i="24"/>
  <c r="E175" i="24" s="1"/>
  <c r="D175" i="24"/>
  <c r="E176" i="24" s="1"/>
  <c r="D176" i="24"/>
  <c r="E177" i="24" s="1"/>
  <c r="D177" i="24"/>
  <c r="D178" i="24"/>
  <c r="D179" i="24"/>
  <c r="E180" i="24" s="1"/>
  <c r="D180" i="24"/>
  <c r="E181" i="24" s="1"/>
  <c r="D181" i="24"/>
  <c r="E182" i="24" s="1"/>
  <c r="D182" i="24"/>
  <c r="E183" i="24" s="1"/>
  <c r="D183" i="24"/>
  <c r="E184" i="24" s="1"/>
  <c r="D184" i="24"/>
  <c r="E185" i="24" s="1"/>
  <c r="D185" i="24"/>
  <c r="D186" i="24"/>
  <c r="D187" i="24"/>
  <c r="E188" i="24" s="1"/>
  <c r="D188" i="24"/>
  <c r="E189" i="24" s="1"/>
  <c r="D189" i="24"/>
  <c r="E190" i="24" s="1"/>
  <c r="D190" i="24"/>
  <c r="E191" i="24" s="1"/>
  <c r="D191" i="24"/>
  <c r="E192" i="24" s="1"/>
  <c r="D192" i="24"/>
  <c r="E193" i="24" s="1"/>
  <c r="D193" i="24"/>
  <c r="D194" i="24"/>
  <c r="D195" i="24"/>
  <c r="E196" i="24" s="1"/>
  <c r="D196" i="24"/>
  <c r="E197" i="24" s="1"/>
  <c r="D197" i="24"/>
  <c r="E198" i="24" s="1"/>
  <c r="D198" i="24"/>
  <c r="E199" i="24" s="1"/>
  <c r="D199" i="24"/>
  <c r="E200" i="24" s="1"/>
  <c r="D200" i="24"/>
  <c r="E201" i="24" s="1"/>
  <c r="D201" i="24"/>
  <c r="D202" i="24"/>
  <c r="D203" i="24"/>
  <c r="E204" i="24" s="1"/>
  <c r="D204" i="24"/>
  <c r="E205" i="24" s="1"/>
  <c r="D205" i="24"/>
  <c r="E206" i="24" s="1"/>
  <c r="D206" i="24"/>
  <c r="E207" i="24" s="1"/>
  <c r="D207" i="24"/>
  <c r="E208" i="24" s="1"/>
  <c r="D208" i="24"/>
  <c r="E209" i="24" s="1"/>
  <c r="D209" i="24"/>
  <c r="D210" i="24"/>
  <c r="D211" i="24"/>
  <c r="E212" i="24" s="1"/>
  <c r="D212" i="24"/>
  <c r="E213" i="24" s="1"/>
  <c r="D213" i="24"/>
  <c r="E214" i="24" s="1"/>
  <c r="D214" i="24"/>
  <c r="E215" i="24" s="1"/>
  <c r="D215" i="24"/>
  <c r="E216" i="24" s="1"/>
  <c r="D216" i="24"/>
  <c r="E217" i="24" s="1"/>
  <c r="D217" i="24"/>
  <c r="D218" i="24"/>
  <c r="D219" i="24"/>
  <c r="E220" i="24" s="1"/>
  <c r="D220" i="24"/>
  <c r="E221" i="24" s="1"/>
  <c r="D221" i="24"/>
  <c r="E222" i="24" s="1"/>
  <c r="D222" i="24"/>
  <c r="E223" i="24" s="1"/>
  <c r="D223" i="24"/>
  <c r="E224" i="24" s="1"/>
  <c r="D224" i="24"/>
  <c r="E225" i="24" s="1"/>
  <c r="D225" i="24"/>
  <c r="D226" i="24"/>
  <c r="D227" i="24"/>
  <c r="E228" i="24" s="1"/>
  <c r="D228" i="24"/>
  <c r="E229" i="24" s="1"/>
  <c r="D229" i="24"/>
  <c r="E230" i="24" s="1"/>
  <c r="D230" i="24"/>
  <c r="E231" i="24" s="1"/>
  <c r="D231" i="24"/>
  <c r="E232" i="24" s="1"/>
  <c r="D232" i="24"/>
  <c r="E233" i="24" s="1"/>
  <c r="D233" i="24"/>
  <c r="D234" i="24"/>
  <c r="D235" i="24"/>
  <c r="E236" i="24" s="1"/>
  <c r="D236" i="24"/>
  <c r="E237" i="24" s="1"/>
  <c r="D237" i="24"/>
  <c r="E238" i="24" s="1"/>
  <c r="D238" i="24"/>
  <c r="E239" i="24" s="1"/>
  <c r="D239" i="24"/>
  <c r="E240" i="24" s="1"/>
  <c r="D240" i="24"/>
  <c r="E241" i="24" s="1"/>
  <c r="D241" i="24"/>
  <c r="D242" i="24"/>
  <c r="D243" i="24"/>
  <c r="E244" i="24" s="1"/>
  <c r="D244" i="24"/>
  <c r="E245" i="24" s="1"/>
  <c r="D245" i="24"/>
  <c r="E246" i="24" s="1"/>
  <c r="D246" i="24"/>
  <c r="E247" i="24" s="1"/>
  <c r="D247" i="24"/>
  <c r="E248" i="24" s="1"/>
  <c r="D248" i="24"/>
  <c r="E249" i="24" s="1"/>
  <c r="D249" i="24"/>
  <c r="D250" i="24"/>
  <c r="D251" i="24"/>
  <c r="E252" i="24" s="1"/>
  <c r="D252" i="24"/>
  <c r="E253" i="24" s="1"/>
  <c r="D253" i="24"/>
  <c r="E254" i="24" s="1"/>
  <c r="D254" i="24"/>
  <c r="E255" i="24" s="1"/>
  <c r="D255" i="24"/>
  <c r="E256" i="24" s="1"/>
  <c r="D256" i="24"/>
  <c r="E257" i="24" s="1"/>
  <c r="D257" i="24"/>
  <c r="D258" i="24"/>
  <c r="D259" i="24"/>
  <c r="E260" i="24" s="1"/>
  <c r="D260" i="24"/>
  <c r="E261" i="24" s="1"/>
  <c r="D261" i="24"/>
  <c r="E262" i="24" s="1"/>
  <c r="D262" i="24"/>
  <c r="E263" i="24" s="1"/>
  <c r="D263" i="24"/>
  <c r="E264" i="24" s="1"/>
  <c r="D264" i="24"/>
  <c r="E265" i="24" s="1"/>
  <c r="D265" i="24"/>
  <c r="D266" i="24"/>
  <c r="D267" i="24"/>
  <c r="E268" i="24" s="1"/>
  <c r="D268" i="24"/>
  <c r="E269" i="24" s="1"/>
  <c r="D269" i="24"/>
  <c r="E270" i="24" s="1"/>
  <c r="D270" i="24"/>
  <c r="E271" i="24" s="1"/>
  <c r="D271" i="24"/>
  <c r="E272" i="24" s="1"/>
  <c r="D272" i="24"/>
  <c r="E273" i="24" s="1"/>
  <c r="D273" i="24"/>
  <c r="D274" i="24"/>
  <c r="D275" i="24"/>
  <c r="E276" i="24" s="1"/>
  <c r="D276" i="24"/>
  <c r="E277" i="24" s="1"/>
  <c r="D277" i="24"/>
  <c r="E278" i="24" s="1"/>
  <c r="D278" i="24"/>
  <c r="E279" i="24" s="1"/>
  <c r="D279" i="24"/>
  <c r="E280" i="24" s="1"/>
  <c r="D280" i="24"/>
  <c r="E281" i="24" s="1"/>
  <c r="D281" i="24"/>
  <c r="D282" i="24"/>
  <c r="D283" i="24"/>
  <c r="E284" i="24" s="1"/>
  <c r="D284" i="24"/>
  <c r="E285" i="24" s="1"/>
  <c r="D285" i="24"/>
  <c r="E286" i="24" s="1"/>
  <c r="D286" i="24"/>
  <c r="E287" i="24" s="1"/>
  <c r="D287" i="24"/>
  <c r="E288" i="24" s="1"/>
  <c r="D288" i="24"/>
  <c r="E289" i="24" s="1"/>
  <c r="D289" i="24"/>
  <c r="D290" i="24"/>
  <c r="D291" i="24"/>
  <c r="E292" i="24" s="1"/>
  <c r="D292" i="24"/>
  <c r="E293" i="24" s="1"/>
  <c r="D293" i="24"/>
  <c r="E294" i="24" s="1"/>
  <c r="D294" i="24"/>
  <c r="E295" i="24" s="1"/>
  <c r="D295" i="24"/>
  <c r="E296" i="24" s="1"/>
  <c r="D296" i="24"/>
  <c r="E297" i="24" s="1"/>
  <c r="D297" i="24"/>
  <c r="D298" i="24"/>
  <c r="D299" i="24"/>
  <c r="E300" i="24" s="1"/>
  <c r="D300" i="24"/>
  <c r="E301" i="24" s="1"/>
  <c r="D301" i="24"/>
  <c r="E302" i="24" s="1"/>
  <c r="D302" i="24"/>
  <c r="E303" i="24" s="1"/>
  <c r="D303" i="24"/>
  <c r="E304" i="24" s="1"/>
  <c r="D304" i="24"/>
  <c r="E305" i="24" s="1"/>
  <c r="D305" i="24"/>
  <c r="D306" i="24"/>
  <c r="D307" i="24"/>
  <c r="E308" i="24" s="1"/>
  <c r="D308" i="24"/>
  <c r="E309" i="24" s="1"/>
  <c r="D309" i="24"/>
  <c r="E310" i="24" s="1"/>
  <c r="D310" i="24"/>
  <c r="E311" i="24" s="1"/>
  <c r="D311" i="24"/>
  <c r="E312" i="24" s="1"/>
  <c r="D312" i="24"/>
  <c r="E313" i="24" s="1"/>
  <c r="D313" i="24"/>
  <c r="D314" i="24"/>
  <c r="D315" i="24"/>
  <c r="E316" i="24" s="1"/>
  <c r="D316" i="24"/>
  <c r="E317" i="24" s="1"/>
  <c r="D317" i="24"/>
  <c r="E318" i="24" s="1"/>
  <c r="D318" i="24"/>
  <c r="E319" i="24" s="1"/>
  <c r="D319" i="24"/>
  <c r="E320" i="24" s="1"/>
  <c r="D320" i="24"/>
  <c r="E321" i="24" s="1"/>
  <c r="D321" i="24"/>
  <c r="D322" i="24"/>
  <c r="D323" i="24"/>
  <c r="E324" i="24" s="1"/>
  <c r="D324" i="24"/>
  <c r="E325" i="24" s="1"/>
  <c r="D325" i="24"/>
  <c r="E326" i="24" s="1"/>
  <c r="D326" i="24"/>
  <c r="E327" i="24" s="1"/>
  <c r="D327" i="24"/>
  <c r="E328" i="24" s="1"/>
  <c r="D328" i="24"/>
  <c r="E329" i="24" s="1"/>
  <c r="D329" i="24"/>
  <c r="D330" i="24"/>
  <c r="D331" i="24"/>
  <c r="E332" i="24" s="1"/>
  <c r="D332" i="24"/>
  <c r="E333" i="24" s="1"/>
  <c r="D333" i="24"/>
  <c r="E334" i="24" s="1"/>
  <c r="D334" i="24"/>
  <c r="E335" i="24" s="1"/>
  <c r="D335" i="24"/>
  <c r="E336" i="24" s="1"/>
  <c r="D336" i="24"/>
  <c r="E337" i="24" s="1"/>
  <c r="D337" i="24"/>
  <c r="D338" i="24"/>
  <c r="D339" i="24"/>
  <c r="E340" i="24" s="1"/>
  <c r="D340" i="24"/>
  <c r="E341" i="24" s="1"/>
  <c r="D341" i="24"/>
  <c r="E342" i="24" s="1"/>
  <c r="D342" i="24"/>
  <c r="E343" i="24" s="1"/>
  <c r="D343" i="24"/>
  <c r="E344" i="24" s="1"/>
  <c r="D344" i="24"/>
  <c r="E345" i="24" s="1"/>
  <c r="D345" i="24"/>
  <c r="D346" i="24"/>
  <c r="D347" i="24"/>
  <c r="E348" i="24" s="1"/>
  <c r="D348" i="24"/>
  <c r="E349" i="24" s="1"/>
  <c r="D349" i="24"/>
  <c r="E350" i="24" s="1"/>
  <c r="D350" i="24"/>
  <c r="E351" i="24" s="1"/>
  <c r="D351" i="24"/>
  <c r="E352" i="24" s="1"/>
  <c r="D352" i="24"/>
  <c r="E353" i="24" s="1"/>
  <c r="D353" i="24"/>
  <c r="D354" i="24"/>
  <c r="D355" i="24"/>
  <c r="E356" i="24" s="1"/>
  <c r="D356" i="24"/>
  <c r="E357" i="24" s="1"/>
  <c r="D357" i="24"/>
  <c r="E358" i="24" s="1"/>
  <c r="D358" i="24"/>
  <c r="E359" i="24" s="1"/>
  <c r="D359" i="24"/>
  <c r="E360" i="24" s="1"/>
  <c r="D360" i="24"/>
  <c r="E361" i="24" s="1"/>
  <c r="D361" i="24"/>
  <c r="D362" i="24"/>
  <c r="D363" i="24"/>
  <c r="E364" i="24" s="1"/>
  <c r="D364" i="24"/>
  <c r="E365" i="24" s="1"/>
  <c r="D365" i="24"/>
  <c r="E366" i="24" s="1"/>
  <c r="D366" i="24"/>
  <c r="E367" i="24" s="1"/>
  <c r="D367" i="24"/>
  <c r="E368" i="24" s="1"/>
  <c r="D368" i="24"/>
  <c r="E369" i="24" s="1"/>
  <c r="D369" i="24"/>
  <c r="D370" i="24"/>
  <c r="D371" i="24"/>
  <c r="E372" i="24" s="1"/>
  <c r="D372" i="24"/>
  <c r="E373" i="24" s="1"/>
  <c r="D373" i="24"/>
  <c r="E374" i="24" s="1"/>
  <c r="D374" i="24"/>
  <c r="E375" i="24" s="1"/>
  <c r="D375" i="24"/>
  <c r="E376" i="24" s="1"/>
  <c r="D376" i="24"/>
  <c r="E377" i="24" s="1"/>
  <c r="D377" i="24"/>
  <c r="D378" i="24"/>
  <c r="D379" i="24"/>
  <c r="E380" i="24" s="1"/>
  <c r="D380" i="24"/>
  <c r="E381" i="24" s="1"/>
  <c r="D381" i="24"/>
  <c r="E382" i="24" s="1"/>
  <c r="D382" i="24"/>
  <c r="E383" i="24" s="1"/>
  <c r="D383" i="24"/>
  <c r="E384" i="24" s="1"/>
  <c r="D384" i="24"/>
  <c r="E385" i="24" s="1"/>
  <c r="D385" i="24"/>
  <c r="D386" i="24"/>
  <c r="D387" i="24"/>
  <c r="E388" i="24" s="1"/>
  <c r="D388" i="24"/>
  <c r="E389" i="24" s="1"/>
  <c r="D389" i="24"/>
  <c r="E390" i="24" s="1"/>
  <c r="D390" i="24"/>
  <c r="E391" i="24" s="1"/>
  <c r="D391" i="24"/>
  <c r="E392" i="24" s="1"/>
  <c r="D392" i="24"/>
  <c r="E393" i="24" s="1"/>
  <c r="D393" i="24"/>
  <c r="D394" i="24"/>
  <c r="D395" i="24"/>
  <c r="E396" i="24" s="1"/>
  <c r="D396" i="24"/>
  <c r="E397" i="24" s="1"/>
  <c r="D397" i="24"/>
  <c r="E398" i="24" s="1"/>
  <c r="D398" i="24"/>
  <c r="E399" i="24" s="1"/>
  <c r="D399" i="24"/>
  <c r="E400" i="24" s="1"/>
  <c r="D400" i="24"/>
  <c r="E401" i="24" s="1"/>
  <c r="D401" i="24"/>
  <c r="D402" i="24"/>
  <c r="D403" i="24"/>
  <c r="E404" i="24" s="1"/>
  <c r="D404" i="24"/>
  <c r="E405" i="24" s="1"/>
  <c r="D405" i="24"/>
  <c r="E406" i="24" s="1"/>
  <c r="D406" i="24"/>
  <c r="E407" i="24" s="1"/>
  <c r="D407" i="24"/>
  <c r="E408" i="24" s="1"/>
  <c r="D408" i="24"/>
  <c r="E409" i="24" s="1"/>
  <c r="D409" i="24"/>
  <c r="D410" i="24"/>
  <c r="D411" i="24"/>
  <c r="E412" i="24" s="1"/>
  <c r="D412" i="24"/>
  <c r="E413" i="24" s="1"/>
  <c r="D413" i="24"/>
  <c r="E414" i="24" s="1"/>
  <c r="D414" i="24"/>
  <c r="E415" i="24" s="1"/>
  <c r="D415" i="24"/>
  <c r="E416" i="24" s="1"/>
  <c r="D416" i="24"/>
  <c r="E417" i="24" s="1"/>
  <c r="D417" i="24"/>
  <c r="D418" i="24"/>
  <c r="D419" i="24"/>
  <c r="E420" i="24" s="1"/>
  <c r="D420" i="24"/>
  <c r="E421" i="24" s="1"/>
  <c r="D421" i="24"/>
  <c r="E422" i="24" s="1"/>
  <c r="D422" i="24"/>
  <c r="E423" i="24" s="1"/>
  <c r="D423" i="24"/>
  <c r="E424" i="24" s="1"/>
  <c r="D424" i="24"/>
  <c r="E425" i="24" s="1"/>
  <c r="D425" i="24"/>
  <c r="D426" i="24"/>
  <c r="D427" i="24"/>
  <c r="E428" i="24" s="1"/>
  <c r="D428" i="24"/>
  <c r="E429" i="24" s="1"/>
  <c r="D429" i="24"/>
  <c r="E430" i="24" s="1"/>
  <c r="D430" i="24"/>
  <c r="E431" i="24" s="1"/>
  <c r="D431" i="24"/>
  <c r="E432" i="24" s="1"/>
  <c r="D432" i="24"/>
  <c r="E433" i="24" s="1"/>
  <c r="D433" i="24"/>
  <c r="D434" i="24"/>
  <c r="D435" i="24"/>
  <c r="E436" i="24" s="1"/>
  <c r="D436" i="24"/>
  <c r="E437" i="24" s="1"/>
  <c r="D437" i="24"/>
  <c r="E438" i="24" s="1"/>
  <c r="D438" i="24"/>
  <c r="E439" i="24" s="1"/>
  <c r="D439" i="24"/>
  <c r="E440" i="24" s="1"/>
  <c r="D440" i="24"/>
  <c r="E441" i="24" s="1"/>
  <c r="D441" i="24"/>
  <c r="D442" i="24"/>
  <c r="D443" i="24"/>
  <c r="E444" i="24" s="1"/>
  <c r="D444" i="24"/>
  <c r="E445" i="24" s="1"/>
  <c r="D445" i="24"/>
  <c r="E446" i="24" s="1"/>
  <c r="D446" i="24"/>
  <c r="E447" i="24" s="1"/>
  <c r="D447" i="24"/>
  <c r="E448" i="24" s="1"/>
  <c r="D448" i="24"/>
  <c r="E449" i="24" s="1"/>
  <c r="D449" i="24"/>
  <c r="D450" i="24"/>
  <c r="D451" i="24"/>
  <c r="E452" i="24" s="1"/>
  <c r="D452" i="24"/>
  <c r="E453" i="24" s="1"/>
  <c r="D453" i="24"/>
  <c r="E454" i="24" s="1"/>
  <c r="D454" i="24"/>
  <c r="E455" i="24" s="1"/>
  <c r="D455" i="24"/>
  <c r="E456" i="24" s="1"/>
  <c r="D456" i="24"/>
  <c r="E457" i="24" s="1"/>
  <c r="D457" i="24"/>
  <c r="D458" i="24"/>
  <c r="D459" i="24"/>
  <c r="E460" i="24" s="1"/>
  <c r="D460" i="24"/>
  <c r="E461" i="24" s="1"/>
  <c r="D461" i="24"/>
  <c r="E462" i="24" s="1"/>
  <c r="D462" i="24"/>
  <c r="E463" i="24" s="1"/>
  <c r="D463" i="24"/>
  <c r="E464" i="24" s="1"/>
  <c r="D464" i="24"/>
  <c r="E465" i="24" s="1"/>
  <c r="D465" i="24"/>
  <c r="D466" i="24"/>
  <c r="D467" i="24"/>
  <c r="E468" i="24" s="1"/>
  <c r="D468" i="24"/>
  <c r="E469" i="24" s="1"/>
  <c r="D469" i="24"/>
  <c r="E470" i="24" s="1"/>
  <c r="D470" i="24"/>
  <c r="E471" i="24" s="1"/>
  <c r="D471" i="24"/>
  <c r="E472" i="24" s="1"/>
  <c r="D472" i="24"/>
  <c r="E473" i="24" s="1"/>
  <c r="D473" i="24"/>
  <c r="D474" i="24"/>
  <c r="D475" i="24"/>
  <c r="E476" i="24" s="1"/>
  <c r="D476" i="24"/>
  <c r="E477" i="24" s="1"/>
  <c r="D477" i="24"/>
  <c r="E478" i="24" s="1"/>
  <c r="D478" i="24"/>
  <c r="E479" i="24" s="1"/>
  <c r="D479" i="24"/>
  <c r="E480" i="24" s="1"/>
  <c r="D480" i="24"/>
  <c r="E481" i="24" s="1"/>
  <c r="D481" i="24"/>
  <c r="D482" i="24"/>
  <c r="D483" i="24"/>
  <c r="E484" i="24" s="1"/>
  <c r="D484" i="24"/>
  <c r="E485" i="24" s="1"/>
  <c r="D485" i="24"/>
  <c r="E486" i="24" s="1"/>
  <c r="D486" i="24"/>
  <c r="E487" i="24" s="1"/>
  <c r="D487" i="24"/>
  <c r="E488" i="24" s="1"/>
  <c r="D488" i="24"/>
  <c r="E489" i="24" s="1"/>
  <c r="D489" i="24"/>
  <c r="D490" i="24"/>
  <c r="D491" i="24"/>
  <c r="E492" i="24" s="1"/>
  <c r="D492" i="24"/>
  <c r="E493" i="24" s="1"/>
  <c r="D493" i="24"/>
  <c r="E494" i="24" s="1"/>
  <c r="D494" i="24"/>
  <c r="E495" i="24" s="1"/>
  <c r="D495" i="24"/>
  <c r="E496" i="24" s="1"/>
  <c r="D496" i="24"/>
  <c r="E497" i="24" s="1"/>
  <c r="D497" i="24"/>
  <c r="D498" i="24"/>
  <c r="D499" i="24"/>
  <c r="E500" i="24" s="1"/>
  <c r="D500" i="24"/>
  <c r="E501" i="24" s="1"/>
  <c r="D501" i="24"/>
  <c r="E502" i="24" s="1"/>
  <c r="D502" i="24"/>
  <c r="E503" i="24" s="1"/>
  <c r="D503" i="24"/>
  <c r="E504" i="24" s="1"/>
  <c r="D504" i="24"/>
  <c r="D62" i="24"/>
  <c r="E2" i="38" l="1"/>
  <c r="F2" i="38" s="1"/>
  <c r="G3" i="38" s="1"/>
  <c r="E440" i="21"/>
  <c r="F440" i="21" s="1"/>
  <c r="G441" i="21" s="1"/>
  <c r="E428" i="21"/>
  <c r="F428" i="21" s="1"/>
  <c r="G429" i="21" s="1"/>
  <c r="E416" i="21"/>
  <c r="F416" i="21" s="1"/>
  <c r="G417" i="21" s="1"/>
  <c r="E404" i="21"/>
  <c r="F404" i="21" s="1"/>
  <c r="G405" i="21" s="1"/>
  <c r="E392" i="21"/>
  <c r="F392" i="21" s="1"/>
  <c r="G393" i="21" s="1"/>
  <c r="E380" i="21"/>
  <c r="F380" i="21" s="1"/>
  <c r="G381" i="21" s="1"/>
  <c r="E368" i="21"/>
  <c r="F368" i="21" s="1"/>
  <c r="G369" i="21" s="1"/>
  <c r="E356" i="21"/>
  <c r="F356" i="21" s="1"/>
  <c r="G357" i="21" s="1"/>
  <c r="E344" i="21"/>
  <c r="F344" i="21" s="1"/>
  <c r="G345" i="21" s="1"/>
  <c r="E332" i="21"/>
  <c r="F332" i="21" s="1"/>
  <c r="G333" i="21" s="1"/>
  <c r="E320" i="21"/>
  <c r="F320" i="21" s="1"/>
  <c r="G321" i="21" s="1"/>
  <c r="E308" i="21"/>
  <c r="F308" i="21" s="1"/>
  <c r="G309" i="21" s="1"/>
  <c r="E296" i="21"/>
  <c r="F296" i="21" s="1"/>
  <c r="G297" i="21" s="1"/>
  <c r="E284" i="21"/>
  <c r="F284" i="21" s="1"/>
  <c r="G285" i="21" s="1"/>
  <c r="E272" i="21"/>
  <c r="F272" i="21" s="1"/>
  <c r="G273" i="21" s="1"/>
  <c r="E260" i="21"/>
  <c r="F260" i="21" s="1"/>
  <c r="G261" i="21" s="1"/>
  <c r="E248" i="21"/>
  <c r="F248" i="21" s="1"/>
  <c r="G249" i="21" s="1"/>
  <c r="E236" i="21"/>
  <c r="F236" i="21" s="1"/>
  <c r="G237" i="21" s="1"/>
  <c r="E224" i="21"/>
  <c r="F224" i="21" s="1"/>
  <c r="G225" i="21" s="1"/>
  <c r="E212" i="21"/>
  <c r="F212" i="21" s="1"/>
  <c r="G213" i="21" s="1"/>
  <c r="E200" i="21"/>
  <c r="F200" i="21" s="1"/>
  <c r="G201" i="21" s="1"/>
  <c r="E188" i="21"/>
  <c r="F188" i="21" s="1"/>
  <c r="G189" i="21" s="1"/>
  <c r="E176" i="21"/>
  <c r="F176" i="21" s="1"/>
  <c r="G177" i="21" s="1"/>
  <c r="E164" i="21"/>
  <c r="F164" i="21" s="1"/>
  <c r="G165" i="21" s="1"/>
  <c r="E152" i="21"/>
  <c r="F152" i="21" s="1"/>
  <c r="G153" i="21" s="1"/>
  <c r="E140" i="21"/>
  <c r="F140" i="21" s="1"/>
  <c r="G141" i="21" s="1"/>
  <c r="E128" i="21"/>
  <c r="F128" i="21" s="1"/>
  <c r="G129" i="21" s="1"/>
  <c r="E116" i="21"/>
  <c r="F116" i="21" s="1"/>
  <c r="G117" i="21" s="1"/>
  <c r="E104" i="21"/>
  <c r="F104" i="21" s="1"/>
  <c r="G105" i="21" s="1"/>
  <c r="E92" i="21"/>
  <c r="F92" i="21" s="1"/>
  <c r="G93" i="21" s="1"/>
  <c r="E80" i="21"/>
  <c r="F80" i="21" s="1"/>
  <c r="G81" i="21" s="1"/>
  <c r="E68" i="21"/>
  <c r="F68" i="21" s="1"/>
  <c r="G69" i="21" s="1"/>
  <c r="E56" i="21"/>
  <c r="F56" i="21" s="1"/>
  <c r="G57" i="21" s="1"/>
  <c r="E44" i="21"/>
  <c r="F44" i="21" s="1"/>
  <c r="G45" i="21" s="1"/>
  <c r="E32" i="21"/>
  <c r="F32" i="21" s="1"/>
  <c r="G33" i="21" s="1"/>
  <c r="E20" i="21"/>
  <c r="F20" i="21" s="1"/>
  <c r="G21" i="21" s="1"/>
  <c r="E8" i="21"/>
  <c r="F8" i="21" s="1"/>
  <c r="G9" i="21" s="1"/>
  <c r="E438" i="21"/>
  <c r="F438" i="21" s="1"/>
  <c r="G439" i="21" s="1"/>
  <c r="E426" i="21"/>
  <c r="F426" i="21" s="1"/>
  <c r="G427" i="21" s="1"/>
  <c r="E414" i="21"/>
  <c r="F414" i="21" s="1"/>
  <c r="G415" i="21" s="1"/>
  <c r="E402" i="21"/>
  <c r="F402" i="21" s="1"/>
  <c r="G403" i="21" s="1"/>
  <c r="E390" i="21"/>
  <c r="F390" i="21" s="1"/>
  <c r="G391" i="21" s="1"/>
  <c r="E378" i="21"/>
  <c r="F378" i="21" s="1"/>
  <c r="G379" i="21" s="1"/>
  <c r="E366" i="21"/>
  <c r="F366" i="21" s="1"/>
  <c r="G367" i="21" s="1"/>
  <c r="E354" i="21"/>
  <c r="F354" i="21" s="1"/>
  <c r="G355" i="21" s="1"/>
  <c r="E342" i="21"/>
  <c r="F342" i="21" s="1"/>
  <c r="G343" i="21" s="1"/>
  <c r="E330" i="21"/>
  <c r="F330" i="21" s="1"/>
  <c r="G331" i="21" s="1"/>
  <c r="E318" i="21"/>
  <c r="F318" i="21" s="1"/>
  <c r="G319" i="21" s="1"/>
  <c r="E306" i="21"/>
  <c r="F306" i="21" s="1"/>
  <c r="G307" i="21" s="1"/>
  <c r="E294" i="21"/>
  <c r="F294" i="21" s="1"/>
  <c r="G295" i="21" s="1"/>
  <c r="E282" i="21"/>
  <c r="F282" i="21" s="1"/>
  <c r="G283" i="21" s="1"/>
  <c r="E270" i="21"/>
  <c r="F270" i="21" s="1"/>
  <c r="G271" i="21" s="1"/>
  <c r="E258" i="21"/>
  <c r="F258" i="21" s="1"/>
  <c r="G259" i="21" s="1"/>
  <c r="E246" i="21"/>
  <c r="F246" i="21" s="1"/>
  <c r="G247" i="21" s="1"/>
  <c r="E234" i="21"/>
  <c r="F234" i="21" s="1"/>
  <c r="G235" i="21" s="1"/>
  <c r="E222" i="21"/>
  <c r="F222" i="21" s="1"/>
  <c r="G223" i="21" s="1"/>
  <c r="E210" i="21"/>
  <c r="F210" i="21" s="1"/>
  <c r="G211" i="21" s="1"/>
  <c r="E198" i="21"/>
  <c r="F198" i="21" s="1"/>
  <c r="G199" i="21" s="1"/>
  <c r="E186" i="21"/>
  <c r="F186" i="21" s="1"/>
  <c r="G187" i="21" s="1"/>
  <c r="E174" i="21"/>
  <c r="F174" i="21" s="1"/>
  <c r="G175" i="21" s="1"/>
  <c r="E162" i="21"/>
  <c r="F162" i="21" s="1"/>
  <c r="G163" i="21" s="1"/>
  <c r="E150" i="21"/>
  <c r="F150" i="21" s="1"/>
  <c r="G151" i="21" s="1"/>
  <c r="E138" i="21"/>
  <c r="F138" i="21" s="1"/>
  <c r="G139" i="21" s="1"/>
  <c r="E126" i="21"/>
  <c r="F126" i="21" s="1"/>
  <c r="G127" i="21" s="1"/>
  <c r="E114" i="21"/>
  <c r="F114" i="21" s="1"/>
  <c r="G115" i="21" s="1"/>
  <c r="E102" i="21"/>
  <c r="F102" i="21" s="1"/>
  <c r="G103" i="21" s="1"/>
  <c r="E90" i="21"/>
  <c r="F90" i="21" s="1"/>
  <c r="G91" i="21" s="1"/>
  <c r="E78" i="21"/>
  <c r="F78" i="21" s="1"/>
  <c r="G79" i="21" s="1"/>
  <c r="E66" i="21"/>
  <c r="F66" i="21" s="1"/>
  <c r="G67" i="21" s="1"/>
  <c r="E54" i="21"/>
  <c r="F54" i="21" s="1"/>
  <c r="G55" i="21" s="1"/>
  <c r="E42" i="21"/>
  <c r="F42" i="21" s="1"/>
  <c r="G43" i="21" s="1"/>
  <c r="E30" i="21"/>
  <c r="F30" i="21" s="1"/>
  <c r="G31" i="21" s="1"/>
  <c r="E18" i="21"/>
  <c r="F18" i="21" s="1"/>
  <c r="G19" i="21" s="1"/>
  <c r="E6" i="21"/>
  <c r="F6" i="21" s="1"/>
  <c r="G7" i="21" s="1"/>
  <c r="E3" i="21"/>
  <c r="F3" i="21" s="1"/>
  <c r="G4" i="21" s="1"/>
  <c r="E5" i="22"/>
  <c r="E6" i="22"/>
  <c r="E13" i="22"/>
  <c r="E14" i="22"/>
  <c r="E21" i="22"/>
  <c r="E22" i="22"/>
  <c r="E29" i="22"/>
  <c r="E30" i="22"/>
  <c r="E37" i="22"/>
  <c r="E38" i="22"/>
  <c r="E45" i="22"/>
  <c r="E46" i="22"/>
  <c r="E53" i="22"/>
  <c r="E54" i="22"/>
  <c r="E61" i="22"/>
  <c r="E62" i="22"/>
  <c r="E69" i="22"/>
  <c r="E70" i="22"/>
  <c r="E77" i="22"/>
  <c r="E78" i="22"/>
  <c r="E85" i="22"/>
  <c r="E86" i="22"/>
  <c r="E93" i="22"/>
  <c r="E94" i="22"/>
  <c r="E101" i="22"/>
  <c r="E102" i="22"/>
  <c r="E109" i="22"/>
  <c r="E110" i="22"/>
  <c r="E117" i="22"/>
  <c r="E118" i="22"/>
  <c r="E125" i="22"/>
  <c r="E126" i="22"/>
  <c r="E133" i="22"/>
  <c r="E134" i="22"/>
  <c r="E141" i="22"/>
  <c r="E142" i="22"/>
  <c r="E149" i="22"/>
  <c r="E150" i="22"/>
  <c r="E157" i="22"/>
  <c r="E158" i="22"/>
  <c r="E165" i="22"/>
  <c r="E166" i="22"/>
  <c r="E173" i="22"/>
  <c r="E174" i="22"/>
  <c r="E181" i="22"/>
  <c r="E182" i="22"/>
  <c r="E189" i="22"/>
  <c r="E190" i="22"/>
  <c r="E197" i="22"/>
  <c r="E198" i="22"/>
  <c r="E205" i="22"/>
  <c r="E206" i="22"/>
  <c r="E213" i="22"/>
  <c r="E214" i="22"/>
  <c r="E221" i="22"/>
  <c r="E222" i="22"/>
  <c r="E229" i="22"/>
  <c r="E230" i="22"/>
  <c r="E237" i="22"/>
  <c r="E238" i="22"/>
  <c r="E245" i="22"/>
  <c r="E246" i="22"/>
  <c r="E253" i="22"/>
  <c r="E254" i="22"/>
  <c r="E261" i="22"/>
  <c r="E262" i="22"/>
  <c r="E269" i="22"/>
  <c r="E270" i="22"/>
  <c r="E277" i="22"/>
  <c r="E278" i="22"/>
  <c r="E285" i="22"/>
  <c r="E286" i="22"/>
  <c r="E293" i="22"/>
  <c r="E294" i="22"/>
  <c r="E301" i="22"/>
  <c r="E302" i="22"/>
  <c r="E309" i="22"/>
  <c r="E310" i="22"/>
  <c r="E317" i="22"/>
  <c r="E318" i="22"/>
  <c r="E325" i="22"/>
  <c r="E326" i="22"/>
  <c r="E333" i="22"/>
  <c r="E334" i="22"/>
  <c r="E341" i="22"/>
  <c r="E342" i="22"/>
  <c r="E349" i="22"/>
  <c r="E350" i="22"/>
  <c r="E357" i="22"/>
  <c r="E358" i="22"/>
  <c r="E365" i="22"/>
  <c r="E366" i="22"/>
  <c r="E373" i="22"/>
  <c r="E374" i="22"/>
  <c r="E381" i="22"/>
  <c r="E382" i="22"/>
  <c r="E389" i="22"/>
  <c r="E390" i="22"/>
  <c r="E397" i="22"/>
  <c r="E398" i="22"/>
  <c r="E405" i="22"/>
  <c r="E406" i="22"/>
  <c r="E413" i="22"/>
  <c r="E414" i="22"/>
  <c r="E421" i="22"/>
  <c r="E422" i="22"/>
  <c r="E429" i="22"/>
  <c r="E430" i="22"/>
  <c r="E437" i="22"/>
  <c r="E438" i="22"/>
  <c r="E445" i="22"/>
  <c r="E446" i="22"/>
  <c r="E453" i="22"/>
  <c r="E454" i="22"/>
  <c r="E461" i="22"/>
  <c r="E462" i="22"/>
  <c r="E469" i="22"/>
  <c r="E470" i="22"/>
  <c r="E477" i="22"/>
  <c r="E478" i="22"/>
  <c r="E485" i="22"/>
  <c r="E486" i="22"/>
  <c r="E493" i="22"/>
  <c r="E494" i="22"/>
  <c r="E501" i="22"/>
  <c r="E502" i="22"/>
  <c r="D3" i="22"/>
  <c r="E4" i="22" s="1"/>
  <c r="D4" i="22"/>
  <c r="D5" i="22"/>
  <c r="D6" i="22"/>
  <c r="E7" i="22" s="1"/>
  <c r="D7" i="22"/>
  <c r="E8" i="22" s="1"/>
  <c r="D8" i="22"/>
  <c r="E9" i="22" s="1"/>
  <c r="D9" i="22"/>
  <c r="E10" i="22" s="1"/>
  <c r="D10" i="22"/>
  <c r="E11" i="22" s="1"/>
  <c r="D11" i="22"/>
  <c r="E12" i="22" s="1"/>
  <c r="D12" i="22"/>
  <c r="D13" i="22"/>
  <c r="D14" i="22"/>
  <c r="E15" i="22" s="1"/>
  <c r="D15" i="22"/>
  <c r="E16" i="22" s="1"/>
  <c r="D16" i="22"/>
  <c r="E17" i="22" s="1"/>
  <c r="D17" i="22"/>
  <c r="E18" i="22" s="1"/>
  <c r="D18" i="22"/>
  <c r="E19" i="22" s="1"/>
  <c r="D19" i="22"/>
  <c r="E20" i="22" s="1"/>
  <c r="D20" i="22"/>
  <c r="D21" i="22"/>
  <c r="D22" i="22"/>
  <c r="E23" i="22" s="1"/>
  <c r="D23" i="22"/>
  <c r="E24" i="22" s="1"/>
  <c r="D24" i="22"/>
  <c r="E25" i="22" s="1"/>
  <c r="D25" i="22"/>
  <c r="E26" i="22" s="1"/>
  <c r="D26" i="22"/>
  <c r="E27" i="22" s="1"/>
  <c r="D27" i="22"/>
  <c r="E28" i="22" s="1"/>
  <c r="D28" i="22"/>
  <c r="D29" i="22"/>
  <c r="D30" i="22"/>
  <c r="E31" i="22" s="1"/>
  <c r="D31" i="22"/>
  <c r="E32" i="22" s="1"/>
  <c r="D32" i="22"/>
  <c r="E33" i="22" s="1"/>
  <c r="D33" i="22"/>
  <c r="E34" i="22" s="1"/>
  <c r="D34" i="22"/>
  <c r="E35" i="22" s="1"/>
  <c r="D35" i="22"/>
  <c r="E36" i="22" s="1"/>
  <c r="D36" i="22"/>
  <c r="D37" i="22"/>
  <c r="D38" i="22"/>
  <c r="E39" i="22" s="1"/>
  <c r="D39" i="22"/>
  <c r="E40" i="22" s="1"/>
  <c r="D40" i="22"/>
  <c r="E41" i="22" s="1"/>
  <c r="D41" i="22"/>
  <c r="E42" i="22" s="1"/>
  <c r="D42" i="22"/>
  <c r="E43" i="22" s="1"/>
  <c r="D43" i="22"/>
  <c r="E44" i="22" s="1"/>
  <c r="D44" i="22"/>
  <c r="D45" i="22"/>
  <c r="D46" i="22"/>
  <c r="E47" i="22" s="1"/>
  <c r="D47" i="22"/>
  <c r="E48" i="22" s="1"/>
  <c r="D48" i="22"/>
  <c r="E49" i="22" s="1"/>
  <c r="D49" i="22"/>
  <c r="E50" i="22" s="1"/>
  <c r="D50" i="22"/>
  <c r="E51" i="22" s="1"/>
  <c r="D51" i="22"/>
  <c r="E52" i="22" s="1"/>
  <c r="D52" i="22"/>
  <c r="D53" i="22"/>
  <c r="D54" i="22"/>
  <c r="E55" i="22" s="1"/>
  <c r="D55" i="22"/>
  <c r="E56" i="22" s="1"/>
  <c r="D56" i="22"/>
  <c r="E57" i="22" s="1"/>
  <c r="D57" i="22"/>
  <c r="E58" i="22" s="1"/>
  <c r="D58" i="22"/>
  <c r="E59" i="22" s="1"/>
  <c r="D59" i="22"/>
  <c r="E60" i="22" s="1"/>
  <c r="D60" i="22"/>
  <c r="D61" i="22"/>
  <c r="D62" i="22"/>
  <c r="E63" i="22" s="1"/>
  <c r="D63" i="22"/>
  <c r="E64" i="22" s="1"/>
  <c r="D64" i="22"/>
  <c r="E65" i="22" s="1"/>
  <c r="D65" i="22"/>
  <c r="E66" i="22" s="1"/>
  <c r="D66" i="22"/>
  <c r="E67" i="22" s="1"/>
  <c r="D67" i="22"/>
  <c r="E68" i="22" s="1"/>
  <c r="D68" i="22"/>
  <c r="D69" i="22"/>
  <c r="D70" i="22"/>
  <c r="E71" i="22" s="1"/>
  <c r="D71" i="22"/>
  <c r="E72" i="22" s="1"/>
  <c r="D72" i="22"/>
  <c r="E73" i="22" s="1"/>
  <c r="D73" i="22"/>
  <c r="E74" i="22" s="1"/>
  <c r="D74" i="22"/>
  <c r="E75" i="22" s="1"/>
  <c r="D75" i="22"/>
  <c r="E76" i="22" s="1"/>
  <c r="D76" i="22"/>
  <c r="D77" i="22"/>
  <c r="D78" i="22"/>
  <c r="E79" i="22" s="1"/>
  <c r="D79" i="22"/>
  <c r="E80" i="22" s="1"/>
  <c r="D80" i="22"/>
  <c r="E81" i="22" s="1"/>
  <c r="D81" i="22"/>
  <c r="E82" i="22" s="1"/>
  <c r="D82" i="22"/>
  <c r="E83" i="22" s="1"/>
  <c r="D83" i="22"/>
  <c r="E84" i="22" s="1"/>
  <c r="D84" i="22"/>
  <c r="D85" i="22"/>
  <c r="D86" i="22"/>
  <c r="E87" i="22" s="1"/>
  <c r="D87" i="22"/>
  <c r="E88" i="22" s="1"/>
  <c r="D88" i="22"/>
  <c r="E89" i="22" s="1"/>
  <c r="D89" i="22"/>
  <c r="E90" i="22" s="1"/>
  <c r="D90" i="22"/>
  <c r="E91" i="22" s="1"/>
  <c r="D91" i="22"/>
  <c r="E92" i="22" s="1"/>
  <c r="D92" i="22"/>
  <c r="D93" i="22"/>
  <c r="D94" i="22"/>
  <c r="E95" i="22" s="1"/>
  <c r="D95" i="22"/>
  <c r="E96" i="22" s="1"/>
  <c r="D96" i="22"/>
  <c r="E97" i="22" s="1"/>
  <c r="D97" i="22"/>
  <c r="E98" i="22" s="1"/>
  <c r="D98" i="22"/>
  <c r="E99" i="22" s="1"/>
  <c r="D99" i="22"/>
  <c r="E100" i="22" s="1"/>
  <c r="D100" i="22"/>
  <c r="D101" i="22"/>
  <c r="D102" i="22"/>
  <c r="E103" i="22" s="1"/>
  <c r="D103" i="22"/>
  <c r="E104" i="22" s="1"/>
  <c r="D104" i="22"/>
  <c r="E105" i="22" s="1"/>
  <c r="D105" i="22"/>
  <c r="E106" i="22" s="1"/>
  <c r="D106" i="22"/>
  <c r="E107" i="22" s="1"/>
  <c r="D107" i="22"/>
  <c r="E108" i="22" s="1"/>
  <c r="D108" i="22"/>
  <c r="D109" i="22"/>
  <c r="D110" i="22"/>
  <c r="E111" i="22" s="1"/>
  <c r="D111" i="22"/>
  <c r="E112" i="22" s="1"/>
  <c r="D112" i="22"/>
  <c r="E113" i="22" s="1"/>
  <c r="D113" i="22"/>
  <c r="E114" i="22" s="1"/>
  <c r="D114" i="22"/>
  <c r="E115" i="22" s="1"/>
  <c r="D115" i="22"/>
  <c r="E116" i="22" s="1"/>
  <c r="D116" i="22"/>
  <c r="D117" i="22"/>
  <c r="D118" i="22"/>
  <c r="E119" i="22" s="1"/>
  <c r="D119" i="22"/>
  <c r="E120" i="22" s="1"/>
  <c r="D120" i="22"/>
  <c r="E121" i="22" s="1"/>
  <c r="D121" i="22"/>
  <c r="E122" i="22" s="1"/>
  <c r="D122" i="22"/>
  <c r="E123" i="22" s="1"/>
  <c r="D123" i="22"/>
  <c r="E124" i="22" s="1"/>
  <c r="D124" i="22"/>
  <c r="D125" i="22"/>
  <c r="D126" i="22"/>
  <c r="E127" i="22" s="1"/>
  <c r="D127" i="22"/>
  <c r="E128" i="22" s="1"/>
  <c r="D128" i="22"/>
  <c r="E129" i="22" s="1"/>
  <c r="D129" i="22"/>
  <c r="E130" i="22" s="1"/>
  <c r="D130" i="22"/>
  <c r="E131" i="22" s="1"/>
  <c r="D131" i="22"/>
  <c r="E132" i="22" s="1"/>
  <c r="D132" i="22"/>
  <c r="D133" i="22"/>
  <c r="D134" i="22"/>
  <c r="E135" i="22" s="1"/>
  <c r="D135" i="22"/>
  <c r="E136" i="22" s="1"/>
  <c r="D136" i="22"/>
  <c r="E137" i="22" s="1"/>
  <c r="D137" i="22"/>
  <c r="E138" i="22" s="1"/>
  <c r="D138" i="22"/>
  <c r="E139" i="22" s="1"/>
  <c r="D139" i="22"/>
  <c r="E140" i="22" s="1"/>
  <c r="D140" i="22"/>
  <c r="D141" i="22"/>
  <c r="D142" i="22"/>
  <c r="E143" i="22" s="1"/>
  <c r="D143" i="22"/>
  <c r="E144" i="22" s="1"/>
  <c r="D144" i="22"/>
  <c r="E145" i="22" s="1"/>
  <c r="D145" i="22"/>
  <c r="E146" i="22" s="1"/>
  <c r="D146" i="22"/>
  <c r="E147" i="22" s="1"/>
  <c r="D147" i="22"/>
  <c r="E148" i="22" s="1"/>
  <c r="D148" i="22"/>
  <c r="D149" i="22"/>
  <c r="D150" i="22"/>
  <c r="E151" i="22" s="1"/>
  <c r="D151" i="22"/>
  <c r="E152" i="22" s="1"/>
  <c r="D152" i="22"/>
  <c r="E153" i="22" s="1"/>
  <c r="D153" i="22"/>
  <c r="E154" i="22" s="1"/>
  <c r="D154" i="22"/>
  <c r="E155" i="22" s="1"/>
  <c r="D155" i="22"/>
  <c r="E156" i="22" s="1"/>
  <c r="D156" i="22"/>
  <c r="D157" i="22"/>
  <c r="D158" i="22"/>
  <c r="E159" i="22" s="1"/>
  <c r="D159" i="22"/>
  <c r="E160" i="22" s="1"/>
  <c r="D160" i="22"/>
  <c r="E161" i="22" s="1"/>
  <c r="D161" i="22"/>
  <c r="E162" i="22" s="1"/>
  <c r="D162" i="22"/>
  <c r="E163" i="22" s="1"/>
  <c r="D163" i="22"/>
  <c r="E164" i="22" s="1"/>
  <c r="D164" i="22"/>
  <c r="D165" i="22"/>
  <c r="D166" i="22"/>
  <c r="E167" i="22" s="1"/>
  <c r="D167" i="22"/>
  <c r="E168" i="22" s="1"/>
  <c r="D168" i="22"/>
  <c r="E169" i="22" s="1"/>
  <c r="D169" i="22"/>
  <c r="E170" i="22" s="1"/>
  <c r="D170" i="22"/>
  <c r="E171" i="22" s="1"/>
  <c r="D171" i="22"/>
  <c r="E172" i="22" s="1"/>
  <c r="D172" i="22"/>
  <c r="D173" i="22"/>
  <c r="D174" i="22"/>
  <c r="E175" i="22" s="1"/>
  <c r="D175" i="22"/>
  <c r="E176" i="22" s="1"/>
  <c r="D176" i="22"/>
  <c r="E177" i="22" s="1"/>
  <c r="D177" i="22"/>
  <c r="E178" i="22" s="1"/>
  <c r="D178" i="22"/>
  <c r="E179" i="22" s="1"/>
  <c r="D179" i="22"/>
  <c r="E180" i="22" s="1"/>
  <c r="D180" i="22"/>
  <c r="D181" i="22"/>
  <c r="D182" i="22"/>
  <c r="E183" i="22" s="1"/>
  <c r="D183" i="22"/>
  <c r="E184" i="22" s="1"/>
  <c r="D184" i="22"/>
  <c r="E185" i="22" s="1"/>
  <c r="D185" i="22"/>
  <c r="E186" i="22" s="1"/>
  <c r="D186" i="22"/>
  <c r="E187" i="22" s="1"/>
  <c r="D187" i="22"/>
  <c r="E188" i="22" s="1"/>
  <c r="D188" i="22"/>
  <c r="D189" i="22"/>
  <c r="D190" i="22"/>
  <c r="E191" i="22" s="1"/>
  <c r="D191" i="22"/>
  <c r="E192" i="22" s="1"/>
  <c r="D192" i="22"/>
  <c r="E193" i="22" s="1"/>
  <c r="D193" i="22"/>
  <c r="E194" i="22" s="1"/>
  <c r="D194" i="22"/>
  <c r="E195" i="22" s="1"/>
  <c r="D195" i="22"/>
  <c r="E196" i="22" s="1"/>
  <c r="D196" i="22"/>
  <c r="D197" i="22"/>
  <c r="D198" i="22"/>
  <c r="E199" i="22" s="1"/>
  <c r="D199" i="22"/>
  <c r="E200" i="22" s="1"/>
  <c r="D200" i="22"/>
  <c r="E201" i="22" s="1"/>
  <c r="D201" i="22"/>
  <c r="E202" i="22" s="1"/>
  <c r="D202" i="22"/>
  <c r="E203" i="22" s="1"/>
  <c r="D203" i="22"/>
  <c r="E204" i="22" s="1"/>
  <c r="D204" i="22"/>
  <c r="D205" i="22"/>
  <c r="D206" i="22"/>
  <c r="E207" i="22" s="1"/>
  <c r="D207" i="22"/>
  <c r="E208" i="22" s="1"/>
  <c r="D208" i="22"/>
  <c r="E209" i="22" s="1"/>
  <c r="D209" i="22"/>
  <c r="E210" i="22" s="1"/>
  <c r="D210" i="22"/>
  <c r="E211" i="22" s="1"/>
  <c r="D211" i="22"/>
  <c r="E212" i="22" s="1"/>
  <c r="D212" i="22"/>
  <c r="D213" i="22"/>
  <c r="D214" i="22"/>
  <c r="E215" i="22" s="1"/>
  <c r="D215" i="22"/>
  <c r="E216" i="22" s="1"/>
  <c r="D216" i="22"/>
  <c r="E217" i="22" s="1"/>
  <c r="D217" i="22"/>
  <c r="E218" i="22" s="1"/>
  <c r="D218" i="22"/>
  <c r="E219" i="22" s="1"/>
  <c r="D219" i="22"/>
  <c r="E220" i="22" s="1"/>
  <c r="D220" i="22"/>
  <c r="D221" i="22"/>
  <c r="D222" i="22"/>
  <c r="E223" i="22" s="1"/>
  <c r="D223" i="22"/>
  <c r="E224" i="22" s="1"/>
  <c r="D224" i="22"/>
  <c r="E225" i="22" s="1"/>
  <c r="D225" i="22"/>
  <c r="E226" i="22" s="1"/>
  <c r="D226" i="22"/>
  <c r="E227" i="22" s="1"/>
  <c r="D227" i="22"/>
  <c r="E228" i="22" s="1"/>
  <c r="D228" i="22"/>
  <c r="D229" i="22"/>
  <c r="D230" i="22"/>
  <c r="E231" i="22" s="1"/>
  <c r="D231" i="22"/>
  <c r="E232" i="22" s="1"/>
  <c r="D232" i="22"/>
  <c r="E233" i="22" s="1"/>
  <c r="D233" i="22"/>
  <c r="E234" i="22" s="1"/>
  <c r="D234" i="22"/>
  <c r="E235" i="22" s="1"/>
  <c r="D235" i="22"/>
  <c r="E236" i="22" s="1"/>
  <c r="D236" i="22"/>
  <c r="D237" i="22"/>
  <c r="D238" i="22"/>
  <c r="E239" i="22" s="1"/>
  <c r="D239" i="22"/>
  <c r="E240" i="22" s="1"/>
  <c r="D240" i="22"/>
  <c r="E241" i="22" s="1"/>
  <c r="D241" i="22"/>
  <c r="E242" i="22" s="1"/>
  <c r="D242" i="22"/>
  <c r="E243" i="22" s="1"/>
  <c r="D243" i="22"/>
  <c r="E244" i="22" s="1"/>
  <c r="D244" i="22"/>
  <c r="D245" i="22"/>
  <c r="D246" i="22"/>
  <c r="E247" i="22" s="1"/>
  <c r="D247" i="22"/>
  <c r="E248" i="22" s="1"/>
  <c r="D248" i="22"/>
  <c r="E249" i="22" s="1"/>
  <c r="D249" i="22"/>
  <c r="E250" i="22" s="1"/>
  <c r="D250" i="22"/>
  <c r="E251" i="22" s="1"/>
  <c r="D251" i="22"/>
  <c r="E252" i="22" s="1"/>
  <c r="D252" i="22"/>
  <c r="D253" i="22"/>
  <c r="D254" i="22"/>
  <c r="E255" i="22" s="1"/>
  <c r="D255" i="22"/>
  <c r="E256" i="22" s="1"/>
  <c r="D256" i="22"/>
  <c r="E257" i="22" s="1"/>
  <c r="D257" i="22"/>
  <c r="E258" i="22" s="1"/>
  <c r="D258" i="22"/>
  <c r="E259" i="22" s="1"/>
  <c r="D259" i="22"/>
  <c r="E260" i="22" s="1"/>
  <c r="D260" i="22"/>
  <c r="D261" i="22"/>
  <c r="D262" i="22"/>
  <c r="E263" i="22" s="1"/>
  <c r="D263" i="22"/>
  <c r="E264" i="22" s="1"/>
  <c r="D264" i="22"/>
  <c r="E265" i="22" s="1"/>
  <c r="D265" i="22"/>
  <c r="E266" i="22" s="1"/>
  <c r="D266" i="22"/>
  <c r="E267" i="22" s="1"/>
  <c r="D267" i="22"/>
  <c r="E268" i="22" s="1"/>
  <c r="D268" i="22"/>
  <c r="D269" i="22"/>
  <c r="D270" i="22"/>
  <c r="E271" i="22" s="1"/>
  <c r="D271" i="22"/>
  <c r="E272" i="22" s="1"/>
  <c r="D272" i="22"/>
  <c r="E273" i="22" s="1"/>
  <c r="D273" i="22"/>
  <c r="E274" i="22" s="1"/>
  <c r="D274" i="22"/>
  <c r="E275" i="22" s="1"/>
  <c r="D275" i="22"/>
  <c r="E276" i="22" s="1"/>
  <c r="D276" i="22"/>
  <c r="D277" i="22"/>
  <c r="D278" i="22"/>
  <c r="E279" i="22" s="1"/>
  <c r="D279" i="22"/>
  <c r="E280" i="22" s="1"/>
  <c r="D280" i="22"/>
  <c r="E281" i="22" s="1"/>
  <c r="D281" i="22"/>
  <c r="E282" i="22" s="1"/>
  <c r="D282" i="22"/>
  <c r="E283" i="22" s="1"/>
  <c r="D283" i="22"/>
  <c r="E284" i="22" s="1"/>
  <c r="D284" i="22"/>
  <c r="D285" i="22"/>
  <c r="D286" i="22"/>
  <c r="E287" i="22" s="1"/>
  <c r="D287" i="22"/>
  <c r="E288" i="22" s="1"/>
  <c r="D288" i="22"/>
  <c r="E289" i="22" s="1"/>
  <c r="D289" i="22"/>
  <c r="E290" i="22" s="1"/>
  <c r="D290" i="22"/>
  <c r="E291" i="22" s="1"/>
  <c r="D291" i="22"/>
  <c r="E292" i="22" s="1"/>
  <c r="D292" i="22"/>
  <c r="D293" i="22"/>
  <c r="D294" i="22"/>
  <c r="E295" i="22" s="1"/>
  <c r="D295" i="22"/>
  <c r="E296" i="22" s="1"/>
  <c r="D296" i="22"/>
  <c r="E297" i="22" s="1"/>
  <c r="D297" i="22"/>
  <c r="E298" i="22" s="1"/>
  <c r="D298" i="22"/>
  <c r="E299" i="22" s="1"/>
  <c r="D299" i="22"/>
  <c r="E300" i="22" s="1"/>
  <c r="D300" i="22"/>
  <c r="D301" i="22"/>
  <c r="D302" i="22"/>
  <c r="E303" i="22" s="1"/>
  <c r="D303" i="22"/>
  <c r="E304" i="22" s="1"/>
  <c r="D304" i="22"/>
  <c r="E305" i="22" s="1"/>
  <c r="D305" i="22"/>
  <c r="E306" i="22" s="1"/>
  <c r="D306" i="22"/>
  <c r="E307" i="22" s="1"/>
  <c r="D307" i="22"/>
  <c r="E308" i="22" s="1"/>
  <c r="D308" i="22"/>
  <c r="D309" i="22"/>
  <c r="D310" i="22"/>
  <c r="E311" i="22" s="1"/>
  <c r="D311" i="22"/>
  <c r="E312" i="22" s="1"/>
  <c r="D312" i="22"/>
  <c r="E313" i="22" s="1"/>
  <c r="D313" i="22"/>
  <c r="E314" i="22" s="1"/>
  <c r="D314" i="22"/>
  <c r="E315" i="22" s="1"/>
  <c r="D315" i="22"/>
  <c r="E316" i="22" s="1"/>
  <c r="D316" i="22"/>
  <c r="D317" i="22"/>
  <c r="D318" i="22"/>
  <c r="E319" i="22" s="1"/>
  <c r="D319" i="22"/>
  <c r="E320" i="22" s="1"/>
  <c r="D320" i="22"/>
  <c r="E321" i="22" s="1"/>
  <c r="D321" i="22"/>
  <c r="E322" i="22" s="1"/>
  <c r="D322" i="22"/>
  <c r="E323" i="22" s="1"/>
  <c r="D323" i="22"/>
  <c r="E324" i="22" s="1"/>
  <c r="D324" i="22"/>
  <c r="D325" i="22"/>
  <c r="D326" i="22"/>
  <c r="E327" i="22" s="1"/>
  <c r="D327" i="22"/>
  <c r="E328" i="22" s="1"/>
  <c r="D328" i="22"/>
  <c r="E329" i="22" s="1"/>
  <c r="D329" i="22"/>
  <c r="E330" i="22" s="1"/>
  <c r="D330" i="22"/>
  <c r="E331" i="22" s="1"/>
  <c r="D331" i="22"/>
  <c r="E332" i="22" s="1"/>
  <c r="D332" i="22"/>
  <c r="D333" i="22"/>
  <c r="D334" i="22"/>
  <c r="E335" i="22" s="1"/>
  <c r="D335" i="22"/>
  <c r="E336" i="22" s="1"/>
  <c r="D336" i="22"/>
  <c r="E337" i="22" s="1"/>
  <c r="D337" i="22"/>
  <c r="E338" i="22" s="1"/>
  <c r="D338" i="22"/>
  <c r="E339" i="22" s="1"/>
  <c r="D339" i="22"/>
  <c r="E340" i="22" s="1"/>
  <c r="D340" i="22"/>
  <c r="D341" i="22"/>
  <c r="D342" i="22"/>
  <c r="E343" i="22" s="1"/>
  <c r="D343" i="22"/>
  <c r="E344" i="22" s="1"/>
  <c r="D344" i="22"/>
  <c r="E345" i="22" s="1"/>
  <c r="D345" i="22"/>
  <c r="E346" i="22" s="1"/>
  <c r="D346" i="22"/>
  <c r="E347" i="22" s="1"/>
  <c r="D347" i="22"/>
  <c r="E348" i="22" s="1"/>
  <c r="D348" i="22"/>
  <c r="D349" i="22"/>
  <c r="D350" i="22"/>
  <c r="E351" i="22" s="1"/>
  <c r="D351" i="22"/>
  <c r="E352" i="22" s="1"/>
  <c r="D352" i="22"/>
  <c r="E353" i="22" s="1"/>
  <c r="D353" i="22"/>
  <c r="E354" i="22" s="1"/>
  <c r="D354" i="22"/>
  <c r="E355" i="22" s="1"/>
  <c r="D355" i="22"/>
  <c r="E356" i="22" s="1"/>
  <c r="D356" i="22"/>
  <c r="D357" i="22"/>
  <c r="D358" i="22"/>
  <c r="E359" i="22" s="1"/>
  <c r="D359" i="22"/>
  <c r="E360" i="22" s="1"/>
  <c r="D360" i="22"/>
  <c r="E361" i="22" s="1"/>
  <c r="D361" i="22"/>
  <c r="E362" i="22" s="1"/>
  <c r="D362" i="22"/>
  <c r="E363" i="22" s="1"/>
  <c r="D363" i="22"/>
  <c r="E364" i="22" s="1"/>
  <c r="D364" i="22"/>
  <c r="D365" i="22"/>
  <c r="D366" i="22"/>
  <c r="E367" i="22" s="1"/>
  <c r="D367" i="22"/>
  <c r="E368" i="22" s="1"/>
  <c r="D368" i="22"/>
  <c r="E369" i="22" s="1"/>
  <c r="D369" i="22"/>
  <c r="E370" i="22" s="1"/>
  <c r="D370" i="22"/>
  <c r="E371" i="22" s="1"/>
  <c r="D371" i="22"/>
  <c r="E372" i="22" s="1"/>
  <c r="D372" i="22"/>
  <c r="D373" i="22"/>
  <c r="D374" i="22"/>
  <c r="E375" i="22" s="1"/>
  <c r="D375" i="22"/>
  <c r="E376" i="22" s="1"/>
  <c r="D376" i="22"/>
  <c r="E377" i="22" s="1"/>
  <c r="D377" i="22"/>
  <c r="E378" i="22" s="1"/>
  <c r="D378" i="22"/>
  <c r="E379" i="22" s="1"/>
  <c r="D379" i="22"/>
  <c r="E380" i="22" s="1"/>
  <c r="D380" i="22"/>
  <c r="D381" i="22"/>
  <c r="D382" i="22"/>
  <c r="E383" i="22" s="1"/>
  <c r="D383" i="22"/>
  <c r="E384" i="22" s="1"/>
  <c r="D384" i="22"/>
  <c r="E385" i="22" s="1"/>
  <c r="D385" i="22"/>
  <c r="E386" i="22" s="1"/>
  <c r="D386" i="22"/>
  <c r="E387" i="22" s="1"/>
  <c r="D387" i="22"/>
  <c r="E388" i="22" s="1"/>
  <c r="D388" i="22"/>
  <c r="D389" i="22"/>
  <c r="D390" i="22"/>
  <c r="E391" i="22" s="1"/>
  <c r="D391" i="22"/>
  <c r="E392" i="22" s="1"/>
  <c r="D392" i="22"/>
  <c r="E393" i="22" s="1"/>
  <c r="D393" i="22"/>
  <c r="E394" i="22" s="1"/>
  <c r="D394" i="22"/>
  <c r="E395" i="22" s="1"/>
  <c r="D395" i="22"/>
  <c r="E396" i="22" s="1"/>
  <c r="D396" i="22"/>
  <c r="D397" i="22"/>
  <c r="D398" i="22"/>
  <c r="E399" i="22" s="1"/>
  <c r="D399" i="22"/>
  <c r="E400" i="22" s="1"/>
  <c r="D400" i="22"/>
  <c r="E401" i="22" s="1"/>
  <c r="D401" i="22"/>
  <c r="E402" i="22" s="1"/>
  <c r="D402" i="22"/>
  <c r="E403" i="22" s="1"/>
  <c r="D403" i="22"/>
  <c r="E404" i="22" s="1"/>
  <c r="D404" i="22"/>
  <c r="D405" i="22"/>
  <c r="D406" i="22"/>
  <c r="E407" i="22" s="1"/>
  <c r="D407" i="22"/>
  <c r="E408" i="22" s="1"/>
  <c r="D408" i="22"/>
  <c r="E409" i="22" s="1"/>
  <c r="D409" i="22"/>
  <c r="E410" i="22" s="1"/>
  <c r="D410" i="22"/>
  <c r="E411" i="22" s="1"/>
  <c r="D411" i="22"/>
  <c r="E412" i="22" s="1"/>
  <c r="D412" i="22"/>
  <c r="D413" i="22"/>
  <c r="D414" i="22"/>
  <c r="E415" i="22" s="1"/>
  <c r="D415" i="22"/>
  <c r="E416" i="22" s="1"/>
  <c r="D416" i="22"/>
  <c r="E417" i="22" s="1"/>
  <c r="D417" i="22"/>
  <c r="E418" i="22" s="1"/>
  <c r="D418" i="22"/>
  <c r="E419" i="22" s="1"/>
  <c r="D419" i="22"/>
  <c r="E420" i="22" s="1"/>
  <c r="D420" i="22"/>
  <c r="D421" i="22"/>
  <c r="D422" i="22"/>
  <c r="E423" i="22" s="1"/>
  <c r="D423" i="22"/>
  <c r="E424" i="22" s="1"/>
  <c r="D424" i="22"/>
  <c r="E425" i="22" s="1"/>
  <c r="D425" i="22"/>
  <c r="E426" i="22" s="1"/>
  <c r="D426" i="22"/>
  <c r="E427" i="22" s="1"/>
  <c r="D427" i="22"/>
  <c r="E428" i="22" s="1"/>
  <c r="D428" i="22"/>
  <c r="D429" i="22"/>
  <c r="D430" i="22"/>
  <c r="E431" i="22" s="1"/>
  <c r="D431" i="22"/>
  <c r="E432" i="22" s="1"/>
  <c r="D432" i="22"/>
  <c r="E433" i="22" s="1"/>
  <c r="D433" i="22"/>
  <c r="E434" i="22" s="1"/>
  <c r="D434" i="22"/>
  <c r="E435" i="22" s="1"/>
  <c r="D435" i="22"/>
  <c r="E436" i="22" s="1"/>
  <c r="D436" i="22"/>
  <c r="D437" i="22"/>
  <c r="D438" i="22"/>
  <c r="E439" i="22" s="1"/>
  <c r="D439" i="22"/>
  <c r="E440" i="22" s="1"/>
  <c r="D440" i="22"/>
  <c r="E441" i="22" s="1"/>
  <c r="D441" i="22"/>
  <c r="E442" i="22" s="1"/>
  <c r="D442" i="22"/>
  <c r="E443" i="22" s="1"/>
  <c r="D443" i="22"/>
  <c r="E444" i="22" s="1"/>
  <c r="D444" i="22"/>
  <c r="D445" i="22"/>
  <c r="D446" i="22"/>
  <c r="E447" i="22" s="1"/>
  <c r="D447" i="22"/>
  <c r="E448" i="22" s="1"/>
  <c r="D448" i="22"/>
  <c r="E449" i="22" s="1"/>
  <c r="D449" i="22"/>
  <c r="E450" i="22" s="1"/>
  <c r="D450" i="22"/>
  <c r="E451" i="22" s="1"/>
  <c r="D451" i="22"/>
  <c r="E452" i="22" s="1"/>
  <c r="D452" i="22"/>
  <c r="D453" i="22"/>
  <c r="D454" i="22"/>
  <c r="E455" i="22" s="1"/>
  <c r="D455" i="22"/>
  <c r="E456" i="22" s="1"/>
  <c r="D456" i="22"/>
  <c r="E457" i="22" s="1"/>
  <c r="D457" i="22"/>
  <c r="E458" i="22" s="1"/>
  <c r="D458" i="22"/>
  <c r="E459" i="22" s="1"/>
  <c r="D459" i="22"/>
  <c r="E460" i="22" s="1"/>
  <c r="D460" i="22"/>
  <c r="D461" i="22"/>
  <c r="D462" i="22"/>
  <c r="E463" i="22" s="1"/>
  <c r="D463" i="22"/>
  <c r="E464" i="22" s="1"/>
  <c r="D464" i="22"/>
  <c r="E465" i="22" s="1"/>
  <c r="D465" i="22"/>
  <c r="E466" i="22" s="1"/>
  <c r="D466" i="22"/>
  <c r="E467" i="22" s="1"/>
  <c r="D467" i="22"/>
  <c r="E468" i="22" s="1"/>
  <c r="D468" i="22"/>
  <c r="D469" i="22"/>
  <c r="D470" i="22"/>
  <c r="E471" i="22" s="1"/>
  <c r="D471" i="22"/>
  <c r="E472" i="22" s="1"/>
  <c r="D472" i="22"/>
  <c r="E473" i="22" s="1"/>
  <c r="D473" i="22"/>
  <c r="E474" i="22" s="1"/>
  <c r="D474" i="22"/>
  <c r="E475" i="22" s="1"/>
  <c r="D475" i="22"/>
  <c r="E476" i="22" s="1"/>
  <c r="D476" i="22"/>
  <c r="D477" i="22"/>
  <c r="D478" i="22"/>
  <c r="E479" i="22" s="1"/>
  <c r="D479" i="22"/>
  <c r="E480" i="22" s="1"/>
  <c r="D480" i="22"/>
  <c r="E481" i="22" s="1"/>
  <c r="D481" i="22"/>
  <c r="E482" i="22" s="1"/>
  <c r="D482" i="22"/>
  <c r="E483" i="22" s="1"/>
  <c r="D483" i="22"/>
  <c r="E484" i="22" s="1"/>
  <c r="D484" i="22"/>
  <c r="D485" i="22"/>
  <c r="D486" i="22"/>
  <c r="E487" i="22" s="1"/>
  <c r="D487" i="22"/>
  <c r="E488" i="22" s="1"/>
  <c r="D488" i="22"/>
  <c r="E489" i="22" s="1"/>
  <c r="D489" i="22"/>
  <c r="E490" i="22" s="1"/>
  <c r="D490" i="22"/>
  <c r="E491" i="22" s="1"/>
  <c r="D491" i="22"/>
  <c r="E492" i="22" s="1"/>
  <c r="D492" i="22"/>
  <c r="D493" i="22"/>
  <c r="D494" i="22"/>
  <c r="E495" i="22" s="1"/>
  <c r="D495" i="22"/>
  <c r="E496" i="22" s="1"/>
  <c r="D496" i="22"/>
  <c r="E497" i="22" s="1"/>
  <c r="D497" i="22"/>
  <c r="E498" i="22" s="1"/>
  <c r="D498" i="22"/>
  <c r="E499" i="22" s="1"/>
  <c r="D499" i="22"/>
  <c r="E500" i="22" s="1"/>
  <c r="D500" i="22"/>
  <c r="D501" i="22"/>
  <c r="D502" i="22"/>
  <c r="E503" i="22" s="1"/>
  <c r="D503" i="22"/>
  <c r="E504" i="22" s="1"/>
  <c r="D504" i="22"/>
  <c r="D2" i="22"/>
  <c r="E3" i="22" s="1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D307" i="20"/>
  <c r="D308" i="20"/>
  <c r="D309" i="20"/>
  <c r="D310" i="20"/>
  <c r="D311" i="20"/>
  <c r="D2" i="20"/>
  <c r="E69" i="20" l="1"/>
  <c r="E81" i="20"/>
  <c r="E82" i="20"/>
  <c r="E176" i="20"/>
  <c r="E177" i="20"/>
  <c r="E261" i="20"/>
  <c r="E272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70" i="20"/>
  <c r="E71" i="20"/>
  <c r="E72" i="20"/>
  <c r="E73" i="20"/>
  <c r="E74" i="20"/>
  <c r="E75" i="20"/>
  <c r="E76" i="20"/>
  <c r="E77" i="20"/>
  <c r="E78" i="20"/>
  <c r="E79" i="20"/>
  <c r="E80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2" i="20"/>
  <c r="E263" i="20"/>
  <c r="E264" i="20"/>
  <c r="E265" i="20"/>
  <c r="E266" i="20"/>
  <c r="E267" i="20"/>
  <c r="E268" i="20"/>
  <c r="E269" i="20"/>
  <c r="E270" i="20"/>
  <c r="E271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E301" i="20"/>
  <c r="E302" i="20"/>
  <c r="E303" i="20"/>
  <c r="E304" i="20"/>
  <c r="E305" i="20"/>
  <c r="E306" i="20"/>
  <c r="E307" i="20"/>
  <c r="E308" i="20"/>
  <c r="E309" i="20"/>
  <c r="E310" i="20"/>
  <c r="E311" i="20"/>
  <c r="E3" i="20"/>
  <c r="C3" i="19"/>
  <c r="E3" i="19" s="1"/>
  <c r="F3" i="19" s="1"/>
  <c r="G4" i="19" s="1"/>
  <c r="C4" i="19"/>
  <c r="E4" i="19" s="1"/>
  <c r="F4" i="19" s="1"/>
  <c r="G5" i="19" s="1"/>
  <c r="C5" i="19"/>
  <c r="E5" i="19" s="1"/>
  <c r="F5" i="19" s="1"/>
  <c r="G6" i="19" s="1"/>
  <c r="C6" i="19"/>
  <c r="E6" i="19" s="1"/>
  <c r="F6" i="19" s="1"/>
  <c r="G7" i="19" s="1"/>
  <c r="C7" i="19"/>
  <c r="C8" i="19"/>
  <c r="E8" i="19" s="1"/>
  <c r="F8" i="19" s="1"/>
  <c r="G9" i="19" s="1"/>
  <c r="C9" i="19"/>
  <c r="E9" i="19" s="1"/>
  <c r="F9" i="19" s="1"/>
  <c r="G10" i="19" s="1"/>
  <c r="C10" i="19"/>
  <c r="E10" i="19" s="1"/>
  <c r="F10" i="19" s="1"/>
  <c r="G11" i="19" s="1"/>
  <c r="C11" i="19"/>
  <c r="C12" i="19"/>
  <c r="E12" i="19" s="1"/>
  <c r="F12" i="19" s="1"/>
  <c r="G13" i="19" s="1"/>
  <c r="C13" i="19"/>
  <c r="E13" i="19" s="1"/>
  <c r="F13" i="19" s="1"/>
  <c r="G14" i="19" s="1"/>
  <c r="C14" i="19"/>
  <c r="E14" i="19" s="1"/>
  <c r="F14" i="19" s="1"/>
  <c r="G15" i="19" s="1"/>
  <c r="C15" i="19"/>
  <c r="E15" i="19" s="1"/>
  <c r="F15" i="19" s="1"/>
  <c r="G16" i="19" s="1"/>
  <c r="C16" i="19"/>
  <c r="C17" i="19"/>
  <c r="E17" i="19" s="1"/>
  <c r="F17" i="19" s="1"/>
  <c r="G18" i="19" s="1"/>
  <c r="C18" i="19"/>
  <c r="E18" i="19" s="1"/>
  <c r="F18" i="19" s="1"/>
  <c r="G19" i="19" s="1"/>
  <c r="C19" i="19"/>
  <c r="E19" i="19" s="1"/>
  <c r="F19" i="19" s="1"/>
  <c r="G20" i="19" s="1"/>
  <c r="C20" i="19"/>
  <c r="E20" i="19" s="1"/>
  <c r="F20" i="19" s="1"/>
  <c r="G21" i="19" s="1"/>
  <c r="C21" i="19"/>
  <c r="C22" i="19"/>
  <c r="E22" i="19" s="1"/>
  <c r="F22" i="19" s="1"/>
  <c r="G23" i="19" s="1"/>
  <c r="C23" i="19"/>
  <c r="E23" i="19" s="1"/>
  <c r="F23" i="19" s="1"/>
  <c r="G24" i="19" s="1"/>
  <c r="C24" i="19"/>
  <c r="E24" i="19" s="1"/>
  <c r="F24" i="19" s="1"/>
  <c r="G25" i="19" s="1"/>
  <c r="C25" i="19"/>
  <c r="E25" i="19" s="1"/>
  <c r="F25" i="19" s="1"/>
  <c r="G26" i="19" s="1"/>
  <c r="C26" i="19"/>
  <c r="E26" i="19" s="1"/>
  <c r="F26" i="19" s="1"/>
  <c r="G27" i="19" s="1"/>
  <c r="C27" i="19"/>
  <c r="C28" i="19"/>
  <c r="E28" i="19" s="1"/>
  <c r="F28" i="19" s="1"/>
  <c r="G29" i="19" s="1"/>
  <c r="C29" i="19"/>
  <c r="E29" i="19" s="1"/>
  <c r="F29" i="19" s="1"/>
  <c r="G30" i="19" s="1"/>
  <c r="C30" i="19"/>
  <c r="E30" i="19" s="1"/>
  <c r="F30" i="19" s="1"/>
  <c r="G31" i="19" s="1"/>
  <c r="C31" i="19"/>
  <c r="C32" i="19"/>
  <c r="E32" i="19" s="1"/>
  <c r="F32" i="19" s="1"/>
  <c r="G33" i="19" s="1"/>
  <c r="C33" i="19"/>
  <c r="E33" i="19" s="1"/>
  <c r="F33" i="19" s="1"/>
  <c r="G34" i="19" s="1"/>
  <c r="C34" i="19"/>
  <c r="E34" i="19" s="1"/>
  <c r="F34" i="19" s="1"/>
  <c r="G35" i="19" s="1"/>
  <c r="C35" i="19"/>
  <c r="C36" i="19"/>
  <c r="E36" i="19" s="1"/>
  <c r="F36" i="19" s="1"/>
  <c r="G37" i="19" s="1"/>
  <c r="C37" i="19"/>
  <c r="E37" i="19" s="1"/>
  <c r="F37" i="19" s="1"/>
  <c r="G38" i="19" s="1"/>
  <c r="C38" i="19"/>
  <c r="E38" i="19" s="1"/>
  <c r="F38" i="19" s="1"/>
  <c r="G39" i="19" s="1"/>
  <c r="C39" i="19"/>
  <c r="E39" i="19" s="1"/>
  <c r="F39" i="19" s="1"/>
  <c r="G40" i="19" s="1"/>
  <c r="C40" i="19"/>
  <c r="C41" i="19"/>
  <c r="E41" i="19" s="1"/>
  <c r="F41" i="19" s="1"/>
  <c r="G42" i="19" s="1"/>
  <c r="C42" i="19"/>
  <c r="E42" i="19" s="1"/>
  <c r="F42" i="19" s="1"/>
  <c r="G43" i="19" s="1"/>
  <c r="C43" i="19"/>
  <c r="E43" i="19" s="1"/>
  <c r="F43" i="19" s="1"/>
  <c r="G44" i="19" s="1"/>
  <c r="C44" i="19"/>
  <c r="E44" i="19" s="1"/>
  <c r="F44" i="19" s="1"/>
  <c r="G45" i="19" s="1"/>
  <c r="C45" i="19"/>
  <c r="C46" i="19"/>
  <c r="E46" i="19" s="1"/>
  <c r="F46" i="19" s="1"/>
  <c r="G47" i="19" s="1"/>
  <c r="C47" i="19"/>
  <c r="E47" i="19" s="1"/>
  <c r="F47" i="19" s="1"/>
  <c r="G48" i="19" s="1"/>
  <c r="C48" i="19"/>
  <c r="E48" i="19" s="1"/>
  <c r="F48" i="19" s="1"/>
  <c r="G49" i="19" s="1"/>
  <c r="C49" i="19"/>
  <c r="E49" i="19" s="1"/>
  <c r="F49" i="19" s="1"/>
  <c r="G50" i="19" s="1"/>
  <c r="C50" i="19"/>
  <c r="E50" i="19" s="1"/>
  <c r="F50" i="19" s="1"/>
  <c r="G51" i="19" s="1"/>
  <c r="C51" i="19"/>
  <c r="C52" i="19"/>
  <c r="E52" i="19" s="1"/>
  <c r="F52" i="19" s="1"/>
  <c r="G53" i="19" s="1"/>
  <c r="C53" i="19"/>
  <c r="E53" i="19" s="1"/>
  <c r="F53" i="19" s="1"/>
  <c r="G54" i="19" s="1"/>
  <c r="C54" i="19"/>
  <c r="E54" i="19" s="1"/>
  <c r="F54" i="19" s="1"/>
  <c r="G55" i="19" s="1"/>
  <c r="C55" i="19"/>
  <c r="C56" i="19"/>
  <c r="E56" i="19" s="1"/>
  <c r="F56" i="19" s="1"/>
  <c r="G57" i="19" s="1"/>
  <c r="C57" i="19"/>
  <c r="E57" i="19" s="1"/>
  <c r="F57" i="19" s="1"/>
  <c r="G58" i="19" s="1"/>
  <c r="C58" i="19"/>
  <c r="E58" i="19" s="1"/>
  <c r="F58" i="19" s="1"/>
  <c r="G59" i="19" s="1"/>
  <c r="C59" i="19"/>
  <c r="C60" i="19"/>
  <c r="E60" i="19" s="1"/>
  <c r="F60" i="19" s="1"/>
  <c r="G61" i="19" s="1"/>
  <c r="C61" i="19"/>
  <c r="E61" i="19" s="1"/>
  <c r="F61" i="19" s="1"/>
  <c r="G62" i="19" s="1"/>
  <c r="C62" i="19"/>
  <c r="E62" i="19" s="1"/>
  <c r="F62" i="19" s="1"/>
  <c r="G63" i="19" s="1"/>
  <c r="C63" i="19"/>
  <c r="E63" i="19" s="1"/>
  <c r="F63" i="19" s="1"/>
  <c r="G64" i="19" s="1"/>
  <c r="C64" i="19"/>
  <c r="C65" i="19"/>
  <c r="E65" i="19" s="1"/>
  <c r="F65" i="19" s="1"/>
  <c r="G66" i="19" s="1"/>
  <c r="C66" i="19"/>
  <c r="E66" i="19" s="1"/>
  <c r="F66" i="19" s="1"/>
  <c r="G67" i="19" s="1"/>
  <c r="C67" i="19"/>
  <c r="E67" i="19" s="1"/>
  <c r="F67" i="19" s="1"/>
  <c r="G68" i="19" s="1"/>
  <c r="C68" i="19"/>
  <c r="E68" i="19" s="1"/>
  <c r="F68" i="19" s="1"/>
  <c r="G69" i="19" s="1"/>
  <c r="C69" i="19"/>
  <c r="C70" i="19"/>
  <c r="E70" i="19" s="1"/>
  <c r="F70" i="19" s="1"/>
  <c r="G71" i="19" s="1"/>
  <c r="C71" i="19"/>
  <c r="E71" i="19" s="1"/>
  <c r="F71" i="19" s="1"/>
  <c r="G72" i="19" s="1"/>
  <c r="C72" i="19"/>
  <c r="E72" i="19" s="1"/>
  <c r="F72" i="19" s="1"/>
  <c r="G73" i="19" s="1"/>
  <c r="C73" i="19"/>
  <c r="E73" i="19" s="1"/>
  <c r="F73" i="19" s="1"/>
  <c r="G74" i="19" s="1"/>
  <c r="C74" i="19"/>
  <c r="E74" i="19" s="1"/>
  <c r="F74" i="19" s="1"/>
  <c r="G75" i="19" s="1"/>
  <c r="C75" i="19"/>
  <c r="C76" i="19"/>
  <c r="E76" i="19" s="1"/>
  <c r="F76" i="19" s="1"/>
  <c r="G77" i="19" s="1"/>
  <c r="C77" i="19"/>
  <c r="E77" i="19" s="1"/>
  <c r="F77" i="19" s="1"/>
  <c r="G78" i="19" s="1"/>
  <c r="C78" i="19"/>
  <c r="E78" i="19" s="1"/>
  <c r="F78" i="19" s="1"/>
  <c r="G79" i="19" s="1"/>
  <c r="C79" i="19"/>
  <c r="C80" i="19"/>
  <c r="E80" i="19" s="1"/>
  <c r="F80" i="19" s="1"/>
  <c r="G81" i="19" s="1"/>
  <c r="C81" i="19"/>
  <c r="E81" i="19" s="1"/>
  <c r="F81" i="19" s="1"/>
  <c r="G82" i="19" s="1"/>
  <c r="C82" i="19"/>
  <c r="E82" i="19" s="1"/>
  <c r="F82" i="19" s="1"/>
  <c r="G83" i="19" s="1"/>
  <c r="C83" i="19"/>
  <c r="C84" i="19"/>
  <c r="E84" i="19" s="1"/>
  <c r="F84" i="19" s="1"/>
  <c r="G85" i="19" s="1"/>
  <c r="C85" i="19"/>
  <c r="E85" i="19" s="1"/>
  <c r="F85" i="19" s="1"/>
  <c r="G86" i="19" s="1"/>
  <c r="C86" i="19"/>
  <c r="E86" i="19" s="1"/>
  <c r="F86" i="19" s="1"/>
  <c r="G87" i="19" s="1"/>
  <c r="C87" i="19"/>
  <c r="E87" i="19" s="1"/>
  <c r="F87" i="19" s="1"/>
  <c r="G88" i="19" s="1"/>
  <c r="C88" i="19"/>
  <c r="C89" i="19"/>
  <c r="E89" i="19" s="1"/>
  <c r="F89" i="19" s="1"/>
  <c r="G90" i="19" s="1"/>
  <c r="C90" i="19"/>
  <c r="E90" i="19" s="1"/>
  <c r="F90" i="19" s="1"/>
  <c r="G91" i="19" s="1"/>
  <c r="C91" i="19"/>
  <c r="E91" i="19" s="1"/>
  <c r="F91" i="19" s="1"/>
  <c r="G92" i="19" s="1"/>
  <c r="C92" i="19"/>
  <c r="E92" i="19" s="1"/>
  <c r="F92" i="19" s="1"/>
  <c r="G93" i="19" s="1"/>
  <c r="C93" i="19"/>
  <c r="C94" i="19"/>
  <c r="E94" i="19" s="1"/>
  <c r="F94" i="19" s="1"/>
  <c r="G95" i="19" s="1"/>
  <c r="C95" i="19"/>
  <c r="E95" i="19" s="1"/>
  <c r="F95" i="19" s="1"/>
  <c r="G96" i="19" s="1"/>
  <c r="C96" i="19"/>
  <c r="E96" i="19" s="1"/>
  <c r="F96" i="19" s="1"/>
  <c r="G97" i="19" s="1"/>
  <c r="C97" i="19"/>
  <c r="E97" i="19" s="1"/>
  <c r="F97" i="19" s="1"/>
  <c r="G98" i="19" s="1"/>
  <c r="C98" i="19"/>
  <c r="E98" i="19" s="1"/>
  <c r="F98" i="19" s="1"/>
  <c r="G99" i="19" s="1"/>
  <c r="C99" i="19"/>
  <c r="C100" i="19"/>
  <c r="E100" i="19" s="1"/>
  <c r="F100" i="19" s="1"/>
  <c r="G101" i="19" s="1"/>
  <c r="C101" i="19"/>
  <c r="E101" i="19" s="1"/>
  <c r="F101" i="19" s="1"/>
  <c r="G102" i="19" s="1"/>
  <c r="C102" i="19"/>
  <c r="E102" i="19" s="1"/>
  <c r="F102" i="19" s="1"/>
  <c r="G103" i="19" s="1"/>
  <c r="C103" i="19"/>
  <c r="C104" i="19"/>
  <c r="E104" i="19" s="1"/>
  <c r="F104" i="19" s="1"/>
  <c r="G105" i="19" s="1"/>
  <c r="C105" i="19"/>
  <c r="E105" i="19" s="1"/>
  <c r="F105" i="19" s="1"/>
  <c r="G106" i="19" s="1"/>
  <c r="C106" i="19"/>
  <c r="E106" i="19" s="1"/>
  <c r="F106" i="19" s="1"/>
  <c r="G107" i="19" s="1"/>
  <c r="C107" i="19"/>
  <c r="C108" i="19"/>
  <c r="E108" i="19" s="1"/>
  <c r="F108" i="19" s="1"/>
  <c r="G109" i="19" s="1"/>
  <c r="C109" i="19"/>
  <c r="E109" i="19" s="1"/>
  <c r="F109" i="19" s="1"/>
  <c r="G110" i="19" s="1"/>
  <c r="C110" i="19"/>
  <c r="E110" i="19" s="1"/>
  <c r="F110" i="19" s="1"/>
  <c r="G111" i="19" s="1"/>
  <c r="C111" i="19"/>
  <c r="E111" i="19" s="1"/>
  <c r="F111" i="19" s="1"/>
  <c r="G112" i="19" s="1"/>
  <c r="C112" i="19"/>
  <c r="C113" i="19"/>
  <c r="E113" i="19" s="1"/>
  <c r="F113" i="19" s="1"/>
  <c r="G114" i="19" s="1"/>
  <c r="C114" i="19"/>
  <c r="E114" i="19" s="1"/>
  <c r="F114" i="19" s="1"/>
  <c r="G115" i="19" s="1"/>
  <c r="C115" i="19"/>
  <c r="E115" i="19" s="1"/>
  <c r="F115" i="19" s="1"/>
  <c r="G116" i="19" s="1"/>
  <c r="C116" i="19"/>
  <c r="E116" i="19" s="1"/>
  <c r="F116" i="19" s="1"/>
  <c r="G117" i="19" s="1"/>
  <c r="C117" i="19"/>
  <c r="C118" i="19"/>
  <c r="E118" i="19" s="1"/>
  <c r="F118" i="19" s="1"/>
  <c r="G119" i="19" s="1"/>
  <c r="C119" i="19"/>
  <c r="C120" i="19"/>
  <c r="E120" i="19" s="1"/>
  <c r="F120" i="19" s="1"/>
  <c r="G121" i="19" s="1"/>
  <c r="C121" i="19"/>
  <c r="E121" i="19" s="1"/>
  <c r="F121" i="19" s="1"/>
  <c r="G122" i="19" s="1"/>
  <c r="C122" i="19"/>
  <c r="E122" i="19" s="1"/>
  <c r="F122" i="19" s="1"/>
  <c r="G123" i="19" s="1"/>
  <c r="C123" i="19"/>
  <c r="C124" i="19"/>
  <c r="E124" i="19" s="1"/>
  <c r="F124" i="19" s="1"/>
  <c r="G125" i="19" s="1"/>
  <c r="C125" i="19"/>
  <c r="E125" i="19" s="1"/>
  <c r="F125" i="19" s="1"/>
  <c r="G126" i="19" s="1"/>
  <c r="C126" i="19"/>
  <c r="E126" i="19" s="1"/>
  <c r="F126" i="19" s="1"/>
  <c r="G127" i="19" s="1"/>
  <c r="C127" i="19"/>
  <c r="C128" i="19"/>
  <c r="E128" i="19" s="1"/>
  <c r="F128" i="19" s="1"/>
  <c r="G129" i="19" s="1"/>
  <c r="C129" i="19"/>
  <c r="E129" i="19" s="1"/>
  <c r="F129" i="19" s="1"/>
  <c r="G130" i="19" s="1"/>
  <c r="C130" i="19"/>
  <c r="E130" i="19" s="1"/>
  <c r="F130" i="19" s="1"/>
  <c r="G131" i="19" s="1"/>
  <c r="C131" i="19"/>
  <c r="C132" i="19"/>
  <c r="E132" i="19" s="1"/>
  <c r="F132" i="19" s="1"/>
  <c r="G133" i="19" s="1"/>
  <c r="C133" i="19"/>
  <c r="E133" i="19" s="1"/>
  <c r="F133" i="19" s="1"/>
  <c r="G134" i="19" s="1"/>
  <c r="C134" i="19"/>
  <c r="E134" i="19" s="1"/>
  <c r="F134" i="19" s="1"/>
  <c r="G135" i="19" s="1"/>
  <c r="C135" i="19"/>
  <c r="E135" i="19" s="1"/>
  <c r="F135" i="19" s="1"/>
  <c r="G136" i="19" s="1"/>
  <c r="C136" i="19"/>
  <c r="C137" i="19"/>
  <c r="E137" i="19" s="1"/>
  <c r="F137" i="19" s="1"/>
  <c r="G138" i="19" s="1"/>
  <c r="C138" i="19"/>
  <c r="E138" i="19" s="1"/>
  <c r="F138" i="19" s="1"/>
  <c r="G139" i="19" s="1"/>
  <c r="C139" i="19"/>
  <c r="E139" i="19" s="1"/>
  <c r="F139" i="19" s="1"/>
  <c r="G140" i="19" s="1"/>
  <c r="C140" i="19"/>
  <c r="E140" i="19" s="1"/>
  <c r="F140" i="19" s="1"/>
  <c r="G141" i="19" s="1"/>
  <c r="C141" i="19"/>
  <c r="C142" i="19"/>
  <c r="E142" i="19" s="1"/>
  <c r="F142" i="19" s="1"/>
  <c r="G143" i="19" s="1"/>
  <c r="C143" i="19"/>
  <c r="C144" i="19"/>
  <c r="E144" i="19" s="1"/>
  <c r="F144" i="19" s="1"/>
  <c r="G145" i="19" s="1"/>
  <c r="C145" i="19"/>
  <c r="E145" i="19" s="1"/>
  <c r="F145" i="19" s="1"/>
  <c r="G146" i="19" s="1"/>
  <c r="C146" i="19"/>
  <c r="E146" i="19" s="1"/>
  <c r="F146" i="19" s="1"/>
  <c r="G147" i="19" s="1"/>
  <c r="C147" i="19"/>
  <c r="C148" i="19"/>
  <c r="E148" i="19" s="1"/>
  <c r="F148" i="19" s="1"/>
  <c r="G149" i="19" s="1"/>
  <c r="C149" i="19"/>
  <c r="E149" i="19" s="1"/>
  <c r="F149" i="19" s="1"/>
  <c r="G150" i="19" s="1"/>
  <c r="C150" i="19"/>
  <c r="E150" i="19" s="1"/>
  <c r="F150" i="19" s="1"/>
  <c r="G151" i="19" s="1"/>
  <c r="C151" i="19"/>
  <c r="C152" i="19"/>
  <c r="E152" i="19" s="1"/>
  <c r="F152" i="19" s="1"/>
  <c r="G153" i="19" s="1"/>
  <c r="C153" i="19"/>
  <c r="E153" i="19" s="1"/>
  <c r="F153" i="19" s="1"/>
  <c r="G154" i="19" s="1"/>
  <c r="C154" i="19"/>
  <c r="E154" i="19" s="1"/>
  <c r="F154" i="19" s="1"/>
  <c r="G155" i="19" s="1"/>
  <c r="C155" i="19"/>
  <c r="C156" i="19"/>
  <c r="E156" i="19" s="1"/>
  <c r="F156" i="19" s="1"/>
  <c r="G157" i="19" s="1"/>
  <c r="C157" i="19"/>
  <c r="E157" i="19" s="1"/>
  <c r="F157" i="19" s="1"/>
  <c r="G158" i="19" s="1"/>
  <c r="C158" i="19"/>
  <c r="E158" i="19" s="1"/>
  <c r="F158" i="19" s="1"/>
  <c r="G159" i="19" s="1"/>
  <c r="C159" i="19"/>
  <c r="E159" i="19" s="1"/>
  <c r="F159" i="19" s="1"/>
  <c r="G160" i="19" s="1"/>
  <c r="C160" i="19"/>
  <c r="C161" i="19"/>
  <c r="E161" i="19" s="1"/>
  <c r="F161" i="19" s="1"/>
  <c r="G162" i="19" s="1"/>
  <c r="C162" i="19"/>
  <c r="E162" i="19" s="1"/>
  <c r="F162" i="19" s="1"/>
  <c r="G163" i="19" s="1"/>
  <c r="C163" i="19"/>
  <c r="E163" i="19" s="1"/>
  <c r="F163" i="19" s="1"/>
  <c r="G164" i="19" s="1"/>
  <c r="C164" i="19"/>
  <c r="E164" i="19" s="1"/>
  <c r="F164" i="19" s="1"/>
  <c r="G165" i="19" s="1"/>
  <c r="C165" i="19"/>
  <c r="C166" i="19"/>
  <c r="E166" i="19" s="1"/>
  <c r="F166" i="19" s="1"/>
  <c r="G167" i="19" s="1"/>
  <c r="C167" i="19"/>
  <c r="C168" i="19"/>
  <c r="E168" i="19" s="1"/>
  <c r="F168" i="19" s="1"/>
  <c r="G169" i="19" s="1"/>
  <c r="C169" i="19"/>
  <c r="E169" i="19" s="1"/>
  <c r="F169" i="19" s="1"/>
  <c r="G170" i="19" s="1"/>
  <c r="C170" i="19"/>
  <c r="E170" i="19" s="1"/>
  <c r="F170" i="19" s="1"/>
  <c r="G171" i="19" s="1"/>
  <c r="C171" i="19"/>
  <c r="C172" i="19"/>
  <c r="E172" i="19" s="1"/>
  <c r="F172" i="19" s="1"/>
  <c r="G173" i="19" s="1"/>
  <c r="C173" i="19"/>
  <c r="E173" i="19" s="1"/>
  <c r="F173" i="19" s="1"/>
  <c r="G174" i="19" s="1"/>
  <c r="C174" i="19"/>
  <c r="E174" i="19" s="1"/>
  <c r="F174" i="19" s="1"/>
  <c r="G175" i="19" s="1"/>
  <c r="C175" i="19"/>
  <c r="C176" i="19"/>
  <c r="E176" i="19" s="1"/>
  <c r="F176" i="19" s="1"/>
  <c r="G177" i="19" s="1"/>
  <c r="C177" i="19"/>
  <c r="E177" i="19" s="1"/>
  <c r="F177" i="19" s="1"/>
  <c r="G178" i="19" s="1"/>
  <c r="C178" i="19"/>
  <c r="E178" i="19" s="1"/>
  <c r="F178" i="19" s="1"/>
  <c r="G179" i="19" s="1"/>
  <c r="C179" i="19"/>
  <c r="C180" i="19"/>
  <c r="E180" i="19" s="1"/>
  <c r="F180" i="19" s="1"/>
  <c r="G181" i="19" s="1"/>
  <c r="C181" i="19"/>
  <c r="E181" i="19" s="1"/>
  <c r="F181" i="19" s="1"/>
  <c r="G182" i="19" s="1"/>
  <c r="C182" i="19"/>
  <c r="E182" i="19" s="1"/>
  <c r="F182" i="19" s="1"/>
  <c r="G183" i="19" s="1"/>
  <c r="C183" i="19"/>
  <c r="E183" i="19" s="1"/>
  <c r="F183" i="19" s="1"/>
  <c r="G184" i="19" s="1"/>
  <c r="C184" i="19"/>
  <c r="C185" i="19"/>
  <c r="E185" i="19" s="1"/>
  <c r="F185" i="19" s="1"/>
  <c r="G186" i="19" s="1"/>
  <c r="C186" i="19"/>
  <c r="E186" i="19" s="1"/>
  <c r="F186" i="19" s="1"/>
  <c r="G187" i="19" s="1"/>
  <c r="C187" i="19"/>
  <c r="E187" i="19" s="1"/>
  <c r="F187" i="19" s="1"/>
  <c r="G188" i="19" s="1"/>
  <c r="C188" i="19"/>
  <c r="E188" i="19" s="1"/>
  <c r="F188" i="19" s="1"/>
  <c r="G189" i="19" s="1"/>
  <c r="C189" i="19"/>
  <c r="C190" i="19"/>
  <c r="E190" i="19" s="1"/>
  <c r="F190" i="19" s="1"/>
  <c r="G191" i="19" s="1"/>
  <c r="C191" i="19"/>
  <c r="C192" i="19"/>
  <c r="E192" i="19" s="1"/>
  <c r="F192" i="19" s="1"/>
  <c r="G193" i="19" s="1"/>
  <c r="C193" i="19"/>
  <c r="E193" i="19" s="1"/>
  <c r="F193" i="19" s="1"/>
  <c r="G194" i="19" s="1"/>
  <c r="C194" i="19"/>
  <c r="E194" i="19" s="1"/>
  <c r="F194" i="19" s="1"/>
  <c r="G195" i="19" s="1"/>
  <c r="C195" i="19"/>
  <c r="C196" i="19"/>
  <c r="E196" i="19" s="1"/>
  <c r="F196" i="19" s="1"/>
  <c r="G197" i="19" s="1"/>
  <c r="C197" i="19"/>
  <c r="E197" i="19" s="1"/>
  <c r="F197" i="19" s="1"/>
  <c r="G198" i="19" s="1"/>
  <c r="C198" i="19"/>
  <c r="E198" i="19" s="1"/>
  <c r="F198" i="19" s="1"/>
  <c r="G199" i="19" s="1"/>
  <c r="C199" i="19"/>
  <c r="C200" i="19"/>
  <c r="E200" i="19" s="1"/>
  <c r="F200" i="19" s="1"/>
  <c r="G201" i="19" s="1"/>
  <c r="C201" i="19"/>
  <c r="E201" i="19" s="1"/>
  <c r="F201" i="19" s="1"/>
  <c r="G202" i="19" s="1"/>
  <c r="C202" i="19"/>
  <c r="E202" i="19" s="1"/>
  <c r="F202" i="19" s="1"/>
  <c r="G203" i="19" s="1"/>
  <c r="C203" i="19"/>
  <c r="C204" i="19"/>
  <c r="E204" i="19" s="1"/>
  <c r="F204" i="19" s="1"/>
  <c r="G205" i="19" s="1"/>
  <c r="C205" i="19"/>
  <c r="E205" i="19" s="1"/>
  <c r="F205" i="19" s="1"/>
  <c r="G206" i="19" s="1"/>
  <c r="C206" i="19"/>
  <c r="E206" i="19" s="1"/>
  <c r="F206" i="19" s="1"/>
  <c r="G207" i="19" s="1"/>
  <c r="C207" i="19"/>
  <c r="E207" i="19" s="1"/>
  <c r="F207" i="19" s="1"/>
  <c r="G208" i="19" s="1"/>
  <c r="C208" i="19"/>
  <c r="C209" i="19"/>
  <c r="E209" i="19" s="1"/>
  <c r="F209" i="19" s="1"/>
  <c r="G210" i="19" s="1"/>
  <c r="C210" i="19"/>
  <c r="E210" i="19" s="1"/>
  <c r="F210" i="19" s="1"/>
  <c r="G211" i="19" s="1"/>
  <c r="C211" i="19"/>
  <c r="E211" i="19" s="1"/>
  <c r="F211" i="19" s="1"/>
  <c r="G212" i="19" s="1"/>
  <c r="C212" i="19"/>
  <c r="E212" i="19" s="1"/>
  <c r="F212" i="19" s="1"/>
  <c r="G213" i="19" s="1"/>
  <c r="C213" i="19"/>
  <c r="C214" i="19"/>
  <c r="E214" i="19" s="1"/>
  <c r="F214" i="19" s="1"/>
  <c r="G215" i="19" s="1"/>
  <c r="C215" i="19"/>
  <c r="C216" i="19"/>
  <c r="E216" i="19" s="1"/>
  <c r="F216" i="19" s="1"/>
  <c r="G217" i="19" s="1"/>
  <c r="C217" i="19"/>
  <c r="E217" i="19" s="1"/>
  <c r="F217" i="19" s="1"/>
  <c r="G218" i="19" s="1"/>
  <c r="C218" i="19"/>
  <c r="E218" i="19" s="1"/>
  <c r="F218" i="19" s="1"/>
  <c r="G219" i="19" s="1"/>
  <c r="C219" i="19"/>
  <c r="C220" i="19"/>
  <c r="E220" i="19" s="1"/>
  <c r="F220" i="19" s="1"/>
  <c r="G221" i="19" s="1"/>
  <c r="C221" i="19"/>
  <c r="E221" i="19" s="1"/>
  <c r="F221" i="19" s="1"/>
  <c r="G222" i="19" s="1"/>
  <c r="C222" i="19"/>
  <c r="E222" i="19" s="1"/>
  <c r="F222" i="19" s="1"/>
  <c r="G223" i="19" s="1"/>
  <c r="C223" i="19"/>
  <c r="C224" i="19"/>
  <c r="E224" i="19" s="1"/>
  <c r="F224" i="19" s="1"/>
  <c r="G225" i="19" s="1"/>
  <c r="C225" i="19"/>
  <c r="E225" i="19" s="1"/>
  <c r="F225" i="19" s="1"/>
  <c r="G226" i="19" s="1"/>
  <c r="C226" i="19"/>
  <c r="E226" i="19" s="1"/>
  <c r="F226" i="19" s="1"/>
  <c r="G227" i="19" s="1"/>
  <c r="C227" i="19"/>
  <c r="C228" i="19"/>
  <c r="E228" i="19" s="1"/>
  <c r="F228" i="19" s="1"/>
  <c r="G229" i="19" s="1"/>
  <c r="C229" i="19"/>
  <c r="E229" i="19" s="1"/>
  <c r="F229" i="19" s="1"/>
  <c r="G230" i="19" s="1"/>
  <c r="C230" i="19"/>
  <c r="E230" i="19" s="1"/>
  <c r="F230" i="19" s="1"/>
  <c r="G231" i="19" s="1"/>
  <c r="C231" i="19"/>
  <c r="E231" i="19" s="1"/>
  <c r="F231" i="19" s="1"/>
  <c r="G232" i="19" s="1"/>
  <c r="C232" i="19"/>
  <c r="C233" i="19"/>
  <c r="E233" i="19" s="1"/>
  <c r="F233" i="19" s="1"/>
  <c r="G234" i="19" s="1"/>
  <c r="C234" i="19"/>
  <c r="E234" i="19" s="1"/>
  <c r="F234" i="19" s="1"/>
  <c r="G235" i="19" s="1"/>
  <c r="C235" i="19"/>
  <c r="E235" i="19" s="1"/>
  <c r="F235" i="19" s="1"/>
  <c r="G236" i="19" s="1"/>
  <c r="C236" i="19"/>
  <c r="E236" i="19" s="1"/>
  <c r="F236" i="19" s="1"/>
  <c r="G237" i="19" s="1"/>
  <c r="C237" i="19"/>
  <c r="C238" i="19"/>
  <c r="E238" i="19" s="1"/>
  <c r="F238" i="19" s="1"/>
  <c r="G239" i="19" s="1"/>
  <c r="C239" i="19"/>
  <c r="C240" i="19"/>
  <c r="E240" i="19" s="1"/>
  <c r="F240" i="19" s="1"/>
  <c r="G241" i="19" s="1"/>
  <c r="C241" i="19"/>
  <c r="E241" i="19" s="1"/>
  <c r="F241" i="19" s="1"/>
  <c r="G242" i="19" s="1"/>
  <c r="C242" i="19"/>
  <c r="E242" i="19" s="1"/>
  <c r="F242" i="19" s="1"/>
  <c r="G243" i="19" s="1"/>
  <c r="C243" i="19"/>
  <c r="C244" i="19"/>
  <c r="E244" i="19" s="1"/>
  <c r="F244" i="19" s="1"/>
  <c r="G245" i="19" s="1"/>
  <c r="C245" i="19"/>
  <c r="E245" i="19" s="1"/>
  <c r="F245" i="19" s="1"/>
  <c r="G246" i="19" s="1"/>
  <c r="C246" i="19"/>
  <c r="E246" i="19" s="1"/>
  <c r="F246" i="19" s="1"/>
  <c r="G247" i="19" s="1"/>
  <c r="C247" i="19"/>
  <c r="C248" i="19"/>
  <c r="E248" i="19" s="1"/>
  <c r="F248" i="19" s="1"/>
  <c r="G249" i="19" s="1"/>
  <c r="C249" i="19"/>
  <c r="E249" i="19" s="1"/>
  <c r="F249" i="19" s="1"/>
  <c r="G250" i="19" s="1"/>
  <c r="C250" i="19"/>
  <c r="E250" i="19" s="1"/>
  <c r="F250" i="19" s="1"/>
  <c r="G251" i="19" s="1"/>
  <c r="C251" i="19"/>
  <c r="C252" i="19"/>
  <c r="E252" i="19" s="1"/>
  <c r="F252" i="19" s="1"/>
  <c r="G253" i="19" s="1"/>
  <c r="C253" i="19"/>
  <c r="E253" i="19" s="1"/>
  <c r="F253" i="19" s="1"/>
  <c r="G254" i="19" s="1"/>
  <c r="C254" i="19"/>
  <c r="E254" i="19" s="1"/>
  <c r="F254" i="19" s="1"/>
  <c r="G255" i="19" s="1"/>
  <c r="C255" i="19"/>
  <c r="E255" i="19" s="1"/>
  <c r="F255" i="19" s="1"/>
  <c r="G256" i="19" s="1"/>
  <c r="C256" i="19"/>
  <c r="C257" i="19"/>
  <c r="E257" i="19" s="1"/>
  <c r="F257" i="19" s="1"/>
  <c r="G258" i="19" s="1"/>
  <c r="C258" i="19"/>
  <c r="E258" i="19" s="1"/>
  <c r="F258" i="19" s="1"/>
  <c r="G259" i="19" s="1"/>
  <c r="C259" i="19"/>
  <c r="E259" i="19" s="1"/>
  <c r="F259" i="19" s="1"/>
  <c r="G260" i="19" s="1"/>
  <c r="C260" i="19"/>
  <c r="E260" i="19" s="1"/>
  <c r="F260" i="19" s="1"/>
  <c r="G261" i="19" s="1"/>
  <c r="C261" i="19"/>
  <c r="C262" i="19"/>
  <c r="E262" i="19" s="1"/>
  <c r="F262" i="19" s="1"/>
  <c r="G263" i="19" s="1"/>
  <c r="C263" i="19"/>
  <c r="C264" i="19"/>
  <c r="E264" i="19" s="1"/>
  <c r="F264" i="19" s="1"/>
  <c r="G265" i="19" s="1"/>
  <c r="C265" i="19"/>
  <c r="E265" i="19" s="1"/>
  <c r="F265" i="19" s="1"/>
  <c r="G266" i="19" s="1"/>
  <c r="C266" i="19"/>
  <c r="E266" i="19" s="1"/>
  <c r="F266" i="19" s="1"/>
  <c r="G267" i="19" s="1"/>
  <c r="C267" i="19"/>
  <c r="C268" i="19"/>
  <c r="E268" i="19" s="1"/>
  <c r="F268" i="19" s="1"/>
  <c r="G269" i="19" s="1"/>
  <c r="C269" i="19"/>
  <c r="E269" i="19" s="1"/>
  <c r="F269" i="19" s="1"/>
  <c r="G270" i="19" s="1"/>
  <c r="C270" i="19"/>
  <c r="E270" i="19" s="1"/>
  <c r="F270" i="19" s="1"/>
  <c r="G271" i="19" s="1"/>
  <c r="C271" i="19"/>
  <c r="C272" i="19"/>
  <c r="E272" i="19" s="1"/>
  <c r="F272" i="19" s="1"/>
  <c r="G273" i="19" s="1"/>
  <c r="C273" i="19"/>
  <c r="E273" i="19" s="1"/>
  <c r="F273" i="19" s="1"/>
  <c r="G274" i="19" s="1"/>
  <c r="C274" i="19"/>
  <c r="E274" i="19" s="1"/>
  <c r="F274" i="19" s="1"/>
  <c r="G275" i="19" s="1"/>
  <c r="C275" i="19"/>
  <c r="C276" i="19"/>
  <c r="E276" i="19" s="1"/>
  <c r="F276" i="19" s="1"/>
  <c r="G277" i="19" s="1"/>
  <c r="C277" i="19"/>
  <c r="E277" i="19" s="1"/>
  <c r="F277" i="19" s="1"/>
  <c r="G278" i="19" s="1"/>
  <c r="C278" i="19"/>
  <c r="E278" i="19" s="1"/>
  <c r="F278" i="19" s="1"/>
  <c r="G279" i="19" s="1"/>
  <c r="C279" i="19"/>
  <c r="E279" i="19" s="1"/>
  <c r="F279" i="19" s="1"/>
  <c r="G280" i="19" s="1"/>
  <c r="C280" i="19"/>
  <c r="C281" i="19"/>
  <c r="E281" i="19" s="1"/>
  <c r="F281" i="19" s="1"/>
  <c r="G282" i="19" s="1"/>
  <c r="C282" i="19"/>
  <c r="E282" i="19" s="1"/>
  <c r="F282" i="19" s="1"/>
  <c r="G283" i="19" s="1"/>
  <c r="C283" i="19"/>
  <c r="E283" i="19" s="1"/>
  <c r="F283" i="19" s="1"/>
  <c r="G284" i="19" s="1"/>
  <c r="C284" i="19"/>
  <c r="E284" i="19" s="1"/>
  <c r="F284" i="19" s="1"/>
  <c r="G285" i="19" s="1"/>
  <c r="C285" i="19"/>
  <c r="C286" i="19"/>
  <c r="E286" i="19" s="1"/>
  <c r="F286" i="19" s="1"/>
  <c r="G287" i="19" s="1"/>
  <c r="C287" i="19"/>
  <c r="C288" i="19"/>
  <c r="E288" i="19" s="1"/>
  <c r="F288" i="19" s="1"/>
  <c r="G289" i="19" s="1"/>
  <c r="C289" i="19"/>
  <c r="E289" i="19" s="1"/>
  <c r="F289" i="19" s="1"/>
  <c r="G290" i="19" s="1"/>
  <c r="C290" i="19"/>
  <c r="E290" i="19" s="1"/>
  <c r="F290" i="19" s="1"/>
  <c r="G291" i="19" s="1"/>
  <c r="C291" i="19"/>
  <c r="C292" i="19"/>
  <c r="E292" i="19" s="1"/>
  <c r="F292" i="19" s="1"/>
  <c r="G293" i="19" s="1"/>
  <c r="C293" i="19"/>
  <c r="E293" i="19" s="1"/>
  <c r="F293" i="19" s="1"/>
  <c r="G294" i="19" s="1"/>
  <c r="C294" i="19"/>
  <c r="E294" i="19" s="1"/>
  <c r="F294" i="19" s="1"/>
  <c r="G295" i="19" s="1"/>
  <c r="C295" i="19"/>
  <c r="C296" i="19"/>
  <c r="E296" i="19" s="1"/>
  <c r="F296" i="19" s="1"/>
  <c r="G297" i="19" s="1"/>
  <c r="C297" i="19"/>
  <c r="E297" i="19" s="1"/>
  <c r="F297" i="19" s="1"/>
  <c r="G298" i="19" s="1"/>
  <c r="C298" i="19"/>
  <c r="E298" i="19" s="1"/>
  <c r="F298" i="19" s="1"/>
  <c r="G299" i="19" s="1"/>
  <c r="C299" i="19"/>
  <c r="C300" i="19"/>
  <c r="E300" i="19" s="1"/>
  <c r="F300" i="19" s="1"/>
  <c r="G301" i="19" s="1"/>
  <c r="C301" i="19"/>
  <c r="E301" i="19" s="1"/>
  <c r="F301" i="19" s="1"/>
  <c r="G302" i="19" s="1"/>
  <c r="C302" i="19"/>
  <c r="E302" i="19" s="1"/>
  <c r="F302" i="19" s="1"/>
  <c r="G303" i="19" s="1"/>
  <c r="C303" i="19"/>
  <c r="E303" i="19" s="1"/>
  <c r="F303" i="19" s="1"/>
  <c r="G304" i="19" s="1"/>
  <c r="C304" i="19"/>
  <c r="C305" i="19"/>
  <c r="E305" i="19" s="1"/>
  <c r="F305" i="19" s="1"/>
  <c r="G306" i="19" s="1"/>
  <c r="C306" i="19"/>
  <c r="E306" i="19" s="1"/>
  <c r="F306" i="19" s="1"/>
  <c r="G307" i="19" s="1"/>
  <c r="C307" i="19"/>
  <c r="E307" i="19" s="1"/>
  <c r="F307" i="19" s="1"/>
  <c r="G308" i="19" s="1"/>
  <c r="C308" i="19"/>
  <c r="E308" i="19" s="1"/>
  <c r="F308" i="19" s="1"/>
  <c r="G309" i="19" s="1"/>
  <c r="C309" i="19"/>
  <c r="C310" i="19"/>
  <c r="E310" i="19" s="1"/>
  <c r="F310" i="19" s="1"/>
  <c r="G311" i="19" s="1"/>
  <c r="C311" i="19"/>
  <c r="C312" i="19"/>
  <c r="E312" i="19" s="1"/>
  <c r="F312" i="19" s="1"/>
  <c r="G313" i="19" s="1"/>
  <c r="C313" i="19"/>
  <c r="E313" i="19" s="1"/>
  <c r="F313" i="19" s="1"/>
  <c r="G314" i="19" s="1"/>
  <c r="C314" i="19"/>
  <c r="E314" i="19" s="1"/>
  <c r="F314" i="19" s="1"/>
  <c r="G315" i="19" s="1"/>
  <c r="C315" i="19"/>
  <c r="C316" i="19"/>
  <c r="E316" i="19" s="1"/>
  <c r="F316" i="19" s="1"/>
  <c r="G317" i="19" s="1"/>
  <c r="C317" i="19"/>
  <c r="E317" i="19" s="1"/>
  <c r="F317" i="19" s="1"/>
  <c r="G318" i="19" s="1"/>
  <c r="C318" i="19"/>
  <c r="E318" i="19" s="1"/>
  <c r="F318" i="19" s="1"/>
  <c r="G319" i="19" s="1"/>
  <c r="C319" i="19"/>
  <c r="C320" i="19"/>
  <c r="E320" i="19" s="1"/>
  <c r="F320" i="19" s="1"/>
  <c r="G321" i="19" s="1"/>
  <c r="C321" i="19"/>
  <c r="E321" i="19" s="1"/>
  <c r="F321" i="19" s="1"/>
  <c r="G322" i="19" s="1"/>
  <c r="C322" i="19"/>
  <c r="E322" i="19" s="1"/>
  <c r="F322" i="19" s="1"/>
  <c r="G323" i="19" s="1"/>
  <c r="C323" i="19"/>
  <c r="C324" i="19"/>
  <c r="E324" i="19" s="1"/>
  <c r="F324" i="19" s="1"/>
  <c r="G325" i="19" s="1"/>
  <c r="C325" i="19"/>
  <c r="E325" i="19" s="1"/>
  <c r="F325" i="19" s="1"/>
  <c r="G326" i="19" s="1"/>
  <c r="C326" i="19"/>
  <c r="E326" i="19" s="1"/>
  <c r="F326" i="19" s="1"/>
  <c r="G327" i="19" s="1"/>
  <c r="C327" i="19"/>
  <c r="E327" i="19" s="1"/>
  <c r="F327" i="19" s="1"/>
  <c r="G328" i="19" s="1"/>
  <c r="C328" i="19"/>
  <c r="C329" i="19"/>
  <c r="E329" i="19" s="1"/>
  <c r="F329" i="19" s="1"/>
  <c r="G330" i="19" s="1"/>
  <c r="C330" i="19"/>
  <c r="E330" i="19" s="1"/>
  <c r="F330" i="19" s="1"/>
  <c r="G331" i="19" s="1"/>
  <c r="C331" i="19"/>
  <c r="E331" i="19" s="1"/>
  <c r="F331" i="19" s="1"/>
  <c r="G332" i="19" s="1"/>
  <c r="C332" i="19"/>
  <c r="E332" i="19" s="1"/>
  <c r="F332" i="19" s="1"/>
  <c r="G333" i="19" s="1"/>
  <c r="C333" i="19"/>
  <c r="C334" i="19"/>
  <c r="E334" i="19" s="1"/>
  <c r="F334" i="19" s="1"/>
  <c r="G335" i="19" s="1"/>
  <c r="C335" i="19"/>
  <c r="C336" i="19"/>
  <c r="E336" i="19" s="1"/>
  <c r="F336" i="19" s="1"/>
  <c r="G337" i="19" s="1"/>
  <c r="C337" i="19"/>
  <c r="E337" i="19" s="1"/>
  <c r="F337" i="19" s="1"/>
  <c r="G338" i="19" s="1"/>
  <c r="C338" i="19"/>
  <c r="E338" i="19" s="1"/>
  <c r="F338" i="19" s="1"/>
  <c r="G339" i="19" s="1"/>
  <c r="C339" i="19"/>
  <c r="C340" i="19"/>
  <c r="E340" i="19" s="1"/>
  <c r="F340" i="19" s="1"/>
  <c r="G341" i="19" s="1"/>
  <c r="C341" i="19"/>
  <c r="E341" i="19" s="1"/>
  <c r="F341" i="19" s="1"/>
  <c r="G342" i="19" s="1"/>
  <c r="C342" i="19"/>
  <c r="E342" i="19" s="1"/>
  <c r="F342" i="19" s="1"/>
  <c r="G343" i="19" s="1"/>
  <c r="C343" i="19"/>
  <c r="C344" i="19"/>
  <c r="E344" i="19" s="1"/>
  <c r="F344" i="19" s="1"/>
  <c r="G345" i="19" s="1"/>
  <c r="C345" i="19"/>
  <c r="E345" i="19" s="1"/>
  <c r="F345" i="19" s="1"/>
  <c r="G346" i="19" s="1"/>
  <c r="C346" i="19"/>
  <c r="E346" i="19" s="1"/>
  <c r="F346" i="19" s="1"/>
  <c r="G347" i="19" s="1"/>
  <c r="C347" i="19"/>
  <c r="C348" i="19"/>
  <c r="E348" i="19" s="1"/>
  <c r="F348" i="19" s="1"/>
  <c r="G349" i="19" s="1"/>
  <c r="C349" i="19"/>
  <c r="E349" i="19" s="1"/>
  <c r="F349" i="19" s="1"/>
  <c r="G350" i="19" s="1"/>
  <c r="C350" i="19"/>
  <c r="E350" i="19" s="1"/>
  <c r="F350" i="19" s="1"/>
  <c r="G351" i="19" s="1"/>
  <c r="C351" i="19"/>
  <c r="E351" i="19" s="1"/>
  <c r="F351" i="19" s="1"/>
  <c r="G352" i="19" s="1"/>
  <c r="C352" i="19"/>
  <c r="C353" i="19"/>
  <c r="E353" i="19" s="1"/>
  <c r="F353" i="19" s="1"/>
  <c r="G354" i="19" s="1"/>
  <c r="C354" i="19"/>
  <c r="E354" i="19" s="1"/>
  <c r="F354" i="19" s="1"/>
  <c r="G355" i="19" s="1"/>
  <c r="C355" i="19"/>
  <c r="E355" i="19" s="1"/>
  <c r="F355" i="19" s="1"/>
  <c r="G356" i="19" s="1"/>
  <c r="C356" i="19"/>
  <c r="E356" i="19" s="1"/>
  <c r="F356" i="19" s="1"/>
  <c r="G357" i="19" s="1"/>
  <c r="C357" i="19"/>
  <c r="C358" i="19"/>
  <c r="E358" i="19" s="1"/>
  <c r="F358" i="19" s="1"/>
  <c r="G359" i="19" s="1"/>
  <c r="C359" i="19"/>
  <c r="C360" i="19"/>
  <c r="E360" i="19" s="1"/>
  <c r="F360" i="19" s="1"/>
  <c r="G361" i="19" s="1"/>
  <c r="C361" i="19"/>
  <c r="E361" i="19" s="1"/>
  <c r="F361" i="19" s="1"/>
  <c r="G362" i="19" s="1"/>
  <c r="C362" i="19"/>
  <c r="E362" i="19" s="1"/>
  <c r="F362" i="19" s="1"/>
  <c r="G363" i="19" s="1"/>
  <c r="C363" i="19"/>
  <c r="C364" i="19"/>
  <c r="E364" i="19" s="1"/>
  <c r="F364" i="19" s="1"/>
  <c r="G365" i="19" s="1"/>
  <c r="C365" i="19"/>
  <c r="E365" i="19" s="1"/>
  <c r="F365" i="19" s="1"/>
  <c r="G366" i="19" s="1"/>
  <c r="C366" i="19"/>
  <c r="E366" i="19" s="1"/>
  <c r="F366" i="19" s="1"/>
  <c r="G367" i="19" s="1"/>
  <c r="C367" i="19"/>
  <c r="C368" i="19"/>
  <c r="E368" i="19" s="1"/>
  <c r="F368" i="19" s="1"/>
  <c r="G369" i="19" s="1"/>
  <c r="C369" i="19"/>
  <c r="E369" i="19" s="1"/>
  <c r="F369" i="19" s="1"/>
  <c r="G370" i="19" s="1"/>
  <c r="C370" i="19"/>
  <c r="E370" i="19" s="1"/>
  <c r="F370" i="19" s="1"/>
  <c r="G371" i="19" s="1"/>
  <c r="C371" i="19"/>
  <c r="C372" i="19"/>
  <c r="E372" i="19" s="1"/>
  <c r="F372" i="19" s="1"/>
  <c r="G373" i="19" s="1"/>
  <c r="C373" i="19"/>
  <c r="E373" i="19" s="1"/>
  <c r="F373" i="19" s="1"/>
  <c r="G374" i="19" s="1"/>
  <c r="C374" i="19"/>
  <c r="E374" i="19" s="1"/>
  <c r="F374" i="19" s="1"/>
  <c r="G375" i="19" s="1"/>
  <c r="C375" i="19"/>
  <c r="E375" i="19" s="1"/>
  <c r="F375" i="19" s="1"/>
  <c r="G376" i="19" s="1"/>
  <c r="C376" i="19"/>
  <c r="C377" i="19"/>
  <c r="E377" i="19" s="1"/>
  <c r="F377" i="19" s="1"/>
  <c r="G378" i="19" s="1"/>
  <c r="C378" i="19"/>
  <c r="E378" i="19" s="1"/>
  <c r="F378" i="19" s="1"/>
  <c r="G379" i="19" s="1"/>
  <c r="C379" i="19"/>
  <c r="E379" i="19" s="1"/>
  <c r="F379" i="19" s="1"/>
  <c r="G380" i="19" s="1"/>
  <c r="C380" i="19"/>
  <c r="E380" i="19" s="1"/>
  <c r="F380" i="19" s="1"/>
  <c r="G381" i="19" s="1"/>
  <c r="C381" i="19"/>
  <c r="C382" i="19"/>
  <c r="E382" i="19" s="1"/>
  <c r="F382" i="19" s="1"/>
  <c r="G383" i="19" s="1"/>
  <c r="C383" i="19"/>
  <c r="C384" i="19"/>
  <c r="E384" i="19" s="1"/>
  <c r="F384" i="19" s="1"/>
  <c r="G385" i="19" s="1"/>
  <c r="C385" i="19"/>
  <c r="E385" i="19" s="1"/>
  <c r="F385" i="19" s="1"/>
  <c r="G386" i="19" s="1"/>
  <c r="C386" i="19"/>
  <c r="E386" i="19" s="1"/>
  <c r="F386" i="19" s="1"/>
  <c r="G387" i="19" s="1"/>
  <c r="C387" i="19"/>
  <c r="C388" i="19"/>
  <c r="E388" i="19" s="1"/>
  <c r="F388" i="19" s="1"/>
  <c r="G389" i="19" s="1"/>
  <c r="C389" i="19"/>
  <c r="E389" i="19" s="1"/>
  <c r="F389" i="19" s="1"/>
  <c r="G390" i="19" s="1"/>
  <c r="C390" i="19"/>
  <c r="E390" i="19" s="1"/>
  <c r="F390" i="19" s="1"/>
  <c r="G391" i="19" s="1"/>
  <c r="C391" i="19"/>
  <c r="C392" i="19"/>
  <c r="E392" i="19" s="1"/>
  <c r="F392" i="19" s="1"/>
  <c r="G393" i="19" s="1"/>
  <c r="C393" i="19"/>
  <c r="E393" i="19" s="1"/>
  <c r="F393" i="19" s="1"/>
  <c r="G394" i="19" s="1"/>
  <c r="C394" i="19"/>
  <c r="E394" i="19" s="1"/>
  <c r="F394" i="19" s="1"/>
  <c r="G395" i="19" s="1"/>
  <c r="C395" i="19"/>
  <c r="C396" i="19"/>
  <c r="E396" i="19" s="1"/>
  <c r="F396" i="19" s="1"/>
  <c r="G397" i="19" s="1"/>
  <c r="C397" i="19"/>
  <c r="E397" i="19" s="1"/>
  <c r="F397" i="19" s="1"/>
  <c r="G398" i="19" s="1"/>
  <c r="C398" i="19"/>
  <c r="E398" i="19" s="1"/>
  <c r="F398" i="19" s="1"/>
  <c r="G399" i="19" s="1"/>
  <c r="C399" i="19"/>
  <c r="E399" i="19" s="1"/>
  <c r="F399" i="19" s="1"/>
  <c r="G400" i="19" s="1"/>
  <c r="C400" i="19"/>
  <c r="C401" i="19"/>
  <c r="E401" i="19" s="1"/>
  <c r="F401" i="19" s="1"/>
  <c r="G402" i="19" s="1"/>
  <c r="C402" i="19"/>
  <c r="E402" i="19" s="1"/>
  <c r="F402" i="19" s="1"/>
  <c r="G403" i="19" s="1"/>
  <c r="C403" i="19"/>
  <c r="E403" i="19" s="1"/>
  <c r="F403" i="19" s="1"/>
  <c r="G404" i="19" s="1"/>
  <c r="C404" i="19"/>
  <c r="E404" i="19" s="1"/>
  <c r="F404" i="19" s="1"/>
  <c r="G405" i="19" s="1"/>
  <c r="C405" i="19"/>
  <c r="C406" i="19"/>
  <c r="E406" i="19" s="1"/>
  <c r="F406" i="19" s="1"/>
  <c r="G407" i="19" s="1"/>
  <c r="C407" i="19"/>
  <c r="C408" i="19"/>
  <c r="E408" i="19" s="1"/>
  <c r="F408" i="19" s="1"/>
  <c r="G409" i="19" s="1"/>
  <c r="C409" i="19"/>
  <c r="E409" i="19" s="1"/>
  <c r="F409" i="19" s="1"/>
  <c r="G410" i="19" s="1"/>
  <c r="C410" i="19"/>
  <c r="E410" i="19" s="1"/>
  <c r="F410" i="19" s="1"/>
  <c r="G411" i="19" s="1"/>
  <c r="C411" i="19"/>
  <c r="C412" i="19"/>
  <c r="E412" i="19" s="1"/>
  <c r="F412" i="19" s="1"/>
  <c r="G413" i="19" s="1"/>
  <c r="C413" i="19"/>
  <c r="E413" i="19" s="1"/>
  <c r="F413" i="19" s="1"/>
  <c r="G414" i="19" s="1"/>
  <c r="C414" i="19"/>
  <c r="E414" i="19" s="1"/>
  <c r="F414" i="19" s="1"/>
  <c r="G415" i="19" s="1"/>
  <c r="C415" i="19"/>
  <c r="C416" i="19"/>
  <c r="E416" i="19" s="1"/>
  <c r="F416" i="19" s="1"/>
  <c r="G417" i="19" s="1"/>
  <c r="C417" i="19"/>
  <c r="E417" i="19" s="1"/>
  <c r="F417" i="19" s="1"/>
  <c r="G418" i="19" s="1"/>
  <c r="C418" i="19"/>
  <c r="E418" i="19" s="1"/>
  <c r="F418" i="19" s="1"/>
  <c r="G419" i="19" s="1"/>
  <c r="C419" i="19"/>
  <c r="C420" i="19"/>
  <c r="E420" i="19" s="1"/>
  <c r="F420" i="19" s="1"/>
  <c r="G421" i="19" s="1"/>
  <c r="C421" i="19"/>
  <c r="E421" i="19" s="1"/>
  <c r="F421" i="19" s="1"/>
  <c r="G422" i="19" s="1"/>
  <c r="C422" i="19"/>
  <c r="E422" i="19" s="1"/>
  <c r="F422" i="19" s="1"/>
  <c r="G423" i="19" s="1"/>
  <c r="C423" i="19"/>
  <c r="E423" i="19" s="1"/>
  <c r="F423" i="19" s="1"/>
  <c r="G424" i="19" s="1"/>
  <c r="C424" i="19"/>
  <c r="C425" i="19"/>
  <c r="E425" i="19" s="1"/>
  <c r="F425" i="19" s="1"/>
  <c r="G426" i="19" s="1"/>
  <c r="C426" i="19"/>
  <c r="E426" i="19" s="1"/>
  <c r="F426" i="19" s="1"/>
  <c r="G427" i="19" s="1"/>
  <c r="C427" i="19"/>
  <c r="E427" i="19" s="1"/>
  <c r="F427" i="19" s="1"/>
  <c r="G428" i="19" s="1"/>
  <c r="C428" i="19"/>
  <c r="E428" i="19" s="1"/>
  <c r="F428" i="19" s="1"/>
  <c r="G429" i="19" s="1"/>
  <c r="C429" i="19"/>
  <c r="C430" i="19"/>
  <c r="E430" i="19" s="1"/>
  <c r="F430" i="19" s="1"/>
  <c r="G431" i="19" s="1"/>
  <c r="C431" i="19"/>
  <c r="C432" i="19"/>
  <c r="E432" i="19" s="1"/>
  <c r="F432" i="19" s="1"/>
  <c r="G433" i="19" s="1"/>
  <c r="C433" i="19"/>
  <c r="E433" i="19" s="1"/>
  <c r="F433" i="19" s="1"/>
  <c r="G434" i="19" s="1"/>
  <c r="C434" i="19"/>
  <c r="E434" i="19" s="1"/>
  <c r="F434" i="19" s="1"/>
  <c r="G435" i="19" s="1"/>
  <c r="C435" i="19"/>
  <c r="C436" i="19"/>
  <c r="E436" i="19" s="1"/>
  <c r="F436" i="19" s="1"/>
  <c r="G437" i="19" s="1"/>
  <c r="C437" i="19"/>
  <c r="E437" i="19" s="1"/>
  <c r="F437" i="19" s="1"/>
  <c r="G438" i="19" s="1"/>
  <c r="C438" i="19"/>
  <c r="E438" i="19" s="1"/>
  <c r="F438" i="19" s="1"/>
  <c r="G439" i="19" s="1"/>
  <c r="C439" i="19"/>
  <c r="C440" i="19"/>
  <c r="E440" i="19" s="1"/>
  <c r="F440" i="19" s="1"/>
  <c r="G441" i="19" s="1"/>
  <c r="C441" i="19"/>
  <c r="E441" i="19" s="1"/>
  <c r="F441" i="19" s="1"/>
  <c r="G442" i="19" s="1"/>
  <c r="C442" i="19"/>
  <c r="E442" i="19" s="1"/>
  <c r="F442" i="19" s="1"/>
  <c r="G443" i="19" s="1"/>
  <c r="C443" i="19"/>
  <c r="C444" i="19"/>
  <c r="E444" i="19" s="1"/>
  <c r="F444" i="19" s="1"/>
  <c r="C2" i="19"/>
  <c r="E2" i="19" s="1"/>
  <c r="F2" i="19" s="1"/>
  <c r="G3" i="19" s="1"/>
  <c r="E352" i="19" l="1"/>
  <c r="F352" i="19" s="1"/>
  <c r="G353" i="19" s="1"/>
  <c r="E435" i="19"/>
  <c r="F435" i="19" s="1"/>
  <c r="G436" i="19" s="1"/>
  <c r="E315" i="19"/>
  <c r="F315" i="19" s="1"/>
  <c r="G316" i="19" s="1"/>
  <c r="E291" i="19"/>
  <c r="F291" i="19" s="1"/>
  <c r="G292" i="19" s="1"/>
  <c r="E267" i="19"/>
  <c r="F267" i="19" s="1"/>
  <c r="G268" i="19" s="1"/>
  <c r="E243" i="19"/>
  <c r="F243" i="19" s="1"/>
  <c r="G244" i="19" s="1"/>
  <c r="E219" i="19"/>
  <c r="F219" i="19" s="1"/>
  <c r="G220" i="19" s="1"/>
  <c r="E195" i="19"/>
  <c r="F195" i="19" s="1"/>
  <c r="G196" i="19" s="1"/>
  <c r="E171" i="19"/>
  <c r="F171" i="19" s="1"/>
  <c r="G172" i="19" s="1"/>
  <c r="E147" i="19"/>
  <c r="F147" i="19" s="1"/>
  <c r="G148" i="19" s="1"/>
  <c r="E123" i="19"/>
  <c r="F123" i="19" s="1"/>
  <c r="G124" i="19" s="1"/>
  <c r="E99" i="19"/>
  <c r="F99" i="19" s="1"/>
  <c r="G100" i="19" s="1"/>
  <c r="E75" i="19"/>
  <c r="F75" i="19" s="1"/>
  <c r="G76" i="19" s="1"/>
  <c r="E51" i="19"/>
  <c r="F51" i="19" s="1"/>
  <c r="G52" i="19" s="1"/>
  <c r="E27" i="19"/>
  <c r="F27" i="19" s="1"/>
  <c r="G28" i="19" s="1"/>
  <c r="E280" i="19"/>
  <c r="F280" i="19" s="1"/>
  <c r="G281" i="19" s="1"/>
  <c r="E232" i="19"/>
  <c r="F232" i="19" s="1"/>
  <c r="G233" i="19" s="1"/>
  <c r="E424" i="19"/>
  <c r="F424" i="19" s="1"/>
  <c r="G425" i="19" s="1"/>
  <c r="E387" i="19"/>
  <c r="F387" i="19" s="1"/>
  <c r="G388" i="19" s="1"/>
  <c r="E136" i="19"/>
  <c r="F136" i="19" s="1"/>
  <c r="G137" i="19" s="1"/>
  <c r="E40" i="19"/>
  <c r="F40" i="19" s="1"/>
  <c r="G41" i="19" s="1"/>
  <c r="E256" i="19"/>
  <c r="F256" i="19" s="1"/>
  <c r="G257" i="19" s="1"/>
  <c r="E411" i="19"/>
  <c r="F411" i="19" s="1"/>
  <c r="G412" i="19" s="1"/>
  <c r="E431" i="19"/>
  <c r="F431" i="19" s="1"/>
  <c r="G432" i="19" s="1"/>
  <c r="E383" i="19"/>
  <c r="F383" i="19" s="1"/>
  <c r="G384" i="19" s="1"/>
  <c r="E359" i="19"/>
  <c r="F359" i="19" s="1"/>
  <c r="G360" i="19" s="1"/>
  <c r="E335" i="19"/>
  <c r="F335" i="19" s="1"/>
  <c r="G336" i="19" s="1"/>
  <c r="E323" i="19"/>
  <c r="F323" i="19" s="1"/>
  <c r="G324" i="19" s="1"/>
  <c r="E311" i="19"/>
  <c r="F311" i="19" s="1"/>
  <c r="G312" i="19" s="1"/>
  <c r="E299" i="19"/>
  <c r="F299" i="19" s="1"/>
  <c r="G300" i="19" s="1"/>
  <c r="E287" i="19"/>
  <c r="F287" i="19" s="1"/>
  <c r="G288" i="19" s="1"/>
  <c r="E275" i="19"/>
  <c r="F275" i="19" s="1"/>
  <c r="G276" i="19" s="1"/>
  <c r="E263" i="19"/>
  <c r="F263" i="19" s="1"/>
  <c r="G264" i="19" s="1"/>
  <c r="E251" i="19"/>
  <c r="F251" i="19" s="1"/>
  <c r="G252" i="19" s="1"/>
  <c r="E239" i="19"/>
  <c r="F239" i="19" s="1"/>
  <c r="G240" i="19" s="1"/>
  <c r="E227" i="19"/>
  <c r="F227" i="19" s="1"/>
  <c r="G228" i="19" s="1"/>
  <c r="E215" i="19"/>
  <c r="F215" i="19" s="1"/>
  <c r="G216" i="19" s="1"/>
  <c r="E203" i="19"/>
  <c r="F203" i="19" s="1"/>
  <c r="G204" i="19" s="1"/>
  <c r="E191" i="19"/>
  <c r="F191" i="19" s="1"/>
  <c r="G192" i="19" s="1"/>
  <c r="E179" i="19"/>
  <c r="F179" i="19" s="1"/>
  <c r="G180" i="19" s="1"/>
  <c r="E167" i="19"/>
  <c r="F167" i="19" s="1"/>
  <c r="G168" i="19" s="1"/>
  <c r="E155" i="19"/>
  <c r="F155" i="19" s="1"/>
  <c r="G156" i="19" s="1"/>
  <c r="E143" i="19"/>
  <c r="F143" i="19" s="1"/>
  <c r="G144" i="19" s="1"/>
  <c r="E131" i="19"/>
  <c r="F131" i="19" s="1"/>
  <c r="G132" i="19" s="1"/>
  <c r="E119" i="19"/>
  <c r="F119" i="19" s="1"/>
  <c r="G120" i="19" s="1"/>
  <c r="E107" i="19"/>
  <c r="F107" i="19" s="1"/>
  <c r="G108" i="19" s="1"/>
  <c r="E83" i="19"/>
  <c r="F83" i="19" s="1"/>
  <c r="G84" i="19" s="1"/>
  <c r="E59" i="19"/>
  <c r="F59" i="19" s="1"/>
  <c r="G60" i="19" s="1"/>
  <c r="E35" i="19"/>
  <c r="F35" i="19" s="1"/>
  <c r="G36" i="19" s="1"/>
  <c r="E11" i="19"/>
  <c r="F11" i="19" s="1"/>
  <c r="G12" i="19" s="1"/>
  <c r="E184" i="19"/>
  <c r="F184" i="19" s="1"/>
  <c r="G185" i="19" s="1"/>
  <c r="E363" i="19"/>
  <c r="F363" i="19" s="1"/>
  <c r="G364" i="19" s="1"/>
  <c r="E443" i="19"/>
  <c r="F443" i="19" s="1"/>
  <c r="G444" i="19" s="1"/>
  <c r="E419" i="19"/>
  <c r="F419" i="19" s="1"/>
  <c r="G420" i="19" s="1"/>
  <c r="E407" i="19"/>
  <c r="F407" i="19" s="1"/>
  <c r="G408" i="19" s="1"/>
  <c r="E395" i="19"/>
  <c r="F395" i="19" s="1"/>
  <c r="G396" i="19" s="1"/>
  <c r="E371" i="19"/>
  <c r="F371" i="19" s="1"/>
  <c r="G372" i="19" s="1"/>
  <c r="E347" i="19"/>
  <c r="F347" i="19" s="1"/>
  <c r="G348" i="19" s="1"/>
  <c r="E88" i="19"/>
  <c r="F88" i="19" s="1"/>
  <c r="G89" i="19" s="1"/>
  <c r="E429" i="19"/>
  <c r="F429" i="19" s="1"/>
  <c r="G430" i="19" s="1"/>
  <c r="E405" i="19"/>
  <c r="F405" i="19" s="1"/>
  <c r="G406" i="19" s="1"/>
  <c r="E381" i="19"/>
  <c r="F381" i="19" s="1"/>
  <c r="G382" i="19" s="1"/>
  <c r="E357" i="19"/>
  <c r="F357" i="19" s="1"/>
  <c r="G358" i="19" s="1"/>
  <c r="E333" i="19"/>
  <c r="F333" i="19" s="1"/>
  <c r="G334" i="19" s="1"/>
  <c r="E309" i="19"/>
  <c r="F309" i="19" s="1"/>
  <c r="G310" i="19" s="1"/>
  <c r="E285" i="19"/>
  <c r="F285" i="19" s="1"/>
  <c r="G286" i="19" s="1"/>
  <c r="E261" i="19"/>
  <c r="F261" i="19" s="1"/>
  <c r="G262" i="19" s="1"/>
  <c r="E237" i="19"/>
  <c r="F237" i="19" s="1"/>
  <c r="G238" i="19" s="1"/>
  <c r="E213" i="19"/>
  <c r="F213" i="19" s="1"/>
  <c r="G214" i="19" s="1"/>
  <c r="E189" i="19"/>
  <c r="F189" i="19" s="1"/>
  <c r="G190" i="19" s="1"/>
  <c r="E165" i="19"/>
  <c r="F165" i="19" s="1"/>
  <c r="G166" i="19" s="1"/>
  <c r="E141" i="19"/>
  <c r="F141" i="19" s="1"/>
  <c r="G142" i="19" s="1"/>
  <c r="E117" i="19"/>
  <c r="F117" i="19" s="1"/>
  <c r="G118" i="19" s="1"/>
  <c r="E93" i="19"/>
  <c r="F93" i="19" s="1"/>
  <c r="G94" i="19" s="1"/>
  <c r="E69" i="19"/>
  <c r="F69" i="19" s="1"/>
  <c r="G70" i="19" s="1"/>
  <c r="E45" i="19"/>
  <c r="F45" i="19" s="1"/>
  <c r="G46" i="19" s="1"/>
  <c r="E21" i="19"/>
  <c r="F21" i="19" s="1"/>
  <c r="G22" i="19" s="1"/>
  <c r="E400" i="19"/>
  <c r="F400" i="19" s="1"/>
  <c r="G401" i="19" s="1"/>
  <c r="E328" i="19"/>
  <c r="F328" i="19" s="1"/>
  <c r="G329" i="19" s="1"/>
  <c r="E160" i="19"/>
  <c r="F160" i="19" s="1"/>
  <c r="G161" i="19" s="1"/>
  <c r="E64" i="19"/>
  <c r="F64" i="19" s="1"/>
  <c r="G65" i="19" s="1"/>
  <c r="E376" i="19"/>
  <c r="F376" i="19" s="1"/>
  <c r="G377" i="19" s="1"/>
  <c r="E304" i="19"/>
  <c r="F304" i="19" s="1"/>
  <c r="G305" i="19" s="1"/>
  <c r="E208" i="19"/>
  <c r="F208" i="19" s="1"/>
  <c r="G209" i="19" s="1"/>
  <c r="E112" i="19"/>
  <c r="F112" i="19" s="1"/>
  <c r="G113" i="19" s="1"/>
  <c r="E339" i="19"/>
  <c r="F339" i="19" s="1"/>
  <c r="G340" i="19" s="1"/>
  <c r="E439" i="19"/>
  <c r="F439" i="19" s="1"/>
  <c r="G440" i="19" s="1"/>
  <c r="E415" i="19"/>
  <c r="F415" i="19" s="1"/>
  <c r="G416" i="19" s="1"/>
  <c r="E391" i="19"/>
  <c r="F391" i="19" s="1"/>
  <c r="G392" i="19" s="1"/>
  <c r="E367" i="19"/>
  <c r="F367" i="19" s="1"/>
  <c r="G368" i="19" s="1"/>
  <c r="E343" i="19"/>
  <c r="F343" i="19" s="1"/>
  <c r="G344" i="19" s="1"/>
  <c r="E319" i="19"/>
  <c r="F319" i="19" s="1"/>
  <c r="G320" i="19" s="1"/>
  <c r="E295" i="19"/>
  <c r="F295" i="19" s="1"/>
  <c r="G296" i="19" s="1"/>
  <c r="E271" i="19"/>
  <c r="F271" i="19" s="1"/>
  <c r="G272" i="19" s="1"/>
  <c r="E247" i="19"/>
  <c r="F247" i="19" s="1"/>
  <c r="G248" i="19" s="1"/>
  <c r="E223" i="19"/>
  <c r="F223" i="19" s="1"/>
  <c r="G224" i="19" s="1"/>
  <c r="E199" i="19"/>
  <c r="F199" i="19" s="1"/>
  <c r="G200" i="19" s="1"/>
  <c r="E175" i="19"/>
  <c r="F175" i="19" s="1"/>
  <c r="G176" i="19" s="1"/>
  <c r="E151" i="19"/>
  <c r="F151" i="19" s="1"/>
  <c r="G152" i="19" s="1"/>
  <c r="E127" i="19"/>
  <c r="F127" i="19" s="1"/>
  <c r="G128" i="19" s="1"/>
  <c r="E103" i="19"/>
  <c r="F103" i="19" s="1"/>
  <c r="G104" i="19" s="1"/>
  <c r="E79" i="19"/>
  <c r="F79" i="19" s="1"/>
  <c r="G80" i="19" s="1"/>
  <c r="E55" i="19"/>
  <c r="F55" i="19" s="1"/>
  <c r="G56" i="19" s="1"/>
  <c r="E31" i="19"/>
  <c r="F31" i="19" s="1"/>
  <c r="G32" i="19" s="1"/>
  <c r="E7" i="19"/>
  <c r="F7" i="19" s="1"/>
  <c r="G8" i="19" s="1"/>
  <c r="E16" i="19"/>
  <c r="F16" i="19" s="1"/>
  <c r="G1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ibf_pmp1</author>
  </authors>
  <commentList>
    <comment ref="E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ibf_pmp1:</t>
        </r>
        <r>
          <rPr>
            <sz val="9"/>
            <color indexed="81"/>
            <rFont val="Tahoma"/>
            <family val="2"/>
          </rPr>
          <t xml:space="preserve">
The return you get when you are long EUR and short USD</t>
        </r>
      </text>
    </comment>
  </commentList>
</comments>
</file>

<file path=xl/sharedStrings.xml><?xml version="1.0" encoding="utf-8"?>
<sst xmlns="http://schemas.openxmlformats.org/spreadsheetml/2006/main" count="57" uniqueCount="44">
  <si>
    <t>Date</t>
  </si>
  <si>
    <t>CH</t>
  </si>
  <si>
    <t>EU</t>
  </si>
  <si>
    <t>JP</t>
  </si>
  <si>
    <t>UK</t>
  </si>
  <si>
    <t>AU</t>
  </si>
  <si>
    <t>EM</t>
  </si>
  <si>
    <t>CHFUSD</t>
  </si>
  <si>
    <t>EURUSD</t>
  </si>
  <si>
    <t>JPYUSD</t>
  </si>
  <si>
    <t>AUDUSD</t>
  </si>
  <si>
    <t>GBPUSD</t>
  </si>
  <si>
    <t>CNHUSD</t>
  </si>
  <si>
    <t>S CHFUSD</t>
  </si>
  <si>
    <t>S USDCHF</t>
  </si>
  <si>
    <t>FWP USDCHF</t>
  </si>
  <si>
    <t>FWR USDCHF</t>
  </si>
  <si>
    <t>FWR CHFUSD</t>
  </si>
  <si>
    <t>RETURN CH</t>
  </si>
  <si>
    <t>S EURUSD</t>
  </si>
  <si>
    <t>FWP EURUSD</t>
  </si>
  <si>
    <t>FWR EURUSD</t>
  </si>
  <si>
    <t>RETURN EU</t>
  </si>
  <si>
    <t>S JPYUSD</t>
  </si>
  <si>
    <t>S USDJPY</t>
  </si>
  <si>
    <t>FWP USDJPY</t>
  </si>
  <si>
    <t>FWR JPYUSD</t>
  </si>
  <si>
    <t>FWR USDJPY</t>
  </si>
  <si>
    <t>RETURN JP</t>
  </si>
  <si>
    <t>S AUDUSD</t>
  </si>
  <si>
    <t>FWP AUDUSD</t>
  </si>
  <si>
    <t>FWR AUDUSD</t>
  </si>
  <si>
    <t>RETURN AU</t>
  </si>
  <si>
    <t>S GBPUSD</t>
  </si>
  <si>
    <t>FWP GBPUSD</t>
  </si>
  <si>
    <t>FWR GBPUSD</t>
  </si>
  <si>
    <t>RETURN UK</t>
  </si>
  <si>
    <t>Dates</t>
  </si>
  <si>
    <t>S CNHUSD</t>
  </si>
  <si>
    <t>S USDCNH</t>
  </si>
  <si>
    <t>FWP USDCNH</t>
  </si>
  <si>
    <t>FWR USDCNH</t>
  </si>
  <si>
    <t>FWR CNHUSD</t>
  </si>
  <si>
    <t>RETURN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</si>
</sst>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10" fontId="0" fillId="0" borderId="0" xfId="1" applyNumberFormat="1" applyFont="1"/>
    <xf numFmtId="10" fontId="0" fillId="0" borderId="0" xfId="0" applyNumberFormat="1"/>
    <xf numFmtId="0" fontId="0" fillId="0" borderId="0" xfId="0" quotePrefix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T490"/>
  <sheetViews>
    <sheetView tabSelected="1" zoomScaleNormal="100" workbookViewId="0">
      <selection activeCell="G261" sqref="G2:G261"/>
    </sheetView>
  </sheetViews>
  <sheetFormatPr defaultColWidth="8.77734375" defaultRowHeight="14.4" x14ac:dyDescent="0.3"/>
  <cols>
    <col min="1" max="1" width="10.109375" bestFit="1" customWidth="1"/>
    <col min="13" max="13" width="11.44140625" customWidth="1"/>
    <col min="14" max="14" width="17.77734375" customWidth="1"/>
    <col min="15" max="15" width="22" customWidth="1"/>
    <col min="20" max="20" width="15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32539</v>
      </c>
      <c r="B2" s="7">
        <v>-6.2504688308801334E-2</v>
      </c>
      <c r="C2" s="7"/>
      <c r="D2" s="7">
        <v>-4.4447712123296401E-2</v>
      </c>
      <c r="E2" s="7">
        <v>-2.8124479946746529E-2</v>
      </c>
      <c r="F2" s="7">
        <v>4.3549712407559601E-2</v>
      </c>
      <c r="G2" s="7">
        <v>0</v>
      </c>
    </row>
    <row r="3" spans="1:7" x14ac:dyDescent="0.3">
      <c r="A3" s="1">
        <v>32567</v>
      </c>
      <c r="B3" s="7">
        <v>2.0885262737162243E-2</v>
      </c>
      <c r="C3" s="7"/>
      <c r="D3" s="7">
        <v>2.5662545553960584E-2</v>
      </c>
      <c r="E3" s="7">
        <v>-2.5745179930201662E-3</v>
      </c>
      <c r="F3" s="7">
        <v>-9.537246049661402E-2</v>
      </c>
      <c r="G3" s="7">
        <v>0</v>
      </c>
    </row>
    <row r="4" spans="1:7" x14ac:dyDescent="0.3">
      <c r="A4" s="1">
        <v>32598</v>
      </c>
      <c r="B4" s="7">
        <v>-6.7754323923184562E-2</v>
      </c>
      <c r="C4" s="7"/>
      <c r="D4" s="7">
        <v>-4.8472253357016104E-2</v>
      </c>
      <c r="E4" s="7">
        <v>-3.0821096647060758E-2</v>
      </c>
      <c r="F4" s="7">
        <v>2.7843973410259622E-2</v>
      </c>
      <c r="G4" s="7">
        <v>0</v>
      </c>
    </row>
    <row r="5" spans="1:7" x14ac:dyDescent="0.3">
      <c r="A5" s="1">
        <v>32626</v>
      </c>
      <c r="B5" s="7">
        <v>-9.5315505236909671E-3</v>
      </c>
      <c r="C5" s="7"/>
      <c r="D5" s="7">
        <v>-6.1796199069570146E-3</v>
      </c>
      <c r="E5" s="7">
        <v>4.8159819252036364E-3</v>
      </c>
      <c r="F5" s="7">
        <v>-2.5641025641025675E-2</v>
      </c>
      <c r="G5" s="7">
        <v>0</v>
      </c>
    </row>
    <row r="6" spans="1:7" x14ac:dyDescent="0.3">
      <c r="A6" s="1">
        <v>32659</v>
      </c>
      <c r="B6" s="7">
        <v>-2.2300405220883578E-2</v>
      </c>
      <c r="C6" s="7"/>
      <c r="D6" s="7">
        <v>-7.0709235622558778E-2</v>
      </c>
      <c r="E6" s="7">
        <v>-6.8691422470043839E-2</v>
      </c>
      <c r="F6" s="7">
        <v>-4.7106496137773991E-2</v>
      </c>
      <c r="G6" s="7">
        <v>0</v>
      </c>
    </row>
    <row r="7" spans="1:7" x14ac:dyDescent="0.3">
      <c r="A7" s="1">
        <v>32689</v>
      </c>
      <c r="B7" s="7">
        <v>1.2938362770385506E-2</v>
      </c>
      <c r="C7" s="7"/>
      <c r="D7" s="7">
        <v>-1.5622766921491546E-2</v>
      </c>
      <c r="E7" s="7">
        <v>-9.0787565025210373E-3</v>
      </c>
      <c r="F7" s="7">
        <v>1.1235955056179876E-2</v>
      </c>
      <c r="G7" s="7">
        <v>0</v>
      </c>
    </row>
    <row r="8" spans="1:7" x14ac:dyDescent="0.3">
      <c r="A8" s="1">
        <v>32720</v>
      </c>
      <c r="B8" s="7">
        <v>4.3546039959704519E-2</v>
      </c>
      <c r="C8" s="7"/>
      <c r="D8" s="7">
        <v>4.7715907939170459E-2</v>
      </c>
      <c r="E8" s="7">
        <v>7.9086131929614431E-2</v>
      </c>
      <c r="F8" s="7">
        <v>1.3729672087443317E-2</v>
      </c>
      <c r="G8" s="7">
        <v>0</v>
      </c>
    </row>
    <row r="9" spans="1:7" x14ac:dyDescent="0.3">
      <c r="A9" s="1">
        <v>32751</v>
      </c>
      <c r="B9" s="7">
        <v>-4.9359901254618421E-2</v>
      </c>
      <c r="C9" s="7"/>
      <c r="D9" s="7">
        <v>-5.5870689526157202E-2</v>
      </c>
      <c r="E9" s="7">
        <v>-5.445335584634857E-2</v>
      </c>
      <c r="F9" s="7">
        <v>1.4319809069212453E-2</v>
      </c>
      <c r="G9" s="7">
        <v>0</v>
      </c>
    </row>
    <row r="10" spans="1:7" x14ac:dyDescent="0.3">
      <c r="A10" s="1">
        <v>32780</v>
      </c>
      <c r="B10" s="7">
        <v>4.5043537056043151E-2</v>
      </c>
      <c r="C10" s="7"/>
      <c r="D10" s="7">
        <v>3.2860546514285667E-2</v>
      </c>
      <c r="E10" s="7">
        <v>3.7651277454056449E-2</v>
      </c>
      <c r="F10" s="7">
        <v>2.5421496311907248E-2</v>
      </c>
      <c r="G10" s="7">
        <v>0</v>
      </c>
    </row>
    <row r="11" spans="1:7" x14ac:dyDescent="0.3">
      <c r="A11" s="1">
        <v>32812</v>
      </c>
      <c r="B11" s="7">
        <v>3.5826791171697666E-3</v>
      </c>
      <c r="C11" s="7"/>
      <c r="D11" s="7">
        <v>-2.4841093902219901E-2</v>
      </c>
      <c r="E11" s="7">
        <v>-2.0324092405559813E-2</v>
      </c>
      <c r="F11" s="7">
        <v>1.2279303707076843E-2</v>
      </c>
      <c r="G11" s="7">
        <v>0</v>
      </c>
    </row>
    <row r="12" spans="1:7" x14ac:dyDescent="0.3">
      <c r="A12" s="1">
        <v>32842</v>
      </c>
      <c r="B12" s="7">
        <v>1.3991763945753966E-2</v>
      </c>
      <c r="C12" s="7"/>
      <c r="D12" s="7">
        <v>-3.3760164886954529E-3</v>
      </c>
      <c r="E12" s="7">
        <v>-1.1448196908986985E-3</v>
      </c>
      <c r="F12" s="7">
        <v>1.3443426920613847E-2</v>
      </c>
      <c r="G12" s="7">
        <v>0</v>
      </c>
    </row>
    <row r="13" spans="1:7" x14ac:dyDescent="0.3">
      <c r="A13" s="1">
        <v>32871</v>
      </c>
      <c r="B13" s="7">
        <v>3.1867393945901691E-2</v>
      </c>
      <c r="C13" s="7"/>
      <c r="D13" s="7">
        <v>-7.8763415246819561E-3</v>
      </c>
      <c r="E13" s="7">
        <v>3.180189403634507E-2</v>
      </c>
      <c r="F13" s="7">
        <v>1.0502049180327993E-2</v>
      </c>
      <c r="G13" s="7">
        <v>0</v>
      </c>
    </row>
    <row r="14" spans="1:7" x14ac:dyDescent="0.3">
      <c r="A14" s="1">
        <v>32904</v>
      </c>
      <c r="B14" s="7">
        <v>2.5853932035752876E-2</v>
      </c>
      <c r="C14" s="7"/>
      <c r="D14" s="7">
        <v>-5.7994966177740718E-3</v>
      </c>
      <c r="E14" s="7">
        <v>4.6721976171168342E-2</v>
      </c>
      <c r="F14" s="7">
        <v>-1.187891173840859E-2</v>
      </c>
      <c r="G14" s="7">
        <v>0</v>
      </c>
    </row>
    <row r="15" spans="1:7" x14ac:dyDescent="0.3">
      <c r="A15" s="1">
        <v>32932</v>
      </c>
      <c r="B15" s="7">
        <v>9.7217481457361511E-3</v>
      </c>
      <c r="C15" s="7"/>
      <c r="D15" s="7">
        <v>-2.9772124725065081E-2</v>
      </c>
      <c r="E15" s="7">
        <v>4.7918538484576266E-3</v>
      </c>
      <c r="F15" s="7">
        <v>-8.4734715160995309E-3</v>
      </c>
      <c r="G15" s="7">
        <v>0</v>
      </c>
    </row>
    <row r="16" spans="1:7" x14ac:dyDescent="0.3">
      <c r="A16" s="1">
        <v>32962</v>
      </c>
      <c r="B16" s="7">
        <v>-3.2622146375839278E-3</v>
      </c>
      <c r="C16" s="7"/>
      <c r="D16" s="7">
        <v>-5.8186396342857376E-2</v>
      </c>
      <c r="E16" s="7">
        <v>-1.1812083595421076E-2</v>
      </c>
      <c r="F16" s="7">
        <v>-3.9693040486911613E-4</v>
      </c>
      <c r="G16" s="7">
        <v>0</v>
      </c>
    </row>
    <row r="17" spans="1:7" x14ac:dyDescent="0.3">
      <c r="A17" s="1">
        <v>32993</v>
      </c>
      <c r="B17" s="7">
        <v>3.2985466077088972E-2</v>
      </c>
      <c r="C17" s="7"/>
      <c r="D17" s="7">
        <v>-7.2276185959594848E-3</v>
      </c>
      <c r="E17" s="7">
        <v>2.1972656250000291E-3</v>
      </c>
      <c r="F17" s="7">
        <v>2.5286132552568711E-3</v>
      </c>
      <c r="G17" s="7">
        <v>0</v>
      </c>
    </row>
    <row r="18" spans="1:7" x14ac:dyDescent="0.3">
      <c r="A18" s="1">
        <v>33024</v>
      </c>
      <c r="B18" s="7">
        <v>1.3014192468059134E-2</v>
      </c>
      <c r="C18" s="7"/>
      <c r="D18" s="7">
        <v>3.9543044587450213E-2</v>
      </c>
      <c r="E18" s="7">
        <v>2.8062176318177305E-2</v>
      </c>
      <c r="F18" s="7">
        <v>2.9459025174076083E-2</v>
      </c>
      <c r="G18" s="7">
        <v>0</v>
      </c>
    </row>
    <row r="19" spans="1:7" x14ac:dyDescent="0.3">
      <c r="A19" s="1">
        <v>33053</v>
      </c>
      <c r="B19" s="7">
        <v>1.3276698303955321E-2</v>
      </c>
      <c r="C19" s="7"/>
      <c r="D19" s="7">
        <v>1.2243186580368627E-3</v>
      </c>
      <c r="E19" s="7">
        <v>4.8247556636234222E-2</v>
      </c>
      <c r="F19" s="7">
        <v>4.0987406016514454E-2</v>
      </c>
      <c r="G19" s="7">
        <v>0</v>
      </c>
    </row>
    <row r="20" spans="1:7" x14ac:dyDescent="0.3">
      <c r="A20" s="1">
        <v>33085</v>
      </c>
      <c r="B20" s="7">
        <v>5.0753001929228596E-2</v>
      </c>
      <c r="C20" s="7"/>
      <c r="D20" s="7">
        <v>4.1836009283912151E-2</v>
      </c>
      <c r="E20" s="7">
        <v>7.134705723068703E-2</v>
      </c>
      <c r="F20" s="7">
        <v>1.0141987829614472E-2</v>
      </c>
      <c r="G20" s="7">
        <v>0</v>
      </c>
    </row>
    <row r="21" spans="1:7" x14ac:dyDescent="0.3">
      <c r="A21" s="1">
        <v>33116</v>
      </c>
      <c r="B21" s="7">
        <v>3.072460426630735E-2</v>
      </c>
      <c r="C21" s="7"/>
      <c r="D21" s="7">
        <v>1.5016201703814024E-2</v>
      </c>
      <c r="E21" s="7">
        <v>2.3108208135303007E-2</v>
      </c>
      <c r="F21" s="7">
        <v>2.5947852374354534E-2</v>
      </c>
      <c r="G21" s="7">
        <v>0</v>
      </c>
    </row>
    <row r="22" spans="1:7" x14ac:dyDescent="0.3">
      <c r="A22" s="1">
        <v>33144</v>
      </c>
      <c r="B22" s="7">
        <v>7.143891736325467E-3</v>
      </c>
      <c r="C22" s="7"/>
      <c r="D22" s="7">
        <v>4.109058556315482E-2</v>
      </c>
      <c r="E22" s="7">
        <v>-2.9717682020802636E-3</v>
      </c>
      <c r="F22" s="7">
        <v>1.9489330208461868E-2</v>
      </c>
      <c r="G22" s="7">
        <v>0</v>
      </c>
    </row>
    <row r="23" spans="1:7" x14ac:dyDescent="0.3">
      <c r="A23" s="1">
        <v>33177</v>
      </c>
      <c r="B23" s="7">
        <v>9.8235116939572476E-3</v>
      </c>
      <c r="C23" s="7"/>
      <c r="D23" s="7">
        <v>6.4035638199115105E-2</v>
      </c>
      <c r="E23" s="7">
        <v>4.0083484962003618E-2</v>
      </c>
      <c r="F23" s="7">
        <v>-4.4476850164053915E-2</v>
      </c>
      <c r="G23" s="7">
        <v>0</v>
      </c>
    </row>
    <row r="24" spans="1:7" x14ac:dyDescent="0.3">
      <c r="A24" s="1">
        <v>33207</v>
      </c>
      <c r="B24" s="7">
        <v>8.4718282368081571E-3</v>
      </c>
      <c r="C24" s="7"/>
      <c r="D24" s="7">
        <v>-2.3632188097335804E-2</v>
      </c>
      <c r="E24" s="7">
        <v>4.8596221190102974E-3</v>
      </c>
      <c r="F24" s="7">
        <v>-1.315117466802857E-2</v>
      </c>
      <c r="G24" s="7">
        <v>0</v>
      </c>
    </row>
    <row r="25" spans="1:7" x14ac:dyDescent="0.3">
      <c r="A25" s="1">
        <v>33238</v>
      </c>
      <c r="B25" s="7">
        <v>-7.05813224404736E-6</v>
      </c>
      <c r="C25" s="7"/>
      <c r="D25" s="7">
        <v>-1.9406979851883298E-2</v>
      </c>
      <c r="E25" s="7">
        <v>-1.9650429206743334E-3</v>
      </c>
      <c r="F25" s="7">
        <v>1.195205163909151E-3</v>
      </c>
      <c r="G25" s="7">
        <v>0</v>
      </c>
    </row>
    <row r="26" spans="1:7" x14ac:dyDescent="0.3">
      <c r="A26" s="1">
        <v>33269</v>
      </c>
      <c r="B26" s="7">
        <v>1.6018223722449272E-2</v>
      </c>
      <c r="C26" s="7"/>
      <c r="D26" s="7">
        <v>3.3228322721992942E-2</v>
      </c>
      <c r="E26" s="7">
        <v>2.4906210921217208E-2</v>
      </c>
      <c r="F26" s="7">
        <v>2.0681581685744053E-2</v>
      </c>
      <c r="G26" s="7">
        <v>0</v>
      </c>
    </row>
    <row r="27" spans="1:7" x14ac:dyDescent="0.3">
      <c r="A27" s="1">
        <v>33297</v>
      </c>
      <c r="B27" s="7">
        <v>-5.0799282345276212E-2</v>
      </c>
      <c r="C27" s="7"/>
      <c r="D27" s="7">
        <v>-1.0315658559037577E-2</v>
      </c>
      <c r="E27" s="7">
        <v>-2.2183602535268913E-2</v>
      </c>
      <c r="F27" s="7">
        <v>1.3510036026762678E-2</v>
      </c>
      <c r="G27" s="7">
        <v>0</v>
      </c>
    </row>
    <row r="28" spans="1:7" x14ac:dyDescent="0.3">
      <c r="A28" s="1">
        <v>33326</v>
      </c>
      <c r="B28" s="7">
        <v>-8.112443215651953E-2</v>
      </c>
      <c r="C28" s="7"/>
      <c r="D28" s="7">
        <v>-5.3191771311672444E-2</v>
      </c>
      <c r="E28" s="7">
        <v>-7.9929484030129658E-2</v>
      </c>
      <c r="F28" s="7">
        <v>-9.0491970430792712E-3</v>
      </c>
      <c r="G28" s="7">
        <v>0</v>
      </c>
    </row>
    <row r="29" spans="1:7" x14ac:dyDescent="0.3">
      <c r="A29" s="1">
        <v>33358</v>
      </c>
      <c r="B29" s="7">
        <v>-8.8170463988425027E-4</v>
      </c>
      <c r="C29" s="7"/>
      <c r="D29" s="7">
        <v>3.2961664495838108E-2</v>
      </c>
      <c r="E29" s="7">
        <v>-9.2411510482468939E-3</v>
      </c>
      <c r="F29" s="7">
        <v>1.2661498708010376E-2</v>
      </c>
      <c r="G29" s="7">
        <v>0</v>
      </c>
    </row>
    <row r="30" spans="1:7" x14ac:dyDescent="0.3">
      <c r="A30" s="1">
        <v>33389</v>
      </c>
      <c r="B30" s="7">
        <v>-2.0042542133850358E-2</v>
      </c>
      <c r="C30" s="7"/>
      <c r="D30" s="7">
        <v>-1.2906739434424382E-2</v>
      </c>
      <c r="E30" s="7">
        <v>-1.1296145335973031E-2</v>
      </c>
      <c r="F30" s="7">
        <v>-2.7272727272727254E-2</v>
      </c>
      <c r="G30" s="7">
        <v>0</v>
      </c>
    </row>
    <row r="31" spans="1:7" x14ac:dyDescent="0.3">
      <c r="A31" s="1">
        <v>33417</v>
      </c>
      <c r="B31" s="7">
        <v>-4.7082180524262565E-2</v>
      </c>
      <c r="C31" s="7"/>
      <c r="D31" s="7">
        <v>5.8881438359129562E-3</v>
      </c>
      <c r="E31" s="7">
        <v>-4.0425194577159894E-2</v>
      </c>
      <c r="F31" s="7">
        <v>1.3164670619148749E-2</v>
      </c>
      <c r="G31" s="7">
        <v>0</v>
      </c>
    </row>
    <row r="32" spans="1:7" x14ac:dyDescent="0.3">
      <c r="A32" s="1">
        <v>33450</v>
      </c>
      <c r="B32" s="7">
        <v>2.2729196015020145E-2</v>
      </c>
      <c r="C32" s="7"/>
      <c r="D32" s="7">
        <v>4.9514807758963318E-3</v>
      </c>
      <c r="E32" s="7">
        <v>4.4777413485369934E-2</v>
      </c>
      <c r="F32" s="7">
        <v>1.7549091936522015E-2</v>
      </c>
      <c r="G32" s="7">
        <v>0</v>
      </c>
    </row>
    <row r="33" spans="1:7" x14ac:dyDescent="0.3">
      <c r="A33" s="1">
        <v>33480</v>
      </c>
      <c r="B33" s="7">
        <v>-2.1531879169871548E-5</v>
      </c>
      <c r="C33" s="7"/>
      <c r="D33" s="7">
        <v>5.4129941854336007E-3</v>
      </c>
      <c r="E33" s="7">
        <v>1.1318177731708167E-3</v>
      </c>
      <c r="F33" s="7">
        <v>1.2514514256225058E-2</v>
      </c>
      <c r="G33" s="7">
        <v>0</v>
      </c>
    </row>
    <row r="34" spans="1:7" x14ac:dyDescent="0.3">
      <c r="A34" s="1">
        <v>33511</v>
      </c>
      <c r="B34" s="7">
        <v>5.7008593653011391E-2</v>
      </c>
      <c r="C34" s="7"/>
      <c r="D34" s="7">
        <v>3.1763302805679329E-2</v>
      </c>
      <c r="E34" s="7">
        <v>4.5810189332855522E-2</v>
      </c>
      <c r="F34" s="7">
        <v>1.9429886232902822E-2</v>
      </c>
      <c r="G34" s="7">
        <v>0</v>
      </c>
    </row>
    <row r="35" spans="1:7" x14ac:dyDescent="0.3">
      <c r="A35" s="1">
        <v>33542</v>
      </c>
      <c r="B35" s="7">
        <v>-8.3867391463556158E-3</v>
      </c>
      <c r="C35" s="7"/>
      <c r="D35" s="7">
        <v>1.864482296753002E-2</v>
      </c>
      <c r="E35" s="7">
        <v>-2.5235145675612169E-3</v>
      </c>
      <c r="F35" s="7">
        <v>-1.5955241916236852E-2</v>
      </c>
      <c r="G35" s="7">
        <v>0</v>
      </c>
    </row>
    <row r="36" spans="1:7" x14ac:dyDescent="0.3">
      <c r="A36" s="1">
        <v>33571</v>
      </c>
      <c r="B36" s="7">
        <v>2.2597809648637661E-2</v>
      </c>
      <c r="C36" s="7"/>
      <c r="D36" s="7">
        <v>5.0380285959515441E-3</v>
      </c>
      <c r="E36" s="7">
        <v>2.0491803278688443E-2</v>
      </c>
      <c r="F36" s="7">
        <v>4.7369094866214784E-3</v>
      </c>
      <c r="G36" s="7">
        <v>0</v>
      </c>
    </row>
    <row r="37" spans="1:7" x14ac:dyDescent="0.3">
      <c r="A37" s="1">
        <v>33603</v>
      </c>
      <c r="B37" s="7">
        <v>5.7762518817920806E-2</v>
      </c>
      <c r="C37" s="7"/>
      <c r="D37" s="7">
        <v>4.2953955571487824E-2</v>
      </c>
      <c r="E37" s="7">
        <v>6.3347233148558307E-2</v>
      </c>
      <c r="F37" s="7">
        <v>-2.5729584356453693E-2</v>
      </c>
      <c r="G37" s="7">
        <v>0</v>
      </c>
    </row>
    <row r="38" spans="1:7" x14ac:dyDescent="0.3">
      <c r="A38" s="1">
        <v>33634</v>
      </c>
      <c r="B38" s="7">
        <v>-4.4485110664261494E-2</v>
      </c>
      <c r="C38" s="7"/>
      <c r="D38" s="7">
        <v>-4.1613766306518437E-3</v>
      </c>
      <c r="E38" s="7">
        <v>-3.9237280710948216E-2</v>
      </c>
      <c r="F38" s="7">
        <v>-1.2233622730860268E-2</v>
      </c>
      <c r="G38" s="7">
        <v>0</v>
      </c>
    </row>
    <row r="39" spans="1:7" x14ac:dyDescent="0.3">
      <c r="A39" s="1">
        <v>33662</v>
      </c>
      <c r="B39" s="7">
        <v>-3.4879588362389233E-2</v>
      </c>
      <c r="C39" s="7"/>
      <c r="D39" s="7">
        <v>-2.6896321736346408E-2</v>
      </c>
      <c r="E39" s="7">
        <v>-1.1584097171455858E-2</v>
      </c>
      <c r="F39" s="7">
        <v>9.6633474819931616E-3</v>
      </c>
      <c r="G39" s="7">
        <v>0</v>
      </c>
    </row>
    <row r="40" spans="1:7" x14ac:dyDescent="0.3">
      <c r="A40" s="1">
        <v>33694</v>
      </c>
      <c r="B40" s="7">
        <v>-8.6114360465558773E-3</v>
      </c>
      <c r="C40" s="7"/>
      <c r="D40" s="7">
        <v>-2.7266254712178764E-2</v>
      </c>
      <c r="E40" s="7">
        <v>-7.3180492824882187E-3</v>
      </c>
      <c r="F40" s="7">
        <v>2.4851825446651737E-2</v>
      </c>
      <c r="G40" s="7">
        <v>0</v>
      </c>
    </row>
    <row r="41" spans="1:7" x14ac:dyDescent="0.3">
      <c r="A41" s="1">
        <v>33724</v>
      </c>
      <c r="B41" s="7">
        <v>-5.6933475527785379E-3</v>
      </c>
      <c r="C41" s="7"/>
      <c r="D41" s="7">
        <v>-2.1462675852717689E-3</v>
      </c>
      <c r="E41" s="7">
        <v>2.8774895785085734E-2</v>
      </c>
      <c r="F41" s="7">
        <v>-1.5740861194223871E-2</v>
      </c>
      <c r="G41" s="7">
        <v>0</v>
      </c>
    </row>
    <row r="42" spans="1:7" x14ac:dyDescent="0.3">
      <c r="A42" s="1">
        <v>33753</v>
      </c>
      <c r="B42" s="7">
        <v>4.6186963309708617E-2</v>
      </c>
      <c r="C42" s="7"/>
      <c r="D42" s="7">
        <v>4.4229267845694357E-2</v>
      </c>
      <c r="E42" s="7">
        <v>3.5775787403580686E-2</v>
      </c>
      <c r="F42" s="7">
        <v>1.8508725542040676E-3</v>
      </c>
      <c r="G42" s="7">
        <v>0</v>
      </c>
    </row>
    <row r="43" spans="1:7" x14ac:dyDescent="0.3">
      <c r="A43" s="1">
        <v>33785</v>
      </c>
      <c r="B43" s="7">
        <v>6.4217469725848145E-2</v>
      </c>
      <c r="C43" s="7"/>
      <c r="D43" s="7">
        <v>1.5578768448645943E-2</v>
      </c>
      <c r="E43" s="7">
        <v>4.6358343403273661E-2</v>
      </c>
      <c r="F43" s="7">
        <v>-1.216287678477009E-2</v>
      </c>
      <c r="G43" s="7">
        <v>0</v>
      </c>
    </row>
    <row r="44" spans="1:7" x14ac:dyDescent="0.3">
      <c r="A44" s="1">
        <v>33816</v>
      </c>
      <c r="B44" s="7">
        <v>4.9894292280945683E-2</v>
      </c>
      <c r="C44" s="7"/>
      <c r="D44" s="7">
        <v>-9.7895587005665616E-3</v>
      </c>
      <c r="E44" s="7">
        <v>1.7310910798062608E-2</v>
      </c>
      <c r="F44" s="7">
        <v>-1.8511563019798479E-3</v>
      </c>
      <c r="G44" s="7">
        <v>0</v>
      </c>
    </row>
    <row r="45" spans="1:7" x14ac:dyDescent="0.3">
      <c r="A45" s="1">
        <v>33847</v>
      </c>
      <c r="B45" s="7">
        <v>5.6589473823546461E-2</v>
      </c>
      <c r="C45" s="7"/>
      <c r="D45" s="7">
        <v>3.411748532498101E-2</v>
      </c>
      <c r="E45" s="7">
        <v>3.7515764406071239E-2</v>
      </c>
      <c r="F45" s="7">
        <v>-3.7055981048012526E-2</v>
      </c>
      <c r="G45" s="7">
        <v>0</v>
      </c>
    </row>
    <row r="46" spans="1:7" x14ac:dyDescent="0.3">
      <c r="A46" s="1">
        <v>33877</v>
      </c>
      <c r="B46" s="7">
        <v>1.4843693047455237E-2</v>
      </c>
      <c r="C46" s="7"/>
      <c r="D46" s="7">
        <v>2.5766614584615342E-2</v>
      </c>
      <c r="E46" s="7">
        <v>-0.10101208851184187</v>
      </c>
      <c r="F46" s="7">
        <v>-1.1204481792718962E-3</v>
      </c>
      <c r="G46" s="7">
        <v>0</v>
      </c>
    </row>
    <row r="47" spans="1:7" x14ac:dyDescent="0.3">
      <c r="A47" s="1">
        <v>33907</v>
      </c>
      <c r="B47" s="7">
        <v>-9.7163812118985726E-2</v>
      </c>
      <c r="C47" s="7"/>
      <c r="D47" s="7">
        <v>-2.6542411613832959E-2</v>
      </c>
      <c r="E47" s="7">
        <v>-0.11819622043679986</v>
      </c>
      <c r="F47" s="7">
        <v>-2.1902468578722172E-2</v>
      </c>
      <c r="G47" s="7">
        <v>0</v>
      </c>
    </row>
    <row r="48" spans="1:7" x14ac:dyDescent="0.3">
      <c r="A48" s="1">
        <v>33938</v>
      </c>
      <c r="B48" s="7">
        <v>-3.892902900219905E-2</v>
      </c>
      <c r="C48" s="7"/>
      <c r="D48" s="7">
        <v>-9.8052423703703529E-3</v>
      </c>
      <c r="E48" s="7">
        <v>-2.2424125265803313E-2</v>
      </c>
      <c r="F48" s="7">
        <v>-1.7343703656777235E-2</v>
      </c>
      <c r="G48" s="7">
        <v>0</v>
      </c>
    </row>
    <row r="49" spans="1:7" x14ac:dyDescent="0.3">
      <c r="A49" s="1">
        <v>33969</v>
      </c>
      <c r="B49" s="7">
        <v>-2.0685272075985764E-2</v>
      </c>
      <c r="C49" s="7"/>
      <c r="D49" s="7">
        <v>-1.1015099930138876E-3</v>
      </c>
      <c r="E49" s="7">
        <v>-7.9380829529659849E-4</v>
      </c>
      <c r="F49" s="7">
        <v>1.099706744868028E-2</v>
      </c>
      <c r="G49" s="7">
        <v>0</v>
      </c>
    </row>
    <row r="50" spans="1:7" x14ac:dyDescent="0.3">
      <c r="A50" s="1">
        <v>33998</v>
      </c>
      <c r="B50" s="7">
        <v>-1.1413559678309237E-2</v>
      </c>
      <c r="C50" s="7"/>
      <c r="D50" s="7">
        <v>1.5360152642025476E-3</v>
      </c>
      <c r="E50" s="7">
        <v>-1.3082746712710884E-2</v>
      </c>
      <c r="F50" s="7">
        <v>-1.0618181818181778E-2</v>
      </c>
      <c r="G50" s="7">
        <v>0</v>
      </c>
    </row>
    <row r="51" spans="1:7" x14ac:dyDescent="0.3">
      <c r="A51" s="1">
        <v>34026</v>
      </c>
      <c r="B51" s="7">
        <v>-2.4294151666666937E-2</v>
      </c>
      <c r="C51" s="7"/>
      <c r="D51" s="7">
        <v>5.5292691632730415E-2</v>
      </c>
      <c r="E51" s="7">
        <v>-3.8253297971460008E-2</v>
      </c>
      <c r="F51" s="7">
        <v>2.3858615611192919E-2</v>
      </c>
      <c r="G51" s="7">
        <v>0</v>
      </c>
    </row>
    <row r="52" spans="1:7" x14ac:dyDescent="0.3">
      <c r="A52" s="1">
        <v>34059</v>
      </c>
      <c r="B52" s="7">
        <v>2.6896617469365905E-2</v>
      </c>
      <c r="C52" s="7"/>
      <c r="D52" s="7">
        <v>2.9545926676008104E-2</v>
      </c>
      <c r="E52" s="7">
        <v>6.5273967785046072E-2</v>
      </c>
      <c r="F52" s="7">
        <v>1.5253993380342411E-2</v>
      </c>
      <c r="G52" s="7">
        <v>0</v>
      </c>
    </row>
    <row r="53" spans="1:7" x14ac:dyDescent="0.3">
      <c r="A53" s="1">
        <v>34089</v>
      </c>
      <c r="B53" s="7">
        <v>4.3610996702877727E-2</v>
      </c>
      <c r="C53" s="7"/>
      <c r="D53" s="7">
        <v>3.464575382624939E-2</v>
      </c>
      <c r="E53" s="7">
        <v>4.1970078114656507E-2</v>
      </c>
      <c r="F53" s="7">
        <v>4.1169789892106954E-3</v>
      </c>
      <c r="G53" s="7">
        <v>0</v>
      </c>
    </row>
    <row r="54" spans="1:7" x14ac:dyDescent="0.3">
      <c r="A54" s="1">
        <v>34120</v>
      </c>
      <c r="B54" s="7">
        <v>9.6228012046950129E-3</v>
      </c>
      <c r="C54" s="7"/>
      <c r="D54" s="7">
        <v>3.7201639374847065E-2</v>
      </c>
      <c r="E54" s="7">
        <v>-4.4585987261147242E-3</v>
      </c>
      <c r="F54" s="7">
        <v>-3.9224015859529955E-2</v>
      </c>
      <c r="G54" s="7">
        <v>0</v>
      </c>
    </row>
    <row r="55" spans="1:7" x14ac:dyDescent="0.3">
      <c r="A55" s="1">
        <v>34150</v>
      </c>
      <c r="B55" s="7">
        <v>-6.0205233227272677E-2</v>
      </c>
      <c r="C55" s="7"/>
      <c r="D55" s="7">
        <v>-1.9822870662810524E-3</v>
      </c>
      <c r="E55" s="7">
        <v>-4.3857399333162218E-2</v>
      </c>
      <c r="F55" s="7">
        <v>-1.7857142857142856E-2</v>
      </c>
      <c r="G55" s="7">
        <v>0</v>
      </c>
    </row>
    <row r="56" spans="1:7" x14ac:dyDescent="0.3">
      <c r="A56" s="1">
        <v>34180</v>
      </c>
      <c r="B56" s="7">
        <v>-4.804099530658649E-3</v>
      </c>
      <c r="C56" s="7"/>
      <c r="D56" s="7">
        <v>2.0977933781115728E-2</v>
      </c>
      <c r="E56" s="7">
        <v>-3.450447791894946E-3</v>
      </c>
      <c r="F56" s="7">
        <v>3.8531005418422574E-2</v>
      </c>
      <c r="G56" s="7">
        <v>0</v>
      </c>
    </row>
    <row r="57" spans="1:7" x14ac:dyDescent="0.3">
      <c r="A57" s="1">
        <v>34212</v>
      </c>
      <c r="B57" s="7">
        <v>3.216653577506861E-2</v>
      </c>
      <c r="C57" s="7"/>
      <c r="D57" s="7">
        <v>3.4709919775618675E-3</v>
      </c>
      <c r="E57" s="7">
        <v>9.060245460243024E-3</v>
      </c>
      <c r="F57" s="7">
        <v>-2.2780034822983079E-2</v>
      </c>
      <c r="G57" s="7">
        <v>0</v>
      </c>
    </row>
    <row r="58" spans="1:7" x14ac:dyDescent="0.3">
      <c r="A58" s="1">
        <v>34242</v>
      </c>
      <c r="B58" s="7">
        <v>3.8626203474275762E-2</v>
      </c>
      <c r="C58" s="7"/>
      <c r="D58" s="7">
        <v>-1.4827974247889312E-2</v>
      </c>
      <c r="E58" s="7">
        <v>4.7011417058429265E-3</v>
      </c>
      <c r="F58" s="7">
        <v>-3.9762170196952717E-2</v>
      </c>
      <c r="G58" s="7">
        <v>0</v>
      </c>
    </row>
    <row r="59" spans="1:7" x14ac:dyDescent="0.3">
      <c r="A59" s="1">
        <v>34271</v>
      </c>
      <c r="B59" s="7">
        <v>-4.3485897641859082E-2</v>
      </c>
      <c r="C59" s="7"/>
      <c r="D59" s="7">
        <v>-2.1680236245094228E-2</v>
      </c>
      <c r="E59" s="7">
        <v>-8.2708867867507616E-3</v>
      </c>
      <c r="F59" s="7">
        <v>3.2772913922677623E-2</v>
      </c>
      <c r="G59" s="7">
        <v>0</v>
      </c>
    </row>
    <row r="60" spans="1:7" x14ac:dyDescent="0.3">
      <c r="A60" s="1">
        <v>34303</v>
      </c>
      <c r="B60" s="7">
        <v>-3.1389189089551443E-3</v>
      </c>
      <c r="C60" s="7"/>
      <c r="D60" s="7">
        <v>-4.9133814533448023E-3</v>
      </c>
      <c r="E60" s="7">
        <v>6.1971396046048401E-3</v>
      </c>
      <c r="F60" s="7">
        <v>-9.6124962451185972E-3</v>
      </c>
      <c r="G60" s="7">
        <v>0</v>
      </c>
    </row>
    <row r="61" spans="1:7" x14ac:dyDescent="0.3">
      <c r="A61" s="1">
        <v>34334</v>
      </c>
      <c r="B61" s="7">
        <v>8.104849076690037E-3</v>
      </c>
      <c r="C61" s="7"/>
      <c r="D61" s="7">
        <v>-2.5874083504014087E-2</v>
      </c>
      <c r="E61" s="7">
        <v>-4.0062206636857847E-3</v>
      </c>
      <c r="F61" s="7">
        <v>3.115631285340217E-2</v>
      </c>
      <c r="G61" s="7">
        <v>0</v>
      </c>
    </row>
    <row r="62" spans="1:7" x14ac:dyDescent="0.3">
      <c r="A62" s="1">
        <v>34365</v>
      </c>
      <c r="B62" s="7">
        <v>2.2664789729324206E-2</v>
      </c>
      <c r="C62" s="7"/>
      <c r="D62" s="7">
        <v>3.0045030509808845E-2</v>
      </c>
      <c r="E62" s="7">
        <v>2.1834949481250275E-2</v>
      </c>
      <c r="F62" s="7">
        <v>4.4362564480471649E-2</v>
      </c>
      <c r="G62" s="7">
        <v>0</v>
      </c>
    </row>
    <row r="63" spans="1:7" x14ac:dyDescent="0.3">
      <c r="A63" s="1">
        <v>34393</v>
      </c>
      <c r="B63" s="7">
        <v>2.2211138270396214E-2</v>
      </c>
      <c r="C63" s="7"/>
      <c r="D63" s="7">
        <v>3.7535780931626447E-2</v>
      </c>
      <c r="E63" s="7">
        <v>-1.2234856040960151E-2</v>
      </c>
      <c r="F63" s="7">
        <v>8.1100938171130982E-3</v>
      </c>
      <c r="G63" s="7">
        <v>0</v>
      </c>
    </row>
    <row r="64" spans="1:7" x14ac:dyDescent="0.3">
      <c r="A64" s="1">
        <v>34424</v>
      </c>
      <c r="B64" s="7">
        <v>9.925490402995809E-3</v>
      </c>
      <c r="C64" s="7"/>
      <c r="D64" s="7">
        <v>1.5988956049827585E-2</v>
      </c>
      <c r="E64" s="7">
        <v>4.044762033166603E-4</v>
      </c>
      <c r="F64" s="7">
        <v>-1.1671950843130094E-2</v>
      </c>
      <c r="G64" s="7">
        <v>0</v>
      </c>
    </row>
    <row r="65" spans="1:7" x14ac:dyDescent="0.3">
      <c r="A65" s="1">
        <v>34453</v>
      </c>
      <c r="B65" s="7">
        <v>7.5381003091874029E-3</v>
      </c>
      <c r="C65" s="7"/>
      <c r="D65" s="7">
        <v>9.1470423909575591E-3</v>
      </c>
      <c r="E65" s="7">
        <v>2.4539008049226461E-2</v>
      </c>
      <c r="F65" s="7">
        <v>1.6551822121190666E-2</v>
      </c>
      <c r="G65" s="7">
        <v>0</v>
      </c>
    </row>
    <row r="66" spans="1:7" x14ac:dyDescent="0.3">
      <c r="A66" s="1">
        <v>34485</v>
      </c>
      <c r="B66" s="7">
        <v>6.482793859647276E-4</v>
      </c>
      <c r="C66" s="7"/>
      <c r="D66" s="7">
        <v>-3.0796658007688327E-2</v>
      </c>
      <c r="E66" s="7">
        <v>-3.7574159525377831E-3</v>
      </c>
      <c r="F66" s="7">
        <v>3.0909090909090761E-2</v>
      </c>
      <c r="G66" s="7">
        <v>0</v>
      </c>
    </row>
    <row r="67" spans="1:7" x14ac:dyDescent="0.3">
      <c r="A67" s="1">
        <v>34515</v>
      </c>
      <c r="B67" s="7">
        <v>5.1694663480224314E-2</v>
      </c>
      <c r="C67" s="7"/>
      <c r="D67" s="7">
        <v>6.221363814098925E-2</v>
      </c>
      <c r="E67" s="7">
        <v>2.2319167739650491E-2</v>
      </c>
      <c r="F67" s="7">
        <v>-1.1399104356086258E-2</v>
      </c>
      <c r="G67" s="7">
        <v>0</v>
      </c>
    </row>
    <row r="68" spans="1:7" x14ac:dyDescent="0.3">
      <c r="A68" s="1">
        <v>34544</v>
      </c>
      <c r="B68" s="7">
        <v>-5.0670691853446576E-3</v>
      </c>
      <c r="C68" s="7"/>
      <c r="D68" s="7">
        <v>-1.9085824596770874E-2</v>
      </c>
      <c r="E68" s="7">
        <v>1.7490105134964823E-4</v>
      </c>
      <c r="F68" s="7">
        <v>1.5685089550598816E-2</v>
      </c>
      <c r="G68" s="7">
        <v>0</v>
      </c>
    </row>
    <row r="69" spans="1:7" x14ac:dyDescent="0.3">
      <c r="A69" s="1">
        <v>34577</v>
      </c>
      <c r="B69" s="7">
        <v>5.8578135506365814E-3</v>
      </c>
      <c r="C69" s="7"/>
      <c r="D69" s="7">
        <v>-1.0374777466198508E-3</v>
      </c>
      <c r="E69" s="7">
        <v>-5.9616381544842509E-3</v>
      </c>
      <c r="F69" s="7">
        <v>5.0054112554111544E-3</v>
      </c>
      <c r="G69" s="7">
        <v>0</v>
      </c>
    </row>
    <row r="70" spans="1:7" x14ac:dyDescent="0.3">
      <c r="A70" s="1">
        <v>34607</v>
      </c>
      <c r="B70" s="7">
        <v>3.3886827527170892E-2</v>
      </c>
      <c r="C70" s="7"/>
      <c r="D70" s="7">
        <v>7.1034898761380165E-3</v>
      </c>
      <c r="E70" s="7">
        <v>2.8826713624209088E-2</v>
      </c>
      <c r="F70" s="7">
        <v>-2.983506529367103E-3</v>
      </c>
      <c r="G70" s="7">
        <v>0</v>
      </c>
    </row>
    <row r="71" spans="1:7" x14ac:dyDescent="0.3">
      <c r="A71" s="1">
        <v>34638</v>
      </c>
      <c r="B71" s="7">
        <v>2.3731461300038916E-2</v>
      </c>
      <c r="C71" s="7"/>
      <c r="D71" s="7">
        <v>2.0194178709577612E-2</v>
      </c>
      <c r="E71" s="7">
        <v>3.7095751426759672E-2</v>
      </c>
      <c r="F71" s="7">
        <v>3.8594380495982428E-3</v>
      </c>
      <c r="G71" s="7">
        <v>0</v>
      </c>
    </row>
    <row r="72" spans="1:7" x14ac:dyDescent="0.3">
      <c r="A72" s="1">
        <v>34668</v>
      </c>
      <c r="B72" s="7">
        <v>-5.3802537648812709E-2</v>
      </c>
      <c r="C72" s="7"/>
      <c r="D72" s="7">
        <v>-2.2596690010936581E-2</v>
      </c>
      <c r="E72" s="7">
        <v>-4.2972931640923646E-2</v>
      </c>
      <c r="F72" s="7">
        <v>3.6740363155800933E-2</v>
      </c>
      <c r="G72" s="7">
        <v>0</v>
      </c>
    </row>
    <row r="73" spans="1:7" x14ac:dyDescent="0.3">
      <c r="A73" s="1">
        <v>34698</v>
      </c>
      <c r="B73" s="7">
        <v>1.1702116428306215E-2</v>
      </c>
      <c r="C73" s="7"/>
      <c r="D73" s="7">
        <v>-9.4771570896277114E-3</v>
      </c>
      <c r="E73" s="7">
        <v>-1.3098999683707767E-4</v>
      </c>
      <c r="F73" s="7">
        <v>9.4973994440863425E-3</v>
      </c>
      <c r="G73" s="7">
        <v>0</v>
      </c>
    </row>
    <row r="74" spans="1:7" x14ac:dyDescent="0.3">
      <c r="A74" s="1">
        <v>34730</v>
      </c>
      <c r="B74" s="7">
        <v>1.6013610176917215E-2</v>
      </c>
      <c r="C74" s="7"/>
      <c r="D74" s="7">
        <v>-2.9628662301334962E-3</v>
      </c>
      <c r="E74" s="7">
        <v>9.318705081483563E-3</v>
      </c>
      <c r="F74" s="7">
        <v>-2.2755449943175909E-2</v>
      </c>
      <c r="G74" s="7">
        <v>0</v>
      </c>
    </row>
    <row r="75" spans="1:7" x14ac:dyDescent="0.3">
      <c r="A75" s="1">
        <v>34758</v>
      </c>
      <c r="B75" s="7">
        <v>3.6988083754595683E-2</v>
      </c>
      <c r="C75" s="7"/>
      <c r="D75" s="7">
        <v>2.6627727346640016E-2</v>
      </c>
      <c r="E75" s="7">
        <v>3.2290306194191986E-3</v>
      </c>
      <c r="F75" s="7">
        <v>-2.2044363984765676E-2</v>
      </c>
      <c r="G75" s="7">
        <v>0</v>
      </c>
    </row>
    <row r="76" spans="1:7" x14ac:dyDescent="0.3">
      <c r="A76" s="1">
        <v>34789</v>
      </c>
      <c r="B76" s="7">
        <v>9.4099224085694808E-2</v>
      </c>
      <c r="C76" s="7"/>
      <c r="D76" s="7">
        <v>0.11338096117654452</v>
      </c>
      <c r="E76" s="7">
        <v>2.4029808329912479E-2</v>
      </c>
      <c r="F76" s="7">
        <v>-4.6886010081846003E-3</v>
      </c>
      <c r="G76" s="7">
        <v>0</v>
      </c>
    </row>
    <row r="77" spans="1:7" x14ac:dyDescent="0.3">
      <c r="A77" s="1">
        <v>34817</v>
      </c>
      <c r="B77" s="7">
        <v>-1.5689279160997743E-2</v>
      </c>
      <c r="C77" s="7"/>
      <c r="D77" s="7">
        <v>2.2113862192089242E-2</v>
      </c>
      <c r="E77" s="7">
        <v>-5.3786654494762214E-3</v>
      </c>
      <c r="F77" s="7">
        <v>-7.3447221055961374E-3</v>
      </c>
      <c r="G77" s="7">
        <v>0</v>
      </c>
    </row>
    <row r="78" spans="1:7" x14ac:dyDescent="0.3">
      <c r="A78" s="1">
        <v>34850</v>
      </c>
      <c r="B78" s="7">
        <v>-2.2207961836860721E-2</v>
      </c>
      <c r="C78" s="7"/>
      <c r="D78" s="7">
        <v>-7.2375900553765709E-3</v>
      </c>
      <c r="E78" s="7">
        <v>-1.5741435901890519E-2</v>
      </c>
      <c r="F78" s="7">
        <v>-1.2910004015467737E-2</v>
      </c>
      <c r="G78" s="7">
        <v>0</v>
      </c>
    </row>
    <row r="79" spans="1:7" x14ac:dyDescent="0.3">
      <c r="A79" s="1">
        <v>34880</v>
      </c>
      <c r="B79" s="7">
        <v>1.4240476137068187E-2</v>
      </c>
      <c r="C79" s="7"/>
      <c r="D79" s="7">
        <v>-4.1532097864106967E-3</v>
      </c>
      <c r="E79" s="7">
        <v>5.9899117276165457E-3</v>
      </c>
      <c r="F79" s="7">
        <v>-9.2297992654658545E-3</v>
      </c>
      <c r="G79" s="7">
        <v>0</v>
      </c>
    </row>
    <row r="80" spans="1:7" x14ac:dyDescent="0.3">
      <c r="A80" s="1">
        <v>34911</v>
      </c>
      <c r="B80" s="7">
        <v>-6.4628260090690412E-3</v>
      </c>
      <c r="C80" s="7"/>
      <c r="D80" s="7">
        <v>-4.7187449217043265E-2</v>
      </c>
      <c r="E80" s="7">
        <v>1.473677609506835E-3</v>
      </c>
      <c r="F80" s="7">
        <v>4.1121919520965514E-2</v>
      </c>
      <c r="G80" s="7">
        <v>0</v>
      </c>
    </row>
    <row r="81" spans="1:7" x14ac:dyDescent="0.3">
      <c r="A81" s="1">
        <v>34942</v>
      </c>
      <c r="B81" s="7">
        <v>-4.5047996328684996E-2</v>
      </c>
      <c r="C81" s="7"/>
      <c r="D81" s="7">
        <v>-9.6566034067857937E-2</v>
      </c>
      <c r="E81" s="7">
        <v>-2.88597123429323E-2</v>
      </c>
      <c r="F81" s="7">
        <v>1.8295419568898977E-2</v>
      </c>
      <c r="G81" s="7">
        <v>0</v>
      </c>
    </row>
    <row r="82" spans="1:7" x14ac:dyDescent="0.3">
      <c r="A82" s="1">
        <v>34971</v>
      </c>
      <c r="B82" s="7">
        <v>3.98852388348978E-2</v>
      </c>
      <c r="C82" s="7"/>
      <c r="D82" s="7">
        <v>-2.6734583266036453E-2</v>
      </c>
      <c r="E82" s="7">
        <v>2.3408995511930444E-2</v>
      </c>
      <c r="F82" s="7">
        <v>7.6147783500824968E-3</v>
      </c>
      <c r="G82" s="7">
        <v>0</v>
      </c>
    </row>
    <row r="83" spans="1:7" x14ac:dyDescent="0.3">
      <c r="A83" s="1">
        <v>35003</v>
      </c>
      <c r="B83" s="7">
        <v>1.2849663008195789E-2</v>
      </c>
      <c r="C83" s="7"/>
      <c r="D83" s="7">
        <v>-2.6905343198404458E-2</v>
      </c>
      <c r="E83" s="7">
        <v>-2.4940805051301643E-3</v>
      </c>
      <c r="F83" s="7">
        <v>6.5926784826901607E-3</v>
      </c>
      <c r="G83" s="7">
        <v>0</v>
      </c>
    </row>
    <row r="84" spans="1:7" x14ac:dyDescent="0.3">
      <c r="A84" s="1">
        <v>35033</v>
      </c>
      <c r="B84" s="7">
        <v>-3.7024505299999975E-2</v>
      </c>
      <c r="C84" s="7"/>
      <c r="D84" s="7">
        <v>-5.4524865995107218E-3</v>
      </c>
      <c r="E84" s="7">
        <v>-2.8537041142748572E-2</v>
      </c>
      <c r="F84" s="7">
        <v>-1.9315709671039686E-2</v>
      </c>
      <c r="G84" s="7">
        <v>0</v>
      </c>
    </row>
    <row r="85" spans="1:7" x14ac:dyDescent="0.3">
      <c r="A85" s="1">
        <v>35062</v>
      </c>
      <c r="B85" s="7">
        <v>1.561850855712105E-2</v>
      </c>
      <c r="C85" s="7"/>
      <c r="D85" s="7">
        <v>-1.9010529113560052E-2</v>
      </c>
      <c r="E85" s="7">
        <v>1.1079067218227606E-2</v>
      </c>
      <c r="F85" s="7">
        <v>-1.480861215030909E-5</v>
      </c>
      <c r="G85" s="7">
        <v>0</v>
      </c>
    </row>
    <row r="86" spans="1:7" x14ac:dyDescent="0.3">
      <c r="A86" s="1">
        <v>35095</v>
      </c>
      <c r="B86" s="7">
        <v>-5.0247488814129167E-2</v>
      </c>
      <c r="C86" s="7"/>
      <c r="D86" s="7">
        <v>-3.7269824058385033E-2</v>
      </c>
      <c r="E86" s="7">
        <v>-2.2473361317403902E-2</v>
      </c>
      <c r="F86" s="7">
        <v>6.4209223367733756E-3</v>
      </c>
      <c r="G86" s="7">
        <v>0</v>
      </c>
    </row>
    <row r="87" spans="1:7" x14ac:dyDescent="0.3">
      <c r="A87" s="1">
        <v>35124</v>
      </c>
      <c r="B87" s="7">
        <v>4.9425824775193904E-3</v>
      </c>
      <c r="C87" s="7"/>
      <c r="D87" s="7">
        <v>1.2942442202783195E-2</v>
      </c>
      <c r="E87" s="7">
        <v>1.2806357559849976E-2</v>
      </c>
      <c r="F87" s="7">
        <v>2.6314835866126835E-2</v>
      </c>
      <c r="G87" s="7">
        <v>0</v>
      </c>
    </row>
    <row r="88" spans="1:7" x14ac:dyDescent="0.3">
      <c r="A88" s="1">
        <v>35153</v>
      </c>
      <c r="B88" s="7">
        <v>6.6196537487684054E-3</v>
      </c>
      <c r="C88" s="7"/>
      <c r="D88" s="7">
        <v>-2.2594661403051476E-2</v>
      </c>
      <c r="E88" s="7">
        <v>-2.4367458663515007E-3</v>
      </c>
      <c r="F88" s="7">
        <v>2.5719634886258908E-2</v>
      </c>
      <c r="G88" s="7">
        <v>0</v>
      </c>
    </row>
    <row r="89" spans="1:7" x14ac:dyDescent="0.3">
      <c r="A89" s="1">
        <v>35185</v>
      </c>
      <c r="B89" s="7">
        <v>-4.6933299823914504E-2</v>
      </c>
      <c r="C89" s="7"/>
      <c r="D89" s="7">
        <v>1.6063348163020061E-2</v>
      </c>
      <c r="E89" s="7">
        <v>-1.2975781380523599E-2</v>
      </c>
      <c r="F89" s="7">
        <v>7.6491768625834297E-3</v>
      </c>
      <c r="G89" s="7">
        <v>0</v>
      </c>
    </row>
    <row r="90" spans="1:7" x14ac:dyDescent="0.3">
      <c r="A90" s="1">
        <v>35216</v>
      </c>
      <c r="B90" s="7">
        <v>-6.2792631860610635E-3</v>
      </c>
      <c r="C90" s="7"/>
      <c r="D90" s="7">
        <v>-3.143425216694682E-2</v>
      </c>
      <c r="E90" s="7">
        <v>3.0138405546848004E-2</v>
      </c>
      <c r="F90" s="7">
        <v>1.6128026788020118E-2</v>
      </c>
      <c r="G90" s="7">
        <v>0</v>
      </c>
    </row>
    <row r="91" spans="1:7" x14ac:dyDescent="0.3">
      <c r="A91" s="1">
        <v>35244</v>
      </c>
      <c r="B91" s="7">
        <v>-7.0020494549629941E-3</v>
      </c>
      <c r="C91" s="7"/>
      <c r="D91" s="7">
        <v>-1.9046897376764311E-2</v>
      </c>
      <c r="E91" s="7">
        <v>1.5480874669418548E-3</v>
      </c>
      <c r="F91" s="7">
        <v>-1.1532745094350214E-2</v>
      </c>
      <c r="G91" s="7">
        <v>0</v>
      </c>
    </row>
    <row r="92" spans="1:7" x14ac:dyDescent="0.3">
      <c r="A92" s="1">
        <v>35277</v>
      </c>
      <c r="B92" s="7">
        <v>4.4732691503462492E-2</v>
      </c>
      <c r="C92" s="7"/>
      <c r="D92" s="7">
        <v>2.2833213153741542E-2</v>
      </c>
      <c r="E92" s="7">
        <v>2.7862331094683042E-3</v>
      </c>
      <c r="F92" s="7">
        <v>-1.7804595611835144E-2</v>
      </c>
      <c r="G92" s="7">
        <v>0</v>
      </c>
    </row>
    <row r="93" spans="1:7" x14ac:dyDescent="0.3">
      <c r="A93" s="1">
        <v>35307</v>
      </c>
      <c r="B93" s="7">
        <v>-5.7671370299677092E-3</v>
      </c>
      <c r="C93" s="7"/>
      <c r="D93" s="7">
        <v>-2.3287091586712275E-2</v>
      </c>
      <c r="E93" s="7">
        <v>5.5266371055844362E-3</v>
      </c>
      <c r="F93" s="7">
        <v>2.3271124081991137E-2</v>
      </c>
      <c r="G93" s="7">
        <v>0</v>
      </c>
    </row>
    <row r="94" spans="1:7" x14ac:dyDescent="0.3">
      <c r="A94" s="1">
        <v>35338</v>
      </c>
      <c r="B94" s="7">
        <v>-4.5055427055755749E-2</v>
      </c>
      <c r="C94" s="7"/>
      <c r="D94" s="7">
        <v>-2.6440088979897605E-2</v>
      </c>
      <c r="E94" s="7">
        <v>6.7124820201374172E-4</v>
      </c>
      <c r="F94" s="7">
        <v>3.526417699801848E-3</v>
      </c>
      <c r="G94" s="7">
        <v>0</v>
      </c>
    </row>
    <row r="95" spans="1:7" x14ac:dyDescent="0.3">
      <c r="A95" s="1">
        <v>35369</v>
      </c>
      <c r="B95" s="7">
        <v>-1.4564305955151163E-2</v>
      </c>
      <c r="C95" s="7"/>
      <c r="D95" s="7">
        <v>-2.7934421740225125E-2</v>
      </c>
      <c r="E95" s="7">
        <v>3.9803427242198056E-2</v>
      </c>
      <c r="F95" s="7">
        <v>1.6510731975784268E-3</v>
      </c>
      <c r="G95" s="7">
        <v>0</v>
      </c>
    </row>
    <row r="96" spans="1:7" x14ac:dyDescent="0.3">
      <c r="A96" s="1">
        <v>35398</v>
      </c>
      <c r="B96" s="7">
        <v>-3.076496688624724E-2</v>
      </c>
      <c r="C96" s="7"/>
      <c r="D96" s="7">
        <v>-2.2265722355767023E-3</v>
      </c>
      <c r="E96" s="7">
        <v>3.4413417303194825E-2</v>
      </c>
      <c r="F96" s="7">
        <v>3.2102550093839097E-2</v>
      </c>
      <c r="G96" s="7">
        <v>0</v>
      </c>
    </row>
    <row r="97" spans="1:20" x14ac:dyDescent="0.3">
      <c r="A97" s="1">
        <v>35430</v>
      </c>
      <c r="B97" s="7">
        <v>-3.0139231210857258E-2</v>
      </c>
      <c r="C97" s="7"/>
      <c r="D97" s="7">
        <v>-2.0638218666560366E-2</v>
      </c>
      <c r="E97" s="7">
        <v>1.9449235710462115E-2</v>
      </c>
      <c r="F97" s="7">
        <v>-2.5987564233066435E-2</v>
      </c>
      <c r="G97" s="7">
        <v>0</v>
      </c>
    </row>
    <row r="98" spans="1:20" x14ac:dyDescent="0.3">
      <c r="A98" s="1">
        <v>35461</v>
      </c>
      <c r="B98" s="7">
        <v>-5.986293089348E-2</v>
      </c>
      <c r="C98" s="7"/>
      <c r="D98" s="7">
        <v>-5.0270862606178419E-2</v>
      </c>
      <c r="E98" s="7">
        <v>-6.4510479304104057E-2</v>
      </c>
      <c r="F98" s="7">
        <v>-3.9577131757067473E-2</v>
      </c>
      <c r="G98" s="7">
        <v>0</v>
      </c>
    </row>
    <row r="99" spans="1:20" x14ac:dyDescent="0.3">
      <c r="A99" s="1">
        <v>35489</v>
      </c>
      <c r="B99" s="7">
        <v>-4.1040646969843365E-2</v>
      </c>
      <c r="C99" s="7"/>
      <c r="D99" s="7">
        <v>3.7376313973798772E-3</v>
      </c>
      <c r="E99" s="7">
        <v>1.6927985813211425E-2</v>
      </c>
      <c r="F99" s="7">
        <v>2.1475254319128053E-2</v>
      </c>
      <c r="G99" s="7">
        <v>0</v>
      </c>
    </row>
    <row r="100" spans="1:20" x14ac:dyDescent="0.3">
      <c r="A100" s="1">
        <v>35520</v>
      </c>
      <c r="B100" s="7">
        <v>1.762890832083994E-2</v>
      </c>
      <c r="C100" s="7"/>
      <c r="D100" s="7">
        <v>-3.1711126074154376E-2</v>
      </c>
      <c r="E100" s="7">
        <v>5.9593291147016156E-3</v>
      </c>
      <c r="F100" s="7">
        <v>9.7621911723881852E-3</v>
      </c>
      <c r="G100" s="7">
        <v>0</v>
      </c>
    </row>
    <row r="101" spans="1:20" x14ac:dyDescent="0.3">
      <c r="A101" s="1">
        <v>35550</v>
      </c>
      <c r="B101" s="7">
        <v>-1.9749922148652774E-2</v>
      </c>
      <c r="C101" s="7"/>
      <c r="D101" s="7">
        <v>-3.026256339549387E-2</v>
      </c>
      <c r="E101" s="7">
        <v>-8.0978461745237155E-3</v>
      </c>
      <c r="F101" s="7">
        <v>-6.0545867792271705E-3</v>
      </c>
      <c r="G101" s="7">
        <v>0</v>
      </c>
    </row>
    <row r="102" spans="1:20" x14ac:dyDescent="0.3">
      <c r="A102" s="1">
        <v>35580</v>
      </c>
      <c r="B102" s="7">
        <v>3.8315567008884603E-2</v>
      </c>
      <c r="C102" s="7"/>
      <c r="D102" s="7">
        <v>8.784806449364535E-2</v>
      </c>
      <c r="E102" s="7">
        <v>9.8321054755985474E-3</v>
      </c>
      <c r="F102" s="7">
        <v>-2.5820498264238146E-2</v>
      </c>
      <c r="G102" s="7">
        <v>0</v>
      </c>
    </row>
    <row r="103" spans="1:20" x14ac:dyDescent="0.3">
      <c r="A103" s="1">
        <v>35611</v>
      </c>
      <c r="B103" s="7">
        <v>-3.629798307215374E-2</v>
      </c>
      <c r="C103" s="7"/>
      <c r="D103" s="7">
        <v>1.091751367686399E-2</v>
      </c>
      <c r="E103" s="7">
        <v>1.7076454765561324E-2</v>
      </c>
      <c r="F103" s="7">
        <v>-8.2966376784145111E-3</v>
      </c>
      <c r="G103" s="7">
        <v>0</v>
      </c>
    </row>
    <row r="104" spans="1:20" x14ac:dyDescent="0.3">
      <c r="A104" s="1">
        <v>35642</v>
      </c>
      <c r="B104" s="7">
        <v>-3.7275877010787897E-2</v>
      </c>
      <c r="C104" s="7"/>
      <c r="D104" s="7">
        <v>-3.7956319156736931E-2</v>
      </c>
      <c r="E104" s="7">
        <v>-1.4031187092509679E-2</v>
      </c>
      <c r="F104" s="7">
        <v>-8.4555747523458891E-3</v>
      </c>
      <c r="G104" s="7">
        <v>0</v>
      </c>
    </row>
    <row r="105" spans="1:20" x14ac:dyDescent="0.3">
      <c r="A105" s="1">
        <v>35671</v>
      </c>
      <c r="B105" s="7">
        <v>9.7407149062311797E-3</v>
      </c>
      <c r="C105" s="7"/>
      <c r="D105" s="7">
        <v>-2.4015138802608218E-2</v>
      </c>
      <c r="E105" s="7">
        <v>-1.439990237354327E-2</v>
      </c>
      <c r="F105" s="7">
        <v>-2.1199982356738742E-2</v>
      </c>
      <c r="G105" s="7">
        <v>0</v>
      </c>
    </row>
    <row r="106" spans="1:20" x14ac:dyDescent="0.3">
      <c r="A106" s="1">
        <v>35703</v>
      </c>
      <c r="B106" s="7">
        <v>2.7279916119402847E-2</v>
      </c>
      <c r="C106" s="7"/>
      <c r="D106" s="7">
        <v>-5.7863897532651185E-4</v>
      </c>
      <c r="E106" s="7">
        <v>1.4504791540111382E-3</v>
      </c>
      <c r="F106" s="7">
        <v>-1.0422566350545974E-2</v>
      </c>
      <c r="G106" s="7">
        <v>0</v>
      </c>
    </row>
    <row r="107" spans="1:20" x14ac:dyDescent="0.3">
      <c r="A107" s="1">
        <v>35734</v>
      </c>
      <c r="B107" s="7">
        <v>3.0402591639258854E-2</v>
      </c>
      <c r="C107" s="7"/>
      <c r="D107" s="7">
        <v>-4.2824780670039954E-3</v>
      </c>
      <c r="E107" s="7">
        <v>3.6626177491323846E-2</v>
      </c>
      <c r="F107" s="7">
        <v>-3.3641992748180444E-2</v>
      </c>
      <c r="G107" s="7">
        <v>0</v>
      </c>
    </row>
    <row r="108" spans="1:20" x14ac:dyDescent="0.3">
      <c r="A108" s="1">
        <v>35762</v>
      </c>
      <c r="B108" s="7">
        <v>-2.2205862213086E-2</v>
      </c>
      <c r="C108" s="7"/>
      <c r="D108" s="7">
        <v>-6.1614780445783085E-2</v>
      </c>
      <c r="E108" s="7">
        <v>1.1062423676460055E-2</v>
      </c>
      <c r="F108" s="7">
        <v>-2.8953242096081397E-2</v>
      </c>
      <c r="G108" s="7">
        <v>0</v>
      </c>
    </row>
    <row r="109" spans="1:20" x14ac:dyDescent="0.3">
      <c r="A109" s="1">
        <v>35795</v>
      </c>
      <c r="B109" s="7">
        <v>-2.7864280184904978E-2</v>
      </c>
      <c r="C109" s="7"/>
      <c r="D109" s="7">
        <v>-2.6388368730248194E-2</v>
      </c>
      <c r="E109" s="7">
        <v>-2.4640109274456087E-2</v>
      </c>
      <c r="F109" s="7">
        <v>-4.6146896897630907E-2</v>
      </c>
      <c r="G109" s="7">
        <v>0</v>
      </c>
    </row>
    <row r="110" spans="1:20" x14ac:dyDescent="0.3">
      <c r="A110" s="1">
        <v>35825</v>
      </c>
      <c r="B110" s="7">
        <v>-1.3441208007017598E-2</v>
      </c>
      <c r="C110" s="7"/>
      <c r="D110" s="7">
        <v>2.3209515665970026E-2</v>
      </c>
      <c r="E110" s="7">
        <v>-6.5378574820118785E-3</v>
      </c>
      <c r="F110" s="7">
        <v>4.9880461437289962E-2</v>
      </c>
      <c r="G110" s="7">
        <v>0</v>
      </c>
    </row>
    <row r="111" spans="1:20" x14ac:dyDescent="0.3">
      <c r="A111" s="1">
        <v>35853</v>
      </c>
      <c r="B111" s="7">
        <v>3.9900240367582102E-3</v>
      </c>
      <c r="C111" s="7"/>
      <c r="D111" s="7">
        <v>3.5308709185617056E-3</v>
      </c>
      <c r="E111" s="7">
        <v>8.1826633081032597E-3</v>
      </c>
      <c r="F111" s="7">
        <v>-5.2414995691817999E-3</v>
      </c>
      <c r="G111" s="7">
        <v>0</v>
      </c>
    </row>
    <row r="112" spans="1:20" x14ac:dyDescent="0.3">
      <c r="A112" s="1">
        <v>35885</v>
      </c>
      <c r="B112" s="7">
        <v>-4.1478804209157567E-2</v>
      </c>
      <c r="C112" s="7"/>
      <c r="D112" s="7">
        <v>-5.6458647988650738E-2</v>
      </c>
      <c r="E112" s="7">
        <v>1.9549752199118548E-2</v>
      </c>
      <c r="F112" s="7">
        <v>-2.6351994920097443E-2</v>
      </c>
      <c r="G112" s="7">
        <v>0</v>
      </c>
      <c r="P112" s="4"/>
      <c r="Q112" s="4"/>
      <c r="R112" s="4"/>
      <c r="S112" s="4"/>
      <c r="T112" s="4"/>
    </row>
    <row r="113" spans="1:20" x14ac:dyDescent="0.3">
      <c r="A113" s="1">
        <v>35915</v>
      </c>
      <c r="B113" s="7">
        <v>1.0193751625848639E-2</v>
      </c>
      <c r="C113" s="7"/>
      <c r="D113" s="7">
        <v>-3.20238081170994E-3</v>
      </c>
      <c r="E113" s="7">
        <v>7.6355306693810126E-4</v>
      </c>
      <c r="F113" s="7">
        <v>-2.0317879915384886E-2</v>
      </c>
      <c r="G113" s="7">
        <v>0</v>
      </c>
      <c r="P113" s="4"/>
      <c r="Q113" s="4"/>
      <c r="R113" s="4"/>
      <c r="S113" s="4"/>
      <c r="T113" s="4"/>
    </row>
    <row r="114" spans="1:20" x14ac:dyDescent="0.3">
      <c r="A114" s="1">
        <v>35944</v>
      </c>
      <c r="B114" s="7">
        <v>8.6847527943100574E-3</v>
      </c>
      <c r="C114" s="7"/>
      <c r="D114" s="7">
        <v>-4.7047189250598122E-2</v>
      </c>
      <c r="E114" s="7">
        <v>-2.2533860721563031E-2</v>
      </c>
      <c r="F114" s="7">
        <v>-4.104423048802066E-2</v>
      </c>
      <c r="G114" s="7">
        <v>0</v>
      </c>
      <c r="P114" s="4"/>
      <c r="Q114" s="4"/>
      <c r="R114" s="4"/>
      <c r="S114" s="4"/>
      <c r="T114" s="4"/>
    </row>
    <row r="115" spans="1:20" x14ac:dyDescent="0.3">
      <c r="A115" s="1">
        <v>35976</v>
      </c>
      <c r="B115" s="7">
        <v>-2.7681200154649237E-2</v>
      </c>
      <c r="C115" s="7"/>
      <c r="D115" s="7">
        <v>-4.1127474947951787E-3</v>
      </c>
      <c r="E115" s="7">
        <v>2.4112290698316937E-2</v>
      </c>
      <c r="F115" s="7">
        <v>-4.0220950510742315E-3</v>
      </c>
      <c r="G115" s="7">
        <v>0</v>
      </c>
      <c r="P115" s="4"/>
      <c r="Q115" s="4"/>
      <c r="R115" s="4"/>
      <c r="S115" s="4"/>
      <c r="T115" s="4"/>
    </row>
    <row r="116" spans="1:20" x14ac:dyDescent="0.3">
      <c r="A116" s="1">
        <v>36007</v>
      </c>
      <c r="B116" s="7">
        <v>1.615475967634512E-2</v>
      </c>
      <c r="C116" s="7"/>
      <c r="D116" s="7">
        <v>-4.4936376399389369E-2</v>
      </c>
      <c r="E116" s="7">
        <v>-1.9524235636083995E-2</v>
      </c>
      <c r="F116" s="7">
        <v>-2.4863092774873214E-2</v>
      </c>
      <c r="G116" s="7">
        <v>0</v>
      </c>
      <c r="P116" s="4"/>
      <c r="Q116" s="4"/>
      <c r="R116" s="4"/>
      <c r="S116" s="4"/>
      <c r="T116" s="4"/>
    </row>
    <row r="117" spans="1:20" x14ac:dyDescent="0.3">
      <c r="A117" s="1">
        <v>36038</v>
      </c>
      <c r="B117" s="7">
        <v>3.8207435055033621E-2</v>
      </c>
      <c r="C117" s="7"/>
      <c r="D117" s="7">
        <v>3.376936508388767E-2</v>
      </c>
      <c r="E117" s="7">
        <v>3.0648889128856827E-2</v>
      </c>
      <c r="F117" s="7">
        <v>-6.2892490101616266E-2</v>
      </c>
      <c r="G117" s="7">
        <v>0</v>
      </c>
      <c r="P117" s="4"/>
      <c r="Q117" s="4"/>
      <c r="R117" s="4"/>
      <c r="S117" s="4"/>
      <c r="T117" s="4"/>
    </row>
    <row r="118" spans="1:20" x14ac:dyDescent="0.3">
      <c r="A118" s="1">
        <v>36068</v>
      </c>
      <c r="B118" s="7">
        <v>3.5105333814433218E-2</v>
      </c>
      <c r="C118" s="7"/>
      <c r="D118" s="7">
        <v>1.6306883802200946E-2</v>
      </c>
      <c r="E118" s="7">
        <v>1.3028830386691004E-2</v>
      </c>
      <c r="F118" s="7">
        <v>4.489436619718324E-2</v>
      </c>
      <c r="G118" s="7">
        <v>0</v>
      </c>
      <c r="P118" s="4"/>
      <c r="Q118" s="4"/>
      <c r="R118" s="4"/>
      <c r="S118" s="4"/>
      <c r="T118" s="4"/>
    </row>
    <row r="119" spans="1:20" x14ac:dyDescent="0.3">
      <c r="A119" s="1">
        <v>36098</v>
      </c>
      <c r="B119" s="7">
        <v>1.6492204201874718E-2</v>
      </c>
      <c r="C119" s="7"/>
      <c r="D119" s="7">
        <v>0.17159737031441066</v>
      </c>
      <c r="E119" s="7">
        <v>-1.2145510288308573E-2</v>
      </c>
      <c r="F119" s="7">
        <v>5.2679448160168965E-2</v>
      </c>
      <c r="G119" s="7">
        <v>0</v>
      </c>
      <c r="P119" s="4"/>
      <c r="Q119" s="4"/>
      <c r="R119" s="4"/>
      <c r="S119" s="4"/>
      <c r="T119" s="4"/>
    </row>
    <row r="120" spans="1:20" x14ac:dyDescent="0.3">
      <c r="A120" s="1">
        <v>36129</v>
      </c>
      <c r="B120" s="7">
        <v>-3.3819316999297161E-2</v>
      </c>
      <c r="C120" s="7"/>
      <c r="D120" s="7">
        <v>-6.1897995244346533E-2</v>
      </c>
      <c r="E120" s="7">
        <v>-1.4957673729016239E-2</v>
      </c>
      <c r="F120" s="7">
        <v>5.9004080222517736E-3</v>
      </c>
      <c r="G120" s="7">
        <v>0</v>
      </c>
      <c r="P120" s="4"/>
      <c r="Q120" s="4"/>
      <c r="R120" s="4"/>
      <c r="S120" s="4"/>
      <c r="T120" s="4"/>
    </row>
    <row r="121" spans="1:20" x14ac:dyDescent="0.3">
      <c r="A121" s="1">
        <v>36160</v>
      </c>
      <c r="B121" s="7">
        <v>1.0001157129718365E-2</v>
      </c>
      <c r="C121" s="7"/>
      <c r="D121" s="7">
        <v>7.5401802730182307E-2</v>
      </c>
      <c r="E121" s="7">
        <v>8.7812585457750138E-3</v>
      </c>
      <c r="F121" s="7">
        <v>-3.0184571623801386E-2</v>
      </c>
      <c r="G121" s="7">
        <v>0</v>
      </c>
      <c r="P121" s="4"/>
      <c r="Q121" s="4"/>
      <c r="R121" s="4"/>
      <c r="S121" s="4"/>
      <c r="T121" s="4"/>
    </row>
    <row r="122" spans="1:20" x14ac:dyDescent="0.3">
      <c r="A122" s="1">
        <v>36189</v>
      </c>
      <c r="B122" s="7">
        <v>-3.1920108177609624E-2</v>
      </c>
      <c r="C122" s="7"/>
      <c r="D122" s="7">
        <v>-2.4842338769791666E-2</v>
      </c>
      <c r="E122" s="7">
        <v>-8.1104712515451885E-3</v>
      </c>
      <c r="F122" s="7">
        <v>3.2518687064767189E-2</v>
      </c>
      <c r="G122" s="7">
        <v>0</v>
      </c>
      <c r="P122" s="4"/>
      <c r="Q122" s="4"/>
      <c r="R122" s="4"/>
      <c r="S122" s="4"/>
      <c r="T122" s="4"/>
    </row>
    <row r="123" spans="1:20" x14ac:dyDescent="0.3">
      <c r="A123" s="1">
        <v>36217</v>
      </c>
      <c r="B123" s="7">
        <v>-2.3791975910506847E-2</v>
      </c>
      <c r="C123" s="7"/>
      <c r="D123" s="7">
        <v>-2.7520457892042681E-2</v>
      </c>
      <c r="E123" s="7">
        <v>-2.50357436193837E-2</v>
      </c>
      <c r="F123" s="7">
        <v>-1.8363643285911776E-2</v>
      </c>
      <c r="G123" s="7">
        <v>0</v>
      </c>
      <c r="P123" s="4"/>
      <c r="Q123" s="4"/>
      <c r="R123" s="4"/>
      <c r="S123" s="4"/>
      <c r="T123" s="4"/>
    </row>
    <row r="124" spans="1:20" x14ac:dyDescent="0.3">
      <c r="A124" s="1">
        <v>36250</v>
      </c>
      <c r="B124" s="7">
        <v>-2.761172815663876E-2</v>
      </c>
      <c r="C124" s="7"/>
      <c r="D124" s="7">
        <v>-1.1647312402551045E-3</v>
      </c>
      <c r="E124" s="7">
        <v>6.0065685135928032E-3</v>
      </c>
      <c r="F124" s="7">
        <v>2.4889480623561912E-2</v>
      </c>
      <c r="G124" s="7">
        <v>0</v>
      </c>
      <c r="P124" s="4"/>
      <c r="Q124" s="4"/>
      <c r="R124" s="4"/>
      <c r="S124" s="4"/>
      <c r="T124" s="4"/>
    </row>
    <row r="125" spans="1:20" x14ac:dyDescent="0.3">
      <c r="A125" s="1">
        <v>36280</v>
      </c>
      <c r="B125" s="7">
        <v>-3.1478947040907139E-2</v>
      </c>
      <c r="C125" s="7"/>
      <c r="D125" s="7">
        <v>-7.611968911209E-3</v>
      </c>
      <c r="E125" s="7">
        <v>-7.4501769417029237E-4</v>
      </c>
      <c r="F125" s="7">
        <v>4.2463069252147413E-2</v>
      </c>
      <c r="G125" s="7">
        <v>0</v>
      </c>
      <c r="P125" s="4"/>
      <c r="Q125" s="4"/>
      <c r="R125" s="4"/>
      <c r="S125" s="4"/>
      <c r="T125" s="4"/>
    </row>
    <row r="126" spans="1:20" x14ac:dyDescent="0.3">
      <c r="A126" s="1">
        <v>36311</v>
      </c>
      <c r="B126" s="7">
        <v>-3.8857212051868007E-3</v>
      </c>
      <c r="C126" s="7"/>
      <c r="D126" s="7">
        <v>-2.2495798762818851E-2</v>
      </c>
      <c r="E126" s="7">
        <v>-3.9342917342581381E-3</v>
      </c>
      <c r="F126" s="7">
        <v>-1.8813261519758238E-2</v>
      </c>
      <c r="G126" s="7">
        <v>0</v>
      </c>
      <c r="P126" s="4"/>
      <c r="Q126" s="4"/>
      <c r="R126" s="4"/>
      <c r="S126" s="4"/>
      <c r="T126" s="4"/>
    </row>
    <row r="127" spans="1:20" x14ac:dyDescent="0.3">
      <c r="A127" s="1">
        <v>36341</v>
      </c>
      <c r="B127" s="7">
        <v>-1.6752092105021987E-2</v>
      </c>
      <c r="C127" s="7"/>
      <c r="D127" s="7">
        <v>-7.8265413874388685E-4</v>
      </c>
      <c r="E127" s="7">
        <v>-1.517066609242217E-2</v>
      </c>
      <c r="F127" s="7">
        <v>2.8433711175625643E-2</v>
      </c>
      <c r="G127" s="7">
        <v>0</v>
      </c>
      <c r="P127" s="4"/>
      <c r="Q127" s="4"/>
      <c r="R127" s="4"/>
      <c r="S127" s="4"/>
      <c r="T127" s="4"/>
    </row>
    <row r="128" spans="1:20" x14ac:dyDescent="0.3">
      <c r="A128" s="1">
        <v>36371</v>
      </c>
      <c r="B128" s="7">
        <v>3.4446389377901385E-2</v>
      </c>
      <c r="C128" s="7"/>
      <c r="D128" s="7">
        <v>5.27709259287963E-2</v>
      </c>
      <c r="E128" s="7">
        <v>2.7613630962754026E-2</v>
      </c>
      <c r="F128" s="7">
        <v>-2.3064778504429347E-2</v>
      </c>
      <c r="G128" s="7">
        <v>0</v>
      </c>
      <c r="P128" s="4"/>
      <c r="Q128" s="4"/>
      <c r="R128" s="4"/>
      <c r="S128" s="4"/>
      <c r="T128" s="4"/>
    </row>
    <row r="129" spans="1:20" x14ac:dyDescent="0.3">
      <c r="A129" s="1">
        <v>36403</v>
      </c>
      <c r="B129" s="7">
        <v>-1.9188858199463272E-2</v>
      </c>
      <c r="C129" s="7"/>
      <c r="D129" s="7">
        <v>3.9260406268437735E-2</v>
      </c>
      <c r="E129" s="7">
        <v>-1.1013406016057613E-2</v>
      </c>
      <c r="F129" s="7">
        <v>-1.8012052993936694E-2</v>
      </c>
      <c r="G129" s="7">
        <v>0</v>
      </c>
      <c r="P129" s="4"/>
      <c r="Q129" s="4"/>
      <c r="R129" s="4"/>
      <c r="S129" s="4"/>
      <c r="T129" s="4"/>
    </row>
    <row r="130" spans="1:20" x14ac:dyDescent="0.3">
      <c r="A130" s="1">
        <v>36433</v>
      </c>
      <c r="B130" s="7">
        <v>8.8882261439950754E-3</v>
      </c>
      <c r="C130" s="7"/>
      <c r="D130" s="7">
        <v>2.6925088425672122E-2</v>
      </c>
      <c r="E130" s="7">
        <v>2.6774166404358216E-2</v>
      </c>
      <c r="F130" s="7">
        <v>1.7121017121017053E-2</v>
      </c>
      <c r="G130" s="7">
        <v>0</v>
      </c>
      <c r="P130" s="4"/>
      <c r="Q130" s="4"/>
      <c r="R130" s="4"/>
      <c r="S130" s="4"/>
      <c r="T130" s="4"/>
    </row>
    <row r="131" spans="1:20" x14ac:dyDescent="0.3">
      <c r="A131" s="1">
        <v>36462</v>
      </c>
      <c r="B131" s="7">
        <v>-2.0436570514354012E-2</v>
      </c>
      <c r="C131" s="7"/>
      <c r="D131" s="7">
        <v>1.6784917767410829E-2</v>
      </c>
      <c r="E131" s="7">
        <v>-1.5661231774089929E-3</v>
      </c>
      <c r="F131" s="7">
        <v>-2.0398401976986322E-2</v>
      </c>
      <c r="G131" s="7">
        <v>0</v>
      </c>
      <c r="P131" s="4"/>
      <c r="Q131" s="4"/>
      <c r="R131" s="4"/>
      <c r="S131" s="4"/>
      <c r="T131" s="4"/>
    </row>
    <row r="132" spans="1:20" x14ac:dyDescent="0.3">
      <c r="A132" s="1">
        <v>36494</v>
      </c>
      <c r="B132" s="7">
        <v>-4.4543981238022654E-2</v>
      </c>
      <c r="C132" s="7"/>
      <c r="D132" s="7">
        <v>1.4059808621109888E-2</v>
      </c>
      <c r="E132" s="7">
        <v>-2.8438583287027964E-2</v>
      </c>
      <c r="F132" s="7">
        <v>-5.7082607872675798E-3</v>
      </c>
      <c r="G132" s="7">
        <v>0</v>
      </c>
      <c r="P132" s="4"/>
      <c r="Q132" s="4"/>
      <c r="R132" s="4"/>
      <c r="S132" s="4"/>
      <c r="T132" s="4"/>
    </row>
    <row r="133" spans="1:20" x14ac:dyDescent="0.3">
      <c r="A133" s="1">
        <v>36525</v>
      </c>
      <c r="B133" s="7">
        <v>-6.6575105076141011E-3</v>
      </c>
      <c r="C133" s="7"/>
      <c r="D133" s="7">
        <v>-8.1556863418123741E-3</v>
      </c>
      <c r="E133" s="7">
        <v>1.2020162853819318E-2</v>
      </c>
      <c r="F133" s="7">
        <v>3.2175521706806674E-2</v>
      </c>
      <c r="G133" s="7">
        <v>0</v>
      </c>
      <c r="P133" s="4"/>
      <c r="Q133" s="4"/>
      <c r="R133" s="4"/>
      <c r="S133" s="4"/>
      <c r="T133" s="4"/>
    </row>
    <row r="134" spans="1:20" x14ac:dyDescent="0.3">
      <c r="A134" s="1">
        <v>36556</v>
      </c>
      <c r="B134" s="7">
        <v>-4.4132237603547342E-2</v>
      </c>
      <c r="C134" s="7"/>
      <c r="D134" s="7">
        <v>-5.0292552385955813E-2</v>
      </c>
      <c r="E134" s="7">
        <v>-1.3439406812389204E-3</v>
      </c>
      <c r="F134" s="7">
        <v>-3.0478292302423743E-2</v>
      </c>
      <c r="G134" s="7">
        <v>0</v>
      </c>
      <c r="P134" s="4"/>
      <c r="Q134" s="4"/>
      <c r="R134" s="4"/>
      <c r="S134" s="4"/>
      <c r="T134" s="4"/>
    </row>
    <row r="135" spans="1:20" x14ac:dyDescent="0.3">
      <c r="A135" s="1">
        <v>36585</v>
      </c>
      <c r="B135" s="7">
        <v>-7.6496453944968068E-3</v>
      </c>
      <c r="C135" s="7">
        <v>-8.7823813689742077E-3</v>
      </c>
      <c r="D135" s="7">
        <v>-3.0948189144206873E-2</v>
      </c>
      <c r="E135" s="7">
        <v>-2.2843024360241299E-2</v>
      </c>
      <c r="F135" s="7">
        <v>-3.0590229014820513E-2</v>
      </c>
      <c r="G135" s="7">
        <v>0</v>
      </c>
      <c r="P135" s="4"/>
      <c r="Q135" s="4"/>
      <c r="R135" s="4"/>
      <c r="S135" s="4"/>
      <c r="T135" s="4"/>
    </row>
    <row r="136" spans="1:20" x14ac:dyDescent="0.3">
      <c r="A136" s="1">
        <v>36616</v>
      </c>
      <c r="B136" s="7">
        <v>-3.3207649999999625E-3</v>
      </c>
      <c r="C136" s="7">
        <v>-1.1099899091826421E-2</v>
      </c>
      <c r="D136" s="7">
        <v>6.7599971553987045E-2</v>
      </c>
      <c r="E136" s="7">
        <v>7.642657020250361E-3</v>
      </c>
      <c r="F136" s="7">
        <v>-1.762959247243099E-2</v>
      </c>
      <c r="G136" s="7">
        <v>0</v>
      </c>
      <c r="P136" s="4"/>
      <c r="Q136" s="4"/>
      <c r="R136" s="4"/>
      <c r="S136" s="4"/>
      <c r="T136" s="4"/>
    </row>
    <row r="137" spans="1:20" x14ac:dyDescent="0.3">
      <c r="A137" s="1">
        <v>36644</v>
      </c>
      <c r="B137" s="7">
        <v>-3.248262752914241E-2</v>
      </c>
      <c r="C137" s="7">
        <v>-4.7574285863491543E-2</v>
      </c>
      <c r="D137" s="7">
        <v>-5.52216470263159E-2</v>
      </c>
      <c r="E137" s="7">
        <v>-2.5170373675264132E-2</v>
      </c>
      <c r="F137" s="7">
        <v>-3.855020154385224E-2</v>
      </c>
      <c r="G137" s="7">
        <v>0</v>
      </c>
      <c r="P137" s="4"/>
      <c r="Q137" s="4"/>
      <c r="R137" s="4"/>
      <c r="S137" s="4"/>
      <c r="T137" s="4"/>
    </row>
    <row r="138" spans="1:20" x14ac:dyDescent="0.3">
      <c r="A138" s="1">
        <v>36677</v>
      </c>
      <c r="B138" s="7">
        <v>1.8407414021623429E-2</v>
      </c>
      <c r="C138" s="7">
        <v>2.6381730842880272E-2</v>
      </c>
      <c r="D138" s="7">
        <v>-3.644358460455075E-4</v>
      </c>
      <c r="E138" s="7">
        <v>-3.2344344654015041E-2</v>
      </c>
      <c r="F138" s="7">
        <v>-1.9760598999042728E-2</v>
      </c>
      <c r="G138" s="7">
        <v>0</v>
      </c>
      <c r="P138" s="4"/>
      <c r="Q138" s="4"/>
      <c r="R138" s="4"/>
      <c r="S138" s="4"/>
      <c r="T138" s="4"/>
    </row>
    <row r="139" spans="1:20" x14ac:dyDescent="0.3">
      <c r="A139" s="1">
        <v>36707</v>
      </c>
      <c r="B139" s="7">
        <v>2.5739985215053846E-2</v>
      </c>
      <c r="C139" s="7">
        <v>1.3461751261906296E-2</v>
      </c>
      <c r="D139" s="7">
        <v>1.028151955538807E-2</v>
      </c>
      <c r="E139" s="7">
        <v>7.9384891906734995E-3</v>
      </c>
      <c r="F139" s="7">
        <v>4.2988807162298873E-2</v>
      </c>
      <c r="G139" s="7">
        <v>0</v>
      </c>
      <c r="P139" s="4"/>
      <c r="Q139" s="4"/>
      <c r="R139" s="4"/>
      <c r="S139" s="4"/>
      <c r="T139" s="4"/>
    </row>
    <row r="140" spans="1:20" x14ac:dyDescent="0.3">
      <c r="A140" s="1">
        <v>36738</v>
      </c>
      <c r="B140" s="7">
        <v>-2.5258471632653254E-2</v>
      </c>
      <c r="C140" s="7">
        <v>-2.9187245536210129E-2</v>
      </c>
      <c r="D140" s="7">
        <v>-3.7086294247562393E-2</v>
      </c>
      <c r="E140" s="7">
        <v>-1.0115344631276732E-2</v>
      </c>
      <c r="F140" s="7">
        <v>-2.827180281680728E-2</v>
      </c>
      <c r="G140" s="7">
        <v>0</v>
      </c>
      <c r="P140" s="4"/>
      <c r="Q140" s="4"/>
      <c r="R140" s="4"/>
      <c r="S140" s="4"/>
      <c r="T140" s="4"/>
    </row>
    <row r="141" spans="1:20" x14ac:dyDescent="0.3">
      <c r="A141" s="1">
        <v>36769</v>
      </c>
      <c r="B141" s="7">
        <v>-4.4753301359074994E-2</v>
      </c>
      <c r="C141" s="7">
        <v>-4.3847528252162329E-2</v>
      </c>
      <c r="D141" s="7">
        <v>1.9113064166301933E-2</v>
      </c>
      <c r="E141" s="7">
        <v>-3.5490201958608684E-2</v>
      </c>
      <c r="F141" s="7">
        <v>-8.0488472267873819E-3</v>
      </c>
      <c r="G141" s="7">
        <v>0</v>
      </c>
      <c r="P141" s="4"/>
      <c r="Q141" s="4"/>
      <c r="R141" s="4"/>
      <c r="S141" s="4"/>
      <c r="T141" s="4"/>
    </row>
    <row r="142" spans="1:20" x14ac:dyDescent="0.3">
      <c r="A142" s="1">
        <v>36798</v>
      </c>
      <c r="B142" s="7">
        <v>7.4627086788639843E-3</v>
      </c>
      <c r="C142" s="7">
        <v>-7.2030634105746073E-3</v>
      </c>
      <c r="D142" s="7">
        <v>-1.8395710365770361E-2</v>
      </c>
      <c r="E142" s="7">
        <v>1.8901542095122421E-2</v>
      </c>
      <c r="F142" s="7">
        <v>-5.8524790908554884E-2</v>
      </c>
      <c r="G142" s="7">
        <v>0</v>
      </c>
      <c r="P142" s="4"/>
      <c r="Q142" s="4"/>
      <c r="R142" s="4"/>
      <c r="S142" s="4"/>
      <c r="T142" s="4"/>
    </row>
    <row r="143" spans="1:20" x14ac:dyDescent="0.3">
      <c r="A143" s="1">
        <v>36830</v>
      </c>
      <c r="B143" s="7">
        <v>-4.2932598627975112E-2</v>
      </c>
      <c r="C143" s="7">
        <v>-3.9890518791635118E-2</v>
      </c>
      <c r="D143" s="7">
        <v>-1.3807269836357777E-2</v>
      </c>
      <c r="E143" s="7">
        <v>-1.9286396553242508E-2</v>
      </c>
      <c r="F143" s="7">
        <v>-4.4936783472340883E-2</v>
      </c>
      <c r="G143" s="7">
        <v>0</v>
      </c>
      <c r="P143" s="4"/>
      <c r="Q143" s="4"/>
      <c r="R143" s="4"/>
      <c r="S143" s="4"/>
      <c r="T143" s="4"/>
    </row>
    <row r="144" spans="1:20" x14ac:dyDescent="0.3">
      <c r="A144" s="1">
        <v>36860</v>
      </c>
      <c r="B144" s="7">
        <v>3.587143069182392E-2</v>
      </c>
      <c r="C144" s="7">
        <v>2.6808295397066233E-2</v>
      </c>
      <c r="D144" s="7">
        <v>-1.7881295172135731E-2</v>
      </c>
      <c r="E144" s="7">
        <v>-1.6154642733862523E-2</v>
      </c>
      <c r="F144" s="7">
        <v>1.7628220577376039E-2</v>
      </c>
      <c r="G144" s="7">
        <v>0</v>
      </c>
      <c r="P144" s="4"/>
      <c r="Q144" s="4"/>
      <c r="R144" s="4"/>
      <c r="S144" s="4"/>
      <c r="T144" s="4"/>
    </row>
    <row r="145" spans="1:20" x14ac:dyDescent="0.3">
      <c r="A145" s="1">
        <v>36889</v>
      </c>
      <c r="B145" s="7">
        <v>7.0440823362331401E-2</v>
      </c>
      <c r="C145" s="7">
        <v>7.8375858656920441E-2</v>
      </c>
      <c r="D145" s="7">
        <v>-4.0089952775085397E-2</v>
      </c>
      <c r="E145" s="7">
        <v>4.6868579778678143E-2</v>
      </c>
      <c r="F145" s="7">
        <v>5.820706998975482E-2</v>
      </c>
      <c r="G145" s="7">
        <v>0</v>
      </c>
      <c r="P145" s="4"/>
      <c r="Q145" s="4"/>
      <c r="R145" s="4"/>
      <c r="S145" s="4"/>
      <c r="T145" s="4"/>
    </row>
    <row r="146" spans="1:20" x14ac:dyDescent="0.3">
      <c r="A146" s="1">
        <v>36922</v>
      </c>
      <c r="B146" s="7">
        <v>-1.7598185189302503E-2</v>
      </c>
      <c r="C146" s="7">
        <v>-7.9440737210040805E-3</v>
      </c>
      <c r="D146" s="7">
        <v>-2.3616406087118139E-2</v>
      </c>
      <c r="E146" s="7">
        <v>-1.9649186220468649E-2</v>
      </c>
      <c r="F146" s="7">
        <v>-1.4991591827972278E-2</v>
      </c>
      <c r="G146" s="7">
        <v>0</v>
      </c>
      <c r="P146" s="4"/>
      <c r="Q146" s="4"/>
      <c r="R146" s="4"/>
      <c r="S146" s="4"/>
      <c r="T146" s="4"/>
    </row>
    <row r="147" spans="1:20" x14ac:dyDescent="0.3">
      <c r="A147" s="1">
        <v>36950</v>
      </c>
      <c r="B147" s="7">
        <v>-2.1387806013082555E-2</v>
      </c>
      <c r="C147" s="7">
        <v>-1.4501846475264936E-2</v>
      </c>
      <c r="D147" s="7">
        <v>-1.052590201760099E-2</v>
      </c>
      <c r="E147" s="7">
        <v>-1.2852381993006883E-2</v>
      </c>
      <c r="F147" s="7">
        <v>-4.390272259735814E-2</v>
      </c>
      <c r="G147" s="7">
        <v>0</v>
      </c>
      <c r="P147" s="4"/>
      <c r="Q147" s="4"/>
      <c r="R147" s="4"/>
      <c r="S147" s="4"/>
      <c r="T147" s="4"/>
    </row>
    <row r="148" spans="1:20" x14ac:dyDescent="0.3">
      <c r="A148" s="1">
        <v>36980</v>
      </c>
      <c r="B148" s="7">
        <v>-4.4229946042709405E-2</v>
      </c>
      <c r="C148" s="7">
        <v>-5.1139130905351923E-2</v>
      </c>
      <c r="D148" s="7">
        <v>-7.5032446059141139E-2</v>
      </c>
      <c r="E148" s="7">
        <v>-2.0040690351957772E-2</v>
      </c>
      <c r="F148" s="7">
        <v>-7.70569978123819E-2</v>
      </c>
      <c r="G148" s="7">
        <v>0</v>
      </c>
      <c r="P148" s="4"/>
      <c r="Q148" s="4"/>
      <c r="R148" s="4"/>
      <c r="S148" s="4"/>
      <c r="T148" s="4"/>
    </row>
    <row r="149" spans="1:20" x14ac:dyDescent="0.3">
      <c r="A149" s="1">
        <v>37011</v>
      </c>
      <c r="B149" s="7">
        <v>4.3430087988846266E-3</v>
      </c>
      <c r="C149" s="7">
        <v>1.392420942193427E-2</v>
      </c>
      <c r="D149" s="7">
        <v>1.7957805520464991E-2</v>
      </c>
      <c r="E149" s="7">
        <v>1.1620924728904015E-2</v>
      </c>
      <c r="F149" s="7">
        <v>5.5232917335969384E-2</v>
      </c>
      <c r="G149" s="7">
        <v>0</v>
      </c>
      <c r="P149" s="4"/>
      <c r="Q149" s="4"/>
      <c r="R149" s="4"/>
      <c r="S149" s="4"/>
      <c r="T149" s="4"/>
    </row>
    <row r="150" spans="1:20" x14ac:dyDescent="0.3">
      <c r="A150" s="1">
        <v>37042</v>
      </c>
      <c r="B150" s="7">
        <v>-3.6641205785132532E-2</v>
      </c>
      <c r="C150" s="7">
        <v>-4.8894239694853937E-2</v>
      </c>
      <c r="D150" s="7">
        <v>3.2489136756331083E-2</v>
      </c>
      <c r="E150" s="7">
        <v>-8.6907295390452107E-3</v>
      </c>
      <c r="F150" s="7">
        <v>-1.1107227995915677E-2</v>
      </c>
      <c r="G150" s="7">
        <v>0</v>
      </c>
      <c r="P150" s="4"/>
      <c r="Q150" s="4"/>
      <c r="R150" s="4"/>
      <c r="S150" s="4"/>
      <c r="T150" s="4"/>
    </row>
    <row r="151" spans="1:20" x14ac:dyDescent="0.3">
      <c r="A151" s="1">
        <v>37071</v>
      </c>
      <c r="B151" s="7">
        <v>1.5200548199783516E-3</v>
      </c>
      <c r="C151" s="7">
        <v>4.852645283465358E-3</v>
      </c>
      <c r="D151" s="7">
        <v>-4.7155578649421832E-2</v>
      </c>
      <c r="E151" s="7">
        <v>-1.2561041013916749E-3</v>
      </c>
      <c r="F151" s="7">
        <v>1.1446196160100628E-2</v>
      </c>
      <c r="G151" s="7">
        <v>0</v>
      </c>
      <c r="P151" s="4"/>
      <c r="Q151" s="4"/>
      <c r="R151" s="4"/>
      <c r="S151" s="4"/>
      <c r="T151" s="4"/>
    </row>
    <row r="152" spans="1:20" x14ac:dyDescent="0.3">
      <c r="A152" s="1">
        <v>37103</v>
      </c>
      <c r="B152" s="7">
        <v>3.8040290104338549E-2</v>
      </c>
      <c r="C152" s="7">
        <v>3.2869382800438378E-2</v>
      </c>
      <c r="D152" s="7">
        <v>-6.1066628836803881E-3</v>
      </c>
      <c r="E152" s="7">
        <v>8.0776358415029104E-3</v>
      </c>
      <c r="F152" s="7">
        <v>-2.7531833682694932E-3</v>
      </c>
      <c r="G152" s="7">
        <v>0</v>
      </c>
      <c r="P152" s="4"/>
      <c r="Q152" s="4"/>
      <c r="R152" s="4"/>
      <c r="S152" s="4"/>
      <c r="T152" s="4"/>
    </row>
    <row r="153" spans="1:20" x14ac:dyDescent="0.3">
      <c r="A153" s="1">
        <v>37134</v>
      </c>
      <c r="B153" s="7">
        <v>3.8561176415501386E-2</v>
      </c>
      <c r="C153" s="7">
        <v>4.1670234812543956E-2</v>
      </c>
      <c r="D153" s="7">
        <v>4.9087002282070573E-2</v>
      </c>
      <c r="E153" s="7">
        <v>2.1398864722081669E-2</v>
      </c>
      <c r="F153" s="7">
        <v>3.9611637525739901E-2</v>
      </c>
      <c r="G153" s="7">
        <v>0</v>
      </c>
      <c r="P153" s="4"/>
      <c r="Q153" s="4"/>
      <c r="R153" s="4"/>
      <c r="S153" s="4"/>
      <c r="T153" s="4"/>
    </row>
    <row r="154" spans="1:20" x14ac:dyDescent="0.3">
      <c r="A154" s="1">
        <v>37162</v>
      </c>
      <c r="B154" s="7">
        <v>2.5206570901146395E-2</v>
      </c>
      <c r="C154" s="7">
        <v>-3.6743132598833457E-4</v>
      </c>
      <c r="D154" s="7">
        <v>-9.3505893741981511E-3</v>
      </c>
      <c r="E154" s="7">
        <v>1.5122879853487429E-2</v>
      </c>
      <c r="F154" s="7">
        <v>-7.1378887998427343E-2</v>
      </c>
      <c r="G154" s="7">
        <v>0</v>
      </c>
      <c r="P154" s="4"/>
      <c r="Q154" s="4"/>
      <c r="R154" s="4"/>
      <c r="S154" s="4"/>
      <c r="T154" s="4"/>
    </row>
    <row r="155" spans="1:20" x14ac:dyDescent="0.3">
      <c r="A155" s="1">
        <v>37195</v>
      </c>
      <c r="B155" s="7">
        <v>-8.743385819831655E-3</v>
      </c>
      <c r="C155" s="7">
        <v>-1.10264238803348E-2</v>
      </c>
      <c r="D155" s="7">
        <v>-2.5758413768531611E-2</v>
      </c>
      <c r="E155" s="7">
        <v>-1.1844952392598919E-2</v>
      </c>
      <c r="F155" s="7">
        <v>2.5575166036766597E-2</v>
      </c>
      <c r="G155" s="7">
        <v>0</v>
      </c>
      <c r="P155" s="4"/>
      <c r="Q155" s="4"/>
      <c r="R155" s="4"/>
      <c r="S155" s="4"/>
      <c r="T155" s="4"/>
    </row>
    <row r="156" spans="1:20" x14ac:dyDescent="0.3">
      <c r="A156" s="1">
        <v>37225</v>
      </c>
      <c r="B156" s="7">
        <v>-4.6726353986927937E-3</v>
      </c>
      <c r="C156" s="7">
        <v>-3.4574379384330872E-3</v>
      </c>
      <c r="D156" s="7">
        <v>-1.0258537749602246E-2</v>
      </c>
      <c r="E156" s="7">
        <v>-1.9319562994308419E-2</v>
      </c>
      <c r="F156" s="7">
        <v>3.9198429354817058E-2</v>
      </c>
      <c r="G156" s="7">
        <v>0</v>
      </c>
      <c r="P156" s="4"/>
      <c r="Q156" s="4"/>
      <c r="R156" s="4"/>
      <c r="S156" s="4"/>
      <c r="T156" s="4"/>
    </row>
    <row r="157" spans="1:20" x14ac:dyDescent="0.3">
      <c r="A157" s="1">
        <v>37256</v>
      </c>
      <c r="B157" s="7">
        <v>-1.1296214612606662E-2</v>
      </c>
      <c r="C157" s="7">
        <v>-6.5637156192308059E-3</v>
      </c>
      <c r="D157" s="7">
        <v>-6.3769812247468374E-2</v>
      </c>
      <c r="E157" s="7">
        <v>2.3096692695401849E-2</v>
      </c>
      <c r="F157" s="7">
        <v>-2.1956547612191967E-2</v>
      </c>
      <c r="G157" s="7">
        <v>0</v>
      </c>
      <c r="P157" s="4"/>
      <c r="Q157" s="4"/>
      <c r="R157" s="4"/>
      <c r="S157" s="4"/>
      <c r="T157" s="4"/>
    </row>
    <row r="158" spans="1:20" x14ac:dyDescent="0.3">
      <c r="A158" s="1">
        <v>37287</v>
      </c>
      <c r="B158" s="7">
        <v>-3.4123464587414866E-2</v>
      </c>
      <c r="C158" s="7">
        <v>-3.2610286254601058E-2</v>
      </c>
      <c r="D158" s="7">
        <v>-2.3905271807109957E-2</v>
      </c>
      <c r="E158" s="7">
        <v>-2.8291003013344643E-2</v>
      </c>
      <c r="F158" s="7">
        <v>-1.4338285188293129E-3</v>
      </c>
      <c r="G158" s="7">
        <v>0</v>
      </c>
      <c r="P158" s="4"/>
      <c r="Q158" s="4"/>
      <c r="R158" s="4"/>
      <c r="S158" s="4"/>
      <c r="T158" s="4"/>
    </row>
    <row r="159" spans="1:20" x14ac:dyDescent="0.3">
      <c r="A159" s="1">
        <v>37315</v>
      </c>
      <c r="B159" s="7">
        <v>1.2533549473358441E-2</v>
      </c>
      <c r="C159" s="7">
        <v>1.2826337678677352E-2</v>
      </c>
      <c r="D159" s="7">
        <v>8.2612941969696721E-3</v>
      </c>
      <c r="E159" s="7">
        <v>6.2973454594505854E-3</v>
      </c>
      <c r="F159" s="7">
        <v>2.2389561799216123E-2</v>
      </c>
      <c r="G159" s="7">
        <v>0</v>
      </c>
      <c r="P159" s="4"/>
      <c r="Q159" s="4"/>
      <c r="R159" s="4"/>
      <c r="S159" s="4"/>
      <c r="T159" s="4"/>
    </row>
    <row r="160" spans="1:20" x14ac:dyDescent="0.3">
      <c r="A160" s="1">
        <v>37344</v>
      </c>
      <c r="B160" s="7">
        <v>9.3854527630687495E-3</v>
      </c>
      <c r="C160" s="7">
        <v>3.9735099337749082E-3</v>
      </c>
      <c r="D160" s="7">
        <v>3.3456334563156179E-3</v>
      </c>
      <c r="E160" s="7">
        <v>7.795769222614002E-3</v>
      </c>
      <c r="F160" s="7">
        <v>3.0477214616994461E-2</v>
      </c>
      <c r="G160" s="7">
        <v>0</v>
      </c>
      <c r="P160" s="4"/>
      <c r="Q160" s="4"/>
      <c r="R160" s="4"/>
      <c r="S160" s="4"/>
      <c r="T160" s="4"/>
    </row>
    <row r="161" spans="1:20" x14ac:dyDescent="0.3">
      <c r="A161" s="1">
        <v>37376</v>
      </c>
      <c r="B161" s="7">
        <v>3.953607616005389E-2</v>
      </c>
      <c r="C161" s="7">
        <v>3.4284729799574948E-2</v>
      </c>
      <c r="D161" s="7">
        <v>3.0827025467746117E-2</v>
      </c>
      <c r="E161" s="7">
        <v>2.4333182282829754E-2</v>
      </c>
      <c r="F161" s="7">
        <v>1.2449194159655751E-2</v>
      </c>
      <c r="G161" s="7">
        <v>0</v>
      </c>
      <c r="P161" s="4"/>
      <c r="Q161" s="4"/>
      <c r="R161" s="4"/>
      <c r="S161" s="4"/>
      <c r="T161" s="4"/>
    </row>
    <row r="162" spans="1:20" x14ac:dyDescent="0.3">
      <c r="A162" s="1">
        <v>37407</v>
      </c>
      <c r="B162" s="7">
        <v>3.0882438081649134E-2</v>
      </c>
      <c r="C162" s="7">
        <v>3.8750208483905098E-2</v>
      </c>
      <c r="D162" s="7">
        <v>3.3364454416302418E-2</v>
      </c>
      <c r="E162" s="7">
        <v>5.1538421893554089E-5</v>
      </c>
      <c r="F162" s="7">
        <v>5.6457348839460852E-2</v>
      </c>
      <c r="G162" s="7">
        <v>0</v>
      </c>
      <c r="P162" s="4"/>
      <c r="Q162" s="4"/>
      <c r="R162" s="4"/>
      <c r="S162" s="4"/>
      <c r="T162" s="4"/>
    </row>
    <row r="163" spans="1:20" x14ac:dyDescent="0.3">
      <c r="A163" s="1">
        <v>37435</v>
      </c>
      <c r="B163" s="7">
        <v>5.8198220271401702E-2</v>
      </c>
      <c r="C163" s="7">
        <v>6.2757918430784057E-2</v>
      </c>
      <c r="D163" s="7">
        <v>3.7251202577639933E-2</v>
      </c>
      <c r="E163" s="7">
        <v>5.5735393537674011E-2</v>
      </c>
      <c r="F163" s="7">
        <v>-4.5690176082093499E-3</v>
      </c>
      <c r="G163" s="7">
        <v>0</v>
      </c>
      <c r="P163" s="4"/>
      <c r="Q163" s="4"/>
      <c r="R163" s="4"/>
      <c r="S163" s="4"/>
      <c r="T163" s="4"/>
    </row>
    <row r="164" spans="1:20" x14ac:dyDescent="0.3">
      <c r="A164" s="1">
        <v>37468</v>
      </c>
      <c r="B164" s="7">
        <v>-3.6920470093291546E-3</v>
      </c>
      <c r="C164" s="7">
        <v>-1.2694789783572488E-2</v>
      </c>
      <c r="D164" s="7">
        <v>-4.077688224177858E-3</v>
      </c>
      <c r="E164" s="7">
        <v>2.1524061376369245E-2</v>
      </c>
      <c r="F164" s="7">
        <v>-3.4301345677760088E-2</v>
      </c>
      <c r="G164" s="7">
        <v>0</v>
      </c>
      <c r="P164" s="4"/>
      <c r="Q164" s="4"/>
      <c r="R164" s="4"/>
      <c r="S164" s="4"/>
      <c r="T164" s="4"/>
    </row>
    <row r="165" spans="1:20" x14ac:dyDescent="0.3">
      <c r="A165" s="1">
        <v>37498</v>
      </c>
      <c r="B165" s="7">
        <v>-9.4965354390968253E-3</v>
      </c>
      <c r="C165" s="7">
        <v>6.1404991268097292E-3</v>
      </c>
      <c r="D165" s="7">
        <v>1.0417320965715475E-2</v>
      </c>
      <c r="E165" s="7">
        <v>-6.7423647923640665E-3</v>
      </c>
      <c r="F165" s="7">
        <v>1.7268619896332934E-2</v>
      </c>
      <c r="G165" s="7">
        <v>0</v>
      </c>
      <c r="P165" s="4"/>
      <c r="Q165" s="4"/>
      <c r="R165" s="4"/>
      <c r="S165" s="4"/>
      <c r="T165" s="4"/>
    </row>
    <row r="166" spans="1:20" x14ac:dyDescent="0.3">
      <c r="A166" s="1">
        <v>37529</v>
      </c>
      <c r="B166" s="7">
        <v>1.5236110580461478E-2</v>
      </c>
      <c r="C166" s="7">
        <v>5.6520786296386377E-3</v>
      </c>
      <c r="D166" s="7">
        <v>-2.8357383210258231E-2</v>
      </c>
      <c r="E166" s="7">
        <v>1.3325580268449946E-2</v>
      </c>
      <c r="F166" s="7">
        <v>-1.1860946653967383E-2</v>
      </c>
      <c r="G166" s="7">
        <v>0</v>
      </c>
      <c r="P166" s="4"/>
      <c r="Q166" s="4"/>
      <c r="R166" s="4"/>
      <c r="S166" s="4"/>
      <c r="T166" s="4"/>
    </row>
    <row r="167" spans="1:20" x14ac:dyDescent="0.3">
      <c r="A167" s="1">
        <v>37560</v>
      </c>
      <c r="B167" s="7">
        <v>-2.754424560601515E-3</v>
      </c>
      <c r="C167" s="7">
        <v>5.1051995899600916E-3</v>
      </c>
      <c r="D167" s="7">
        <v>-8.0758509032256582E-3</v>
      </c>
      <c r="E167" s="7">
        <v>-2.5870246342233895E-4</v>
      </c>
      <c r="F167" s="7">
        <v>2.5077153364256224E-2</v>
      </c>
      <c r="G167" s="7">
        <v>0</v>
      </c>
      <c r="P167" s="4"/>
      <c r="Q167" s="4"/>
      <c r="R167" s="4"/>
      <c r="S167" s="4"/>
      <c r="T167" s="4"/>
    </row>
    <row r="168" spans="1:20" x14ac:dyDescent="0.3">
      <c r="A168" s="1">
        <v>37589</v>
      </c>
      <c r="B168" s="7">
        <v>-4.6767286735597971E-3</v>
      </c>
      <c r="C168" s="7">
        <v>5.3823294171653803E-3</v>
      </c>
      <c r="D168" s="7">
        <v>-1.6265259808870302E-3</v>
      </c>
      <c r="E168" s="7">
        <v>-3.0117686219156498E-3</v>
      </c>
      <c r="F168" s="7">
        <v>1.3960482652419523E-2</v>
      </c>
      <c r="G168" s="7">
        <v>0</v>
      </c>
      <c r="P168" s="4"/>
      <c r="Q168" s="4"/>
      <c r="R168" s="4"/>
      <c r="S168" s="4"/>
      <c r="T168" s="4"/>
    </row>
    <row r="169" spans="1:20" x14ac:dyDescent="0.3">
      <c r="A169" s="1">
        <v>37621</v>
      </c>
      <c r="B169" s="7">
        <v>7.1398896939501841E-2</v>
      </c>
      <c r="C169" s="7">
        <v>5.6777091747831875E-2</v>
      </c>
      <c r="D169" s="7">
        <v>2.985766901960786E-2</v>
      </c>
      <c r="E169" s="7">
        <v>3.5939375026139767E-2</v>
      </c>
      <c r="F169" s="7">
        <v>3.9453479038886055E-3</v>
      </c>
      <c r="G169" s="7">
        <v>0</v>
      </c>
      <c r="P169" s="4"/>
      <c r="Q169" s="4"/>
      <c r="R169" s="4"/>
      <c r="S169" s="4"/>
      <c r="T169" s="4"/>
    </row>
    <row r="170" spans="1:20" x14ac:dyDescent="0.3">
      <c r="A170" s="1">
        <v>37652</v>
      </c>
      <c r="B170" s="7">
        <v>1.3567893903872592E-2</v>
      </c>
      <c r="C170" s="7">
        <v>2.7667229745850942E-2</v>
      </c>
      <c r="D170" s="7">
        <v>-1.0081839258175006E-2</v>
      </c>
      <c r="E170" s="7">
        <v>2.4809439476608269E-2</v>
      </c>
      <c r="F170" s="7">
        <v>4.8464002914483481E-2</v>
      </c>
      <c r="G170" s="7">
        <v>0</v>
      </c>
      <c r="P170" s="4"/>
      <c r="Q170" s="4"/>
      <c r="R170" s="4"/>
      <c r="S170" s="4"/>
      <c r="T170" s="4"/>
    </row>
    <row r="171" spans="1:20" x14ac:dyDescent="0.3">
      <c r="A171" s="1">
        <v>37680</v>
      </c>
      <c r="B171" s="7">
        <v>7.8781197695351034E-3</v>
      </c>
      <c r="C171" s="7">
        <v>4.8237490609123563E-3</v>
      </c>
      <c r="D171" s="7">
        <v>1.3927116084330464E-2</v>
      </c>
      <c r="E171" s="7">
        <v>-4.2946876369479581E-2</v>
      </c>
      <c r="F171" s="7">
        <v>3.9213442657107592E-2</v>
      </c>
      <c r="G171" s="7">
        <v>0</v>
      </c>
      <c r="P171" s="4"/>
      <c r="Q171" s="4"/>
      <c r="R171" s="4"/>
      <c r="S171" s="4"/>
      <c r="T171" s="4"/>
    </row>
    <row r="172" spans="1:20" x14ac:dyDescent="0.3">
      <c r="A172" s="1">
        <v>37711</v>
      </c>
      <c r="B172" s="7">
        <v>6.193252197422944E-5</v>
      </c>
      <c r="C172" s="7">
        <v>1.1141547773774806E-2</v>
      </c>
      <c r="D172" s="7">
        <v>-1.1259780000000925E-3</v>
      </c>
      <c r="E172" s="7">
        <v>8.5741869497752074E-3</v>
      </c>
      <c r="F172" s="7">
        <v>-3.6721562215688208E-3</v>
      </c>
      <c r="G172" s="7">
        <v>0</v>
      </c>
      <c r="P172" s="4"/>
      <c r="Q172" s="4"/>
      <c r="R172" s="4"/>
      <c r="S172" s="4"/>
      <c r="T172" s="4"/>
    </row>
    <row r="173" spans="1:20" x14ac:dyDescent="0.3">
      <c r="A173" s="1">
        <v>37741</v>
      </c>
      <c r="B173" s="7">
        <v>-3.3293454324324094E-3</v>
      </c>
      <c r="C173" s="7">
        <v>2.5815061614026157E-2</v>
      </c>
      <c r="D173" s="7">
        <v>-7.5308989964565053E-3</v>
      </c>
      <c r="E173" s="7">
        <v>1.2099608076535852E-2</v>
      </c>
      <c r="F173" s="7">
        <v>3.9684527828607111E-2</v>
      </c>
      <c r="G173" s="7">
        <v>0</v>
      </c>
      <c r="P173" s="4"/>
      <c r="Q173" s="4"/>
      <c r="R173" s="4"/>
      <c r="S173" s="4"/>
      <c r="T173" s="4"/>
    </row>
    <row r="174" spans="1:20" x14ac:dyDescent="0.3">
      <c r="A174" s="1">
        <v>37771</v>
      </c>
      <c r="B174" s="7">
        <v>4.2954265567867841E-2</v>
      </c>
      <c r="C174" s="7">
        <v>5.4798689557636039E-2</v>
      </c>
      <c r="D174" s="7">
        <v>-4.5875440152162994E-3</v>
      </c>
      <c r="E174" s="7">
        <v>2.5644239839296534E-2</v>
      </c>
      <c r="F174" s="7">
        <v>4.4702312652132349E-2</v>
      </c>
      <c r="G174" s="7">
        <v>0</v>
      </c>
      <c r="P174" s="4"/>
      <c r="Q174" s="4"/>
      <c r="R174" s="4"/>
      <c r="S174" s="4"/>
      <c r="T174" s="4"/>
    </row>
    <row r="175" spans="1:20" x14ac:dyDescent="0.3">
      <c r="A175" s="1">
        <v>37802</v>
      </c>
      <c r="B175" s="7">
        <v>-4.0304710392680965E-2</v>
      </c>
      <c r="C175" s="7">
        <v>-2.2223354694593429E-2</v>
      </c>
      <c r="D175" s="7">
        <v>-5.3087747068115395E-3</v>
      </c>
      <c r="E175" s="7">
        <v>1.305348746081505E-2</v>
      </c>
      <c r="F175" s="7">
        <v>3.4793709511161237E-2</v>
      </c>
      <c r="G175" s="7">
        <v>0</v>
      </c>
      <c r="P175" s="4"/>
      <c r="Q175" s="4"/>
      <c r="R175" s="4"/>
      <c r="S175" s="4"/>
      <c r="T175" s="4"/>
    </row>
    <row r="176" spans="1:20" x14ac:dyDescent="0.3">
      <c r="A176" s="1">
        <v>37833</v>
      </c>
      <c r="B176" s="7">
        <v>-1.5092370731369828E-2</v>
      </c>
      <c r="C176" s="7">
        <v>-2.3427480882845204E-2</v>
      </c>
      <c r="D176" s="7">
        <v>-7.3531448950646099E-3</v>
      </c>
      <c r="E176" s="7">
        <v>-2.4245453031060214E-2</v>
      </c>
      <c r="F176" s="7">
        <v>-3.3636538309727695E-2</v>
      </c>
      <c r="G176" s="7">
        <v>0</v>
      </c>
      <c r="P176" s="4"/>
      <c r="Q176" s="4"/>
      <c r="R176" s="4"/>
      <c r="S176" s="4"/>
      <c r="T176" s="4"/>
    </row>
    <row r="177" spans="1:20" x14ac:dyDescent="0.3">
      <c r="A177" s="1">
        <v>37862</v>
      </c>
      <c r="B177" s="7">
        <v>-2.1702552236842192E-2</v>
      </c>
      <c r="C177" s="7">
        <v>-2.1203107484089091E-2</v>
      </c>
      <c r="D177" s="7">
        <v>3.045207473375133E-2</v>
      </c>
      <c r="E177" s="7">
        <v>-1.862967685752491E-2</v>
      </c>
      <c r="F177" s="7">
        <v>1.113206963727918E-3</v>
      </c>
      <c r="G177" s="7">
        <v>0</v>
      </c>
      <c r="P177" s="4"/>
      <c r="Q177" s="4"/>
      <c r="R177" s="4"/>
      <c r="S177" s="4"/>
      <c r="T177" s="4"/>
    </row>
    <row r="178" spans="1:20" x14ac:dyDescent="0.3">
      <c r="A178" s="1">
        <v>37894</v>
      </c>
      <c r="B178" s="7">
        <v>6.0545511624527343E-2</v>
      </c>
      <c r="C178" s="7">
        <v>6.2191557139837129E-2</v>
      </c>
      <c r="D178" s="7">
        <v>4.7021951934089007E-2</v>
      </c>
      <c r="E178" s="7">
        <v>5.5456228544571592E-2</v>
      </c>
      <c r="F178" s="7">
        <v>5.3551262449053685E-2</v>
      </c>
      <c r="G178" s="7">
        <v>0</v>
      </c>
      <c r="P178" s="4"/>
      <c r="Q178" s="4"/>
      <c r="R178" s="4"/>
      <c r="S178" s="4"/>
      <c r="T178" s="4"/>
    </row>
    <row r="179" spans="1:20" x14ac:dyDescent="0.3">
      <c r="A179" s="1">
        <v>37925</v>
      </c>
      <c r="B179" s="7">
        <v>-1.5697293265796181E-2</v>
      </c>
      <c r="C179" s="7">
        <v>-4.6013468319910742E-3</v>
      </c>
      <c r="D179" s="7">
        <v>1.3223292161998192E-2</v>
      </c>
      <c r="E179" s="7">
        <v>2.2642635941754502E-2</v>
      </c>
      <c r="F179" s="7">
        <v>4.5323923549439676E-2</v>
      </c>
      <c r="G179" s="7">
        <v>0</v>
      </c>
      <c r="P179" s="4"/>
      <c r="Q179" s="4"/>
      <c r="R179" s="4"/>
      <c r="S179" s="4"/>
      <c r="T179" s="4"/>
    </row>
    <row r="180" spans="1:20" x14ac:dyDescent="0.3">
      <c r="A180" s="1">
        <v>37953</v>
      </c>
      <c r="B180" s="7">
        <v>3.6454768447241402E-2</v>
      </c>
      <c r="C180" s="7">
        <v>3.5645867128948877E-2</v>
      </c>
      <c r="D180" s="7">
        <v>1.9370772963940468E-3</v>
      </c>
      <c r="E180" s="7">
        <v>1.7845691945354757E-2</v>
      </c>
      <c r="F180" s="7">
        <v>2.5349911451557426E-2</v>
      </c>
      <c r="G180" s="7">
        <v>0</v>
      </c>
      <c r="P180" s="4"/>
      <c r="Q180" s="4"/>
      <c r="R180" s="4"/>
      <c r="S180" s="4"/>
      <c r="T180" s="4"/>
    </row>
    <row r="181" spans="1:20" x14ac:dyDescent="0.3">
      <c r="A181" s="1">
        <v>37986</v>
      </c>
      <c r="B181" s="7">
        <v>4.0823454889103931E-2</v>
      </c>
      <c r="C181" s="7">
        <v>5.0869773080546146E-2</v>
      </c>
      <c r="D181" s="7">
        <v>2.1302603354856415E-2</v>
      </c>
      <c r="E181" s="7">
        <v>3.92618435869607E-2</v>
      </c>
      <c r="F181" s="7">
        <v>4.1912019397298231E-2</v>
      </c>
      <c r="G181" s="7">
        <v>0</v>
      </c>
      <c r="P181" s="4"/>
      <c r="Q181" s="4"/>
      <c r="R181" s="4"/>
      <c r="S181" s="4"/>
      <c r="T181" s="4"/>
    </row>
    <row r="182" spans="1:20" x14ac:dyDescent="0.3">
      <c r="A182" s="1">
        <v>38016</v>
      </c>
      <c r="B182" s="7">
        <v>-1.4496445468583584E-2</v>
      </c>
      <c r="C182" s="7">
        <v>-8.4328502906838663E-3</v>
      </c>
      <c r="D182" s="7">
        <v>1.3399031519449005E-2</v>
      </c>
      <c r="E182" s="7">
        <v>2.3686573866187704E-2</v>
      </c>
      <c r="F182" s="7">
        <v>1.9949202739261696E-2</v>
      </c>
      <c r="G182" s="7">
        <v>0</v>
      </c>
      <c r="P182" s="4"/>
      <c r="Q182" s="4"/>
      <c r="R182" s="4"/>
      <c r="S182" s="4"/>
      <c r="T182" s="4"/>
    </row>
    <row r="183" spans="1:20" x14ac:dyDescent="0.3">
      <c r="A183" s="1">
        <v>38044</v>
      </c>
      <c r="B183" s="7">
        <v>-5.3464573993464541E-3</v>
      </c>
      <c r="C183" s="7">
        <v>2.031654671642832E-3</v>
      </c>
      <c r="D183" s="7">
        <v>-3.2140511368565668E-2</v>
      </c>
      <c r="E183" s="7">
        <v>2.6879681686533784E-2</v>
      </c>
      <c r="F183" s="7">
        <v>1.6172347452674807E-2</v>
      </c>
      <c r="G183" s="7">
        <v>0</v>
      </c>
      <c r="P183" s="4"/>
      <c r="Q183" s="4"/>
      <c r="R183" s="4"/>
      <c r="S183" s="4"/>
      <c r="T183" s="4"/>
    </row>
    <row r="184" spans="1:20" x14ac:dyDescent="0.3">
      <c r="A184" s="1">
        <v>38077</v>
      </c>
      <c r="B184" s="7">
        <v>-3.4253804065143604E-3</v>
      </c>
      <c r="C184" s="7">
        <v>-1.3326027010961115E-2</v>
      </c>
      <c r="D184" s="7">
        <v>4.5493305396072201E-2</v>
      </c>
      <c r="E184" s="7">
        <v>-9.2304389825050345E-3</v>
      </c>
      <c r="F184" s="7">
        <v>-5.3339421360674164E-3</v>
      </c>
      <c r="G184" s="7">
        <v>0</v>
      </c>
      <c r="P184" s="4"/>
      <c r="Q184" s="4"/>
      <c r="R184" s="4"/>
      <c r="S184" s="4"/>
      <c r="T184" s="4"/>
    </row>
    <row r="185" spans="1:20" x14ac:dyDescent="0.3">
      <c r="A185" s="1">
        <v>38107</v>
      </c>
      <c r="B185" s="7">
        <v>-2.3755748683544485E-2</v>
      </c>
      <c r="C185" s="7">
        <v>-2.6496680093644885E-2</v>
      </c>
      <c r="D185" s="7">
        <v>-5.7398114688979263E-2</v>
      </c>
      <c r="E185" s="7">
        <v>-3.4362908152874877E-2</v>
      </c>
      <c r="F185" s="7">
        <v>-5.6649462877906412E-2</v>
      </c>
      <c r="G185" s="7">
        <v>0</v>
      </c>
      <c r="P185" s="4"/>
      <c r="Q185" s="4"/>
      <c r="R185" s="4"/>
      <c r="S185" s="4"/>
      <c r="T185" s="4"/>
    </row>
    <row r="186" spans="1:20" x14ac:dyDescent="0.3">
      <c r="A186" s="1">
        <v>38138</v>
      </c>
      <c r="B186" s="7">
        <v>3.2274239577092273E-2</v>
      </c>
      <c r="C186" s="7">
        <v>1.822665818979902E-2</v>
      </c>
      <c r="D186" s="7">
        <v>8.3210887788596911E-3</v>
      </c>
      <c r="E186" s="7">
        <v>3.3475281310809672E-2</v>
      </c>
      <c r="F186" s="7">
        <v>-3.8941721123794851E-3</v>
      </c>
      <c r="G186" s="7">
        <v>0</v>
      </c>
      <c r="P186" s="4"/>
      <c r="Q186" s="4"/>
      <c r="R186" s="4"/>
      <c r="S186" s="4"/>
      <c r="T186" s="4"/>
    </row>
    <row r="187" spans="1:20" x14ac:dyDescent="0.3">
      <c r="A187" s="1">
        <v>38168</v>
      </c>
      <c r="B187" s="7">
        <v>3.891727235043347E-3</v>
      </c>
      <c r="C187" s="7">
        <v>1.8114722194393553E-3</v>
      </c>
      <c r="D187" s="7">
        <v>5.6603806786817935E-3</v>
      </c>
      <c r="E187" s="7">
        <v>-3.610843367558876E-3</v>
      </c>
      <c r="F187" s="7">
        <v>-1.8726013653361687E-2</v>
      </c>
      <c r="G187" s="7">
        <v>0</v>
      </c>
      <c r="P187" s="4"/>
      <c r="Q187" s="4"/>
      <c r="R187" s="4"/>
      <c r="S187" s="4"/>
      <c r="T187" s="4"/>
    </row>
    <row r="188" spans="1:20" x14ac:dyDescent="0.3">
      <c r="A188" s="1">
        <v>38198</v>
      </c>
      <c r="B188" s="7">
        <v>-2.6644845029213611E-2</v>
      </c>
      <c r="C188" s="7">
        <v>-1.421308056156795E-2</v>
      </c>
      <c r="D188" s="7">
        <v>-2.4341997810659235E-2</v>
      </c>
      <c r="E188" s="7">
        <v>2.4749271100089842E-3</v>
      </c>
      <c r="F188" s="7">
        <v>8.460042623115482E-3</v>
      </c>
      <c r="G188" s="7">
        <v>0</v>
      </c>
      <c r="P188" s="4"/>
      <c r="Q188" s="4"/>
      <c r="R188" s="4"/>
      <c r="S188" s="4"/>
      <c r="T188" s="4"/>
    </row>
    <row r="189" spans="1:20" x14ac:dyDescent="0.3">
      <c r="A189" s="1">
        <v>38230</v>
      </c>
      <c r="B189" s="7">
        <v>1.123889156234781E-2</v>
      </c>
      <c r="C189" s="7">
        <v>1.4155557127932719E-2</v>
      </c>
      <c r="D189" s="7">
        <v>1.8608261371339512E-2</v>
      </c>
      <c r="E189" s="7">
        <v>-6.8764877016662517E-3</v>
      </c>
      <c r="F189" s="7">
        <v>5.7672367252151607E-3</v>
      </c>
      <c r="G189" s="7">
        <v>0</v>
      </c>
      <c r="P189" s="4"/>
      <c r="Q189" s="4"/>
      <c r="R189" s="4"/>
      <c r="S189" s="4"/>
      <c r="T189" s="4"/>
    </row>
    <row r="190" spans="1:20" x14ac:dyDescent="0.3">
      <c r="A190" s="1">
        <v>38260</v>
      </c>
      <c r="B190" s="7">
        <v>1.5107072591035674E-2</v>
      </c>
      <c r="C190" s="7">
        <v>2.1171489640890308E-2</v>
      </c>
      <c r="D190" s="7">
        <v>-9.419717514410347E-3</v>
      </c>
      <c r="E190" s="7">
        <v>8.1004094712480695E-3</v>
      </c>
      <c r="F190" s="7">
        <v>3.6823845381168487E-2</v>
      </c>
      <c r="G190" s="7">
        <v>0</v>
      </c>
      <c r="P190" s="4"/>
      <c r="Q190" s="4"/>
      <c r="R190" s="4"/>
      <c r="S190" s="4"/>
      <c r="T190" s="4"/>
    </row>
    <row r="191" spans="1:20" x14ac:dyDescent="0.3">
      <c r="A191" s="1">
        <v>38289</v>
      </c>
      <c r="B191" s="7">
        <v>4.1888696782207774E-2</v>
      </c>
      <c r="C191" s="7">
        <v>2.9344936721587129E-2</v>
      </c>
      <c r="D191" s="7">
        <v>3.8543418326928501E-2</v>
      </c>
      <c r="E191" s="7">
        <v>1.6484048453531134E-2</v>
      </c>
      <c r="F191" s="7">
        <v>3.1534579977698762E-2</v>
      </c>
      <c r="G191" s="7">
        <v>0</v>
      </c>
      <c r="P191" s="4"/>
      <c r="Q191" s="4"/>
      <c r="R191" s="4"/>
      <c r="S191" s="4"/>
      <c r="T191" s="4"/>
    </row>
    <row r="192" spans="1:20" x14ac:dyDescent="0.3">
      <c r="A192" s="1">
        <v>38321</v>
      </c>
      <c r="B192" s="7">
        <v>4.5521624881017866E-2</v>
      </c>
      <c r="C192" s="7">
        <v>3.7683728003238416E-2</v>
      </c>
      <c r="D192" s="7">
        <v>2.4844587507109498E-2</v>
      </c>
      <c r="E192" s="7">
        <v>4.1669507914124403E-2</v>
      </c>
      <c r="F192" s="7">
        <v>3.5585610330934672E-2</v>
      </c>
      <c r="G192" s="7">
        <v>0</v>
      </c>
      <c r="P192" s="4"/>
      <c r="Q192" s="4"/>
      <c r="R192" s="4"/>
      <c r="S192" s="4"/>
      <c r="T192" s="4"/>
    </row>
    <row r="193" spans="1:20" x14ac:dyDescent="0.3">
      <c r="A193" s="1">
        <v>38352</v>
      </c>
      <c r="B193" s="7">
        <v>6.6517025222544824E-5</v>
      </c>
      <c r="C193" s="7">
        <v>2.0595641121405113E-2</v>
      </c>
      <c r="D193" s="7">
        <v>2.1052028688858006E-3</v>
      </c>
      <c r="E193" s="7">
        <v>6.7283166612433377E-3</v>
      </c>
      <c r="F193" s="7">
        <v>1.2278892369962373E-2</v>
      </c>
      <c r="G193" s="7">
        <v>0</v>
      </c>
      <c r="P193" s="4"/>
      <c r="Q193" s="4"/>
      <c r="R193" s="4"/>
      <c r="S193" s="4"/>
      <c r="T193" s="4"/>
    </row>
    <row r="194" spans="1:20" x14ac:dyDescent="0.3">
      <c r="A194" s="1">
        <v>38383</v>
      </c>
      <c r="B194" s="7">
        <v>-4.2886118481481529E-2</v>
      </c>
      <c r="C194" s="7">
        <v>-3.8197692087536504E-2</v>
      </c>
      <c r="D194" s="7">
        <v>-1.2411408979967203E-2</v>
      </c>
      <c r="E194" s="7">
        <v>-1.626411289269232E-2</v>
      </c>
      <c r="F194" s="7">
        <v>-3.2253504838025884E-3</v>
      </c>
      <c r="G194" s="7">
        <v>0</v>
      </c>
      <c r="P194" s="4"/>
      <c r="Q194" s="4"/>
      <c r="R194" s="4"/>
      <c r="S194" s="4"/>
      <c r="T194" s="4"/>
    </row>
    <row r="195" spans="1:20" x14ac:dyDescent="0.3">
      <c r="A195" s="1">
        <v>38411</v>
      </c>
      <c r="B195" s="7">
        <v>2.0512196539056001E-2</v>
      </c>
      <c r="C195" s="7">
        <v>1.4136423888785291E-2</v>
      </c>
      <c r="D195" s="7">
        <v>-1.0887365434176699E-2</v>
      </c>
      <c r="E195" s="7">
        <v>2.2007392543192367E-2</v>
      </c>
      <c r="F195" s="7">
        <v>2.2944550669216059E-2</v>
      </c>
      <c r="G195" s="7">
        <v>0</v>
      </c>
      <c r="P195" s="4"/>
      <c r="Q195" s="4"/>
      <c r="R195" s="4"/>
      <c r="S195" s="4"/>
      <c r="T195" s="4"/>
    </row>
    <row r="196" spans="1:20" x14ac:dyDescent="0.3">
      <c r="A196" s="1">
        <v>38442</v>
      </c>
      <c r="B196" s="7">
        <v>-2.9409044416938149E-2</v>
      </c>
      <c r="C196" s="7">
        <v>-2.0481931352133807E-2</v>
      </c>
      <c r="D196" s="7">
        <v>-2.5931604242184703E-2</v>
      </c>
      <c r="E196" s="7">
        <v>-1.4127107463013499E-2</v>
      </c>
      <c r="F196" s="7">
        <v>-2.1289795711653885E-2</v>
      </c>
      <c r="G196" s="7">
        <v>0</v>
      </c>
      <c r="P196" s="4"/>
      <c r="Q196" s="4"/>
      <c r="R196" s="4"/>
      <c r="S196" s="4"/>
      <c r="T196" s="4"/>
    </row>
    <row r="197" spans="1:20" x14ac:dyDescent="0.3">
      <c r="A197" s="1">
        <v>38471</v>
      </c>
      <c r="B197" s="7">
        <v>-6.8025736539844824E-4</v>
      </c>
      <c r="C197" s="7">
        <v>-7.6371774127027437E-3</v>
      </c>
      <c r="D197" s="7">
        <v>2.0139855967748855E-2</v>
      </c>
      <c r="E197" s="7">
        <v>1.1303520859989393E-2</v>
      </c>
      <c r="F197" s="7">
        <v>1.3146394661562656E-2</v>
      </c>
      <c r="G197" s="7">
        <v>0</v>
      </c>
      <c r="P197" s="4"/>
      <c r="Q197" s="4"/>
      <c r="R197" s="4"/>
      <c r="S197" s="4"/>
      <c r="T197" s="4"/>
    </row>
    <row r="198" spans="1:20" x14ac:dyDescent="0.3">
      <c r="A198" s="1">
        <v>38503</v>
      </c>
      <c r="B198" s="7">
        <v>-4.4513203953161183E-2</v>
      </c>
      <c r="C198" s="7">
        <v>-4.4983719549347961E-2</v>
      </c>
      <c r="D198" s="7">
        <v>-3.7642553376636981E-2</v>
      </c>
      <c r="E198" s="7">
        <v>-4.6554641690606517E-2</v>
      </c>
      <c r="F198" s="7">
        <v>-3.0443733285447614E-2</v>
      </c>
      <c r="G198" s="7">
        <v>0</v>
      </c>
      <c r="P198" s="4"/>
      <c r="Q198" s="4"/>
      <c r="R198" s="4"/>
      <c r="S198" s="4"/>
      <c r="T198" s="4"/>
    </row>
    <row r="199" spans="1:20" x14ac:dyDescent="0.3">
      <c r="A199" s="1">
        <v>38533</v>
      </c>
      <c r="B199" s="7">
        <v>-2.7958256727749365E-2</v>
      </c>
      <c r="C199" s="7">
        <v>-1.6836711908309505E-2</v>
      </c>
      <c r="D199" s="7">
        <v>-2.3951962936481924E-2</v>
      </c>
      <c r="E199" s="7">
        <v>-1.2604926227836629E-2</v>
      </c>
      <c r="F199" s="7">
        <v>1.0994314565743093E-2</v>
      </c>
      <c r="G199" s="7">
        <v>0</v>
      </c>
      <c r="P199" s="4"/>
      <c r="Q199" s="4"/>
      <c r="R199" s="4"/>
      <c r="S199" s="4"/>
      <c r="T199" s="4"/>
    </row>
    <row r="200" spans="1:20" x14ac:dyDescent="0.3">
      <c r="A200" s="1">
        <v>38562</v>
      </c>
      <c r="B200" s="7">
        <v>-8.4890063685290652E-3</v>
      </c>
      <c r="C200" s="7">
        <v>2.037864680833975E-4</v>
      </c>
      <c r="D200" s="7">
        <v>-1.6884685324902886E-2</v>
      </c>
      <c r="E200" s="7">
        <v>-1.760641106960141E-2</v>
      </c>
      <c r="F200" s="7">
        <v>-5.8471848104591738E-3</v>
      </c>
      <c r="G200" s="7">
        <v>0</v>
      </c>
      <c r="P200" s="4"/>
      <c r="Q200" s="4"/>
      <c r="R200" s="4"/>
      <c r="S200" s="4"/>
      <c r="T200" s="4"/>
    </row>
    <row r="201" spans="1:20" x14ac:dyDescent="0.3">
      <c r="A201" s="1">
        <v>38595</v>
      </c>
      <c r="B201" s="7">
        <v>2.6410592416956934E-2</v>
      </c>
      <c r="C201" s="7">
        <v>1.717732879313788E-2</v>
      </c>
      <c r="D201" s="7">
        <v>1.4154747022142389E-2</v>
      </c>
      <c r="E201" s="7">
        <v>2.719349738290839E-2</v>
      </c>
      <c r="F201" s="7">
        <v>1.6817338543602221E-4</v>
      </c>
      <c r="G201" s="7">
        <v>0</v>
      </c>
      <c r="P201" s="4"/>
      <c r="Q201" s="4"/>
      <c r="R201" s="4"/>
      <c r="S201" s="4"/>
      <c r="T201" s="4"/>
    </row>
    <row r="202" spans="1:20" x14ac:dyDescent="0.3">
      <c r="A202" s="1">
        <v>38625</v>
      </c>
      <c r="B202" s="7">
        <v>-3.4152382584438028E-2</v>
      </c>
      <c r="C202" s="7">
        <v>-2.7224134807030363E-2</v>
      </c>
      <c r="D202" s="7">
        <v>-2.8389464120296564E-2</v>
      </c>
      <c r="E202" s="7">
        <v>-2.139095273356572E-2</v>
      </c>
      <c r="F202" s="7">
        <v>1.0513584909663861E-2</v>
      </c>
      <c r="G202" s="7">
        <v>0</v>
      </c>
      <c r="P202" s="4"/>
      <c r="Q202" s="4"/>
      <c r="R202" s="4"/>
      <c r="S202" s="4"/>
      <c r="T202" s="4"/>
    </row>
    <row r="203" spans="1:20" x14ac:dyDescent="0.3">
      <c r="A203" s="1">
        <v>38656</v>
      </c>
      <c r="B203" s="7">
        <v>1.59264133540386E-3</v>
      </c>
      <c r="C203" s="7">
        <v>-4.3009681329810702E-3</v>
      </c>
      <c r="D203" s="7">
        <v>-2.8286457431184912E-2</v>
      </c>
      <c r="E203" s="7">
        <v>3.7996937560255931E-3</v>
      </c>
      <c r="F203" s="7">
        <v>-1.6602876850605765E-2</v>
      </c>
      <c r="G203" s="7">
        <v>0</v>
      </c>
      <c r="P203" s="4"/>
      <c r="Q203" s="4"/>
      <c r="R203" s="4"/>
      <c r="S203" s="4"/>
      <c r="T203" s="4"/>
    </row>
    <row r="204" spans="1:20" x14ac:dyDescent="0.3">
      <c r="A204" s="1">
        <v>38686</v>
      </c>
      <c r="B204" s="7">
        <v>-2.3072472262724002E-2</v>
      </c>
      <c r="C204" s="7">
        <v>-1.8598180560284769E-2</v>
      </c>
      <c r="D204" s="7">
        <v>-3.1683856253800373E-2</v>
      </c>
      <c r="E204" s="7">
        <v>-2.2654764225988083E-2</v>
      </c>
      <c r="F204" s="7">
        <v>-1.2384008650338419E-2</v>
      </c>
      <c r="G204" s="7">
        <v>0</v>
      </c>
      <c r="P204" s="4"/>
      <c r="Q204" s="4"/>
      <c r="R204" s="4"/>
      <c r="S204" s="4"/>
      <c r="T204" s="4"/>
    </row>
    <row r="205" spans="1:20" x14ac:dyDescent="0.3">
      <c r="A205" s="1">
        <v>38716</v>
      </c>
      <c r="B205" s="7">
        <v>-1.3551546831513126E-3</v>
      </c>
      <c r="C205" s="7">
        <v>3.4705225770281E-3</v>
      </c>
      <c r="D205" s="7">
        <v>1.361044376686237E-2</v>
      </c>
      <c r="E205" s="7">
        <v>-3.4471589857486382E-3</v>
      </c>
      <c r="F205" s="7">
        <v>-5.9887549764993213E-3</v>
      </c>
      <c r="G205" s="7">
        <v>0</v>
      </c>
      <c r="P205" s="4"/>
      <c r="Q205" s="4"/>
      <c r="R205" s="4"/>
      <c r="S205" s="4"/>
      <c r="T205" s="4"/>
    </row>
    <row r="206" spans="1:20" x14ac:dyDescent="0.3">
      <c r="A206" s="1">
        <v>38748</v>
      </c>
      <c r="B206" s="7">
        <v>2.4445171772392929E-2</v>
      </c>
      <c r="C206" s="7">
        <v>2.4211704121112333E-2</v>
      </c>
      <c r="D206" s="7">
        <v>8.4330449870502087E-4</v>
      </c>
      <c r="E206" s="7">
        <v>3.2822426868591333E-2</v>
      </c>
      <c r="F206" s="7">
        <v>3.5742826504197196E-2</v>
      </c>
      <c r="G206" s="7">
        <v>0</v>
      </c>
      <c r="P206" s="4"/>
      <c r="Q206" s="4"/>
      <c r="R206" s="4"/>
      <c r="S206" s="4"/>
      <c r="T206" s="4"/>
    </row>
    <row r="207" spans="1:20" x14ac:dyDescent="0.3">
      <c r="A207" s="1">
        <v>38776</v>
      </c>
      <c r="B207" s="7">
        <v>-2.8578033985623051E-2</v>
      </c>
      <c r="C207" s="7">
        <v>-2.0983041103765598E-2</v>
      </c>
      <c r="D207" s="7">
        <v>8.7522333713851604E-3</v>
      </c>
      <c r="E207" s="7">
        <v>-1.4500377092978484E-2</v>
      </c>
      <c r="F207" s="7">
        <v>-2.0235444431392042E-2</v>
      </c>
      <c r="G207" s="7">
        <v>0</v>
      </c>
      <c r="P207" s="4"/>
      <c r="Q207" s="4"/>
      <c r="R207" s="4"/>
      <c r="S207" s="4"/>
      <c r="T207" s="4"/>
    </row>
    <row r="208" spans="1:20" x14ac:dyDescent="0.3">
      <c r="A208" s="1">
        <v>38807</v>
      </c>
      <c r="B208" s="7">
        <v>2.6826277213696154E-3</v>
      </c>
      <c r="C208" s="7">
        <v>1.4691167296766726E-2</v>
      </c>
      <c r="D208" s="7">
        <v>-2.1115589655145262E-2</v>
      </c>
      <c r="E208" s="7">
        <v>-9.4860582824971822E-3</v>
      </c>
      <c r="F208" s="7">
        <v>-3.403590986671972E-2</v>
      </c>
      <c r="G208" s="7">
        <v>0</v>
      </c>
      <c r="P208" s="4"/>
      <c r="Q208" s="4"/>
      <c r="R208" s="4"/>
      <c r="S208" s="4"/>
      <c r="T208" s="4"/>
    </row>
    <row r="209" spans="1:20" x14ac:dyDescent="0.3">
      <c r="A209" s="1">
        <v>38835</v>
      </c>
      <c r="B209" s="7">
        <v>4.9583664908450537E-2</v>
      </c>
      <c r="C209" s="7">
        <v>4.0785444984172109E-2</v>
      </c>
      <c r="D209" s="7">
        <v>2.9874443591379148E-2</v>
      </c>
      <c r="E209" s="7">
        <v>5.0759166160248941E-2</v>
      </c>
      <c r="F209" s="7">
        <v>6.074866847833682E-2</v>
      </c>
      <c r="G209" s="7">
        <v>0</v>
      </c>
      <c r="P209" s="4"/>
      <c r="Q209" s="4"/>
      <c r="R209" s="4"/>
      <c r="S209" s="4"/>
      <c r="T209" s="4"/>
    </row>
    <row r="210" spans="1:20" x14ac:dyDescent="0.3">
      <c r="A210" s="1">
        <v>38868</v>
      </c>
      <c r="B210" s="7">
        <v>1.2386713892233227E-2</v>
      </c>
      <c r="C210" s="7">
        <v>1.1660552740999829E-2</v>
      </c>
      <c r="D210" s="7">
        <v>6.375913445537334E-3</v>
      </c>
      <c r="E210" s="7">
        <v>2.3597261721305267E-2</v>
      </c>
      <c r="F210" s="7">
        <v>-9.2202318229717018E-3</v>
      </c>
      <c r="G210" s="7">
        <v>0</v>
      </c>
      <c r="P210" s="4"/>
      <c r="Q210" s="4"/>
      <c r="R210" s="4"/>
      <c r="S210" s="4"/>
      <c r="T210" s="4"/>
    </row>
    <row r="211" spans="1:20" x14ac:dyDescent="0.3">
      <c r="A211" s="1">
        <v>38898</v>
      </c>
      <c r="B211" s="7">
        <v>-6.6670535118264389E-3</v>
      </c>
      <c r="C211" s="7">
        <v>-3.4646179688005889E-3</v>
      </c>
      <c r="D211" s="7">
        <v>-1.9870625232304696E-2</v>
      </c>
      <c r="E211" s="7">
        <v>-1.1947718707401103E-2</v>
      </c>
      <c r="F211" s="7">
        <v>-1.2885298628467906E-2</v>
      </c>
      <c r="G211" s="7">
        <v>0</v>
      </c>
      <c r="P211" s="4"/>
      <c r="Q211" s="4"/>
      <c r="R211" s="4"/>
      <c r="S211" s="4"/>
      <c r="T211" s="4"/>
    </row>
    <row r="212" spans="1:20" x14ac:dyDescent="0.3">
      <c r="A212" s="1">
        <v>38929</v>
      </c>
      <c r="B212" s="7">
        <v>-9.913385050697195E-3</v>
      </c>
      <c r="C212" s="7">
        <v>-4.0922160527821477E-3</v>
      </c>
      <c r="D212" s="7">
        <v>-6.8341298034100906E-3</v>
      </c>
      <c r="E212" s="7">
        <v>9.8050082046317859E-3</v>
      </c>
      <c r="F212" s="7">
        <v>3.3360071721794955E-2</v>
      </c>
      <c r="G212" s="7">
        <v>0</v>
      </c>
      <c r="P212" s="4"/>
      <c r="Q212" s="4"/>
      <c r="R212" s="4"/>
      <c r="S212" s="4"/>
      <c r="T212" s="4"/>
    </row>
    <row r="213" spans="1:20" x14ac:dyDescent="0.3">
      <c r="A213" s="1">
        <v>38960</v>
      </c>
      <c r="B213" s="7">
        <v>-3.0171570817533813E-3</v>
      </c>
      <c r="C213" s="7">
        <v>1.3637553680772671E-3</v>
      </c>
      <c r="D213" s="7">
        <v>-2.7792967014678979E-2</v>
      </c>
      <c r="E213" s="7">
        <v>1.9071134878320944E-2</v>
      </c>
      <c r="F213" s="7">
        <v>-2.9527636144331339E-3</v>
      </c>
      <c r="G213" s="7">
        <v>0</v>
      </c>
      <c r="P213" s="4"/>
      <c r="Q213" s="4"/>
      <c r="R213" s="4"/>
      <c r="S213" s="4"/>
      <c r="T213" s="4"/>
    </row>
    <row r="214" spans="1:20" x14ac:dyDescent="0.3">
      <c r="A214" s="1">
        <v>38989</v>
      </c>
      <c r="B214" s="7">
        <v>-1.9191971942365039E-2</v>
      </c>
      <c r="C214" s="7">
        <v>-1.268075015697084E-2</v>
      </c>
      <c r="D214" s="7">
        <v>-1.0674998419065407E-2</v>
      </c>
      <c r="E214" s="7">
        <v>-1.7528723417096086E-2</v>
      </c>
      <c r="F214" s="7">
        <v>-2.2610563823097951E-2</v>
      </c>
      <c r="G214" s="7">
        <v>0</v>
      </c>
      <c r="P214" s="4"/>
      <c r="Q214" s="4"/>
      <c r="R214" s="4"/>
      <c r="S214" s="4"/>
      <c r="T214" s="4"/>
    </row>
    <row r="215" spans="1:20" x14ac:dyDescent="0.3">
      <c r="A215" s="1">
        <v>39021</v>
      </c>
      <c r="B215" s="7">
        <v>2.041355781890887E-3</v>
      </c>
      <c r="C215" s="7">
        <v>5.1929455335389995E-3</v>
      </c>
      <c r="D215" s="7">
        <v>5.5835818859607204E-3</v>
      </c>
      <c r="E215" s="7">
        <v>1.843966329660706E-2</v>
      </c>
      <c r="F215" s="7">
        <v>3.7828848101180985E-2</v>
      </c>
      <c r="G215" s="7">
        <v>0</v>
      </c>
      <c r="P215" s="4"/>
      <c r="Q215" s="4"/>
      <c r="R215" s="4"/>
      <c r="S215" s="4"/>
      <c r="T215" s="4"/>
    </row>
    <row r="216" spans="1:20" x14ac:dyDescent="0.3">
      <c r="A216" s="1">
        <v>39051</v>
      </c>
      <c r="B216" s="7">
        <v>3.5398570857285247E-2</v>
      </c>
      <c r="C216" s="7">
        <v>3.5826842793212431E-2</v>
      </c>
      <c r="D216" s="7">
        <v>5.6359456001287955E-3</v>
      </c>
      <c r="E216" s="7">
        <v>3.0385874504566722E-2</v>
      </c>
      <c r="F216" s="7">
        <v>2.0301266290999855E-2</v>
      </c>
      <c r="G216" s="7">
        <v>0</v>
      </c>
      <c r="P216" s="4"/>
      <c r="Q216" s="4"/>
      <c r="R216" s="4"/>
      <c r="S216" s="4"/>
      <c r="T216" s="4"/>
    </row>
    <row r="217" spans="1:20" x14ac:dyDescent="0.3">
      <c r="A217" s="1">
        <v>39080</v>
      </c>
      <c r="B217" s="7">
        <v>-2.1101142000958382E-2</v>
      </c>
      <c r="C217" s="7">
        <v>-4.8847138166972937E-3</v>
      </c>
      <c r="D217" s="7">
        <v>-3.1440261852287162E-2</v>
      </c>
      <c r="E217" s="7">
        <v>-3.7869117089112153E-3</v>
      </c>
      <c r="F217" s="7">
        <v>2.7655077751355536E-4</v>
      </c>
      <c r="G217" s="7">
        <v>0</v>
      </c>
      <c r="P217" s="4"/>
      <c r="Q217" s="4"/>
      <c r="R217" s="4"/>
      <c r="S217" s="4"/>
      <c r="T217" s="4"/>
    </row>
    <row r="218" spans="1:20" x14ac:dyDescent="0.3">
      <c r="A218" s="1">
        <v>39113</v>
      </c>
      <c r="B218" s="7">
        <v>-2.2103053437286507E-2</v>
      </c>
      <c r="C218" s="7">
        <v>-1.4013536885971595E-2</v>
      </c>
      <c r="D218" s="7">
        <v>-1.7668319910048715E-2</v>
      </c>
      <c r="E218" s="7">
        <v>3.2115017905194163E-3</v>
      </c>
      <c r="F218" s="7">
        <v>-1.3861034246401375E-2</v>
      </c>
      <c r="G218" s="7">
        <v>0</v>
      </c>
      <c r="P218" s="4"/>
      <c r="Q218" s="4"/>
      <c r="R218" s="4"/>
      <c r="S218" s="4"/>
      <c r="T218" s="4"/>
    </row>
    <row r="219" spans="1:20" x14ac:dyDescent="0.3">
      <c r="A219" s="1">
        <v>39141</v>
      </c>
      <c r="B219" s="7">
        <v>1.7488168173674972E-2</v>
      </c>
      <c r="C219" s="7">
        <v>1.3782506906580231E-2</v>
      </c>
      <c r="D219" s="7">
        <v>1.4238405052504472E-2</v>
      </c>
      <c r="E219" s="7">
        <v>-7.93707325511588E-4</v>
      </c>
      <c r="F219" s="7">
        <v>1.4894304921702803E-2</v>
      </c>
      <c r="G219" s="7">
        <v>0</v>
      </c>
      <c r="P219" s="4"/>
      <c r="Q219" s="4"/>
      <c r="R219" s="4"/>
      <c r="S219" s="4"/>
      <c r="T219" s="4"/>
    </row>
    <row r="220" spans="1:20" x14ac:dyDescent="0.3">
      <c r="A220" s="1">
        <v>39171</v>
      </c>
      <c r="B220" s="7">
        <v>6.7957311592884665E-4</v>
      </c>
      <c r="C220" s="7">
        <v>8.1069798235171523E-3</v>
      </c>
      <c r="D220" s="7">
        <v>2.2013605672791614E-3</v>
      </c>
      <c r="E220" s="7">
        <v>2.0154370870975901E-3</v>
      </c>
      <c r="F220" s="7">
        <v>2.7100150521107879E-2</v>
      </c>
      <c r="G220" s="7">
        <v>0</v>
      </c>
      <c r="P220" s="4"/>
      <c r="Q220" s="4"/>
      <c r="R220" s="4"/>
      <c r="S220" s="4"/>
      <c r="T220" s="4"/>
    </row>
    <row r="221" spans="1:20" x14ac:dyDescent="0.3">
      <c r="A221" s="1">
        <v>39202</v>
      </c>
      <c r="B221" s="7">
        <v>4.2142764758722048E-3</v>
      </c>
      <c r="C221" s="7">
        <v>2.0788238796235842E-2</v>
      </c>
      <c r="D221" s="7">
        <v>-1.8575628292730052E-2</v>
      </c>
      <c r="E221" s="7">
        <v>1.616874652192813E-2</v>
      </c>
      <c r="F221" s="7">
        <v>2.7476104775084033E-2</v>
      </c>
      <c r="G221" s="7">
        <v>0</v>
      </c>
      <c r="P221" s="4"/>
      <c r="Q221" s="4"/>
      <c r="R221" s="4"/>
      <c r="S221" s="4"/>
      <c r="T221" s="4"/>
    </row>
    <row r="222" spans="1:20" x14ac:dyDescent="0.3">
      <c r="A222" s="1">
        <v>39233</v>
      </c>
      <c r="B222" s="7">
        <v>-1.7449024236134196E-2</v>
      </c>
      <c r="C222" s="7">
        <v>-1.5561634052069208E-2</v>
      </c>
      <c r="D222" s="7">
        <v>-2.2229860451948438E-2</v>
      </c>
      <c r="E222" s="7">
        <v>-9.7014048154382398E-3</v>
      </c>
      <c r="F222" s="7">
        <v>-1.8145538066444966E-3</v>
      </c>
      <c r="G222" s="7">
        <v>0</v>
      </c>
      <c r="P222" s="4"/>
      <c r="Q222" s="4"/>
      <c r="R222" s="4"/>
      <c r="S222" s="4"/>
      <c r="T222" s="4"/>
    </row>
    <row r="223" spans="1:20" x14ac:dyDescent="0.3">
      <c r="A223" s="1">
        <v>39262</v>
      </c>
      <c r="B223" s="7">
        <v>5.1177387964707153E-4</v>
      </c>
      <c r="C223" s="7">
        <v>5.4284672654737066E-3</v>
      </c>
      <c r="D223" s="7">
        <v>-1.5656131353012775E-2</v>
      </c>
      <c r="E223" s="7">
        <v>1.48163079924805E-2</v>
      </c>
      <c r="F223" s="7">
        <v>2.6774219674560788E-2</v>
      </c>
      <c r="G223" s="7">
        <v>0</v>
      </c>
      <c r="P223" s="4"/>
      <c r="Q223" s="4"/>
      <c r="R223" s="4"/>
      <c r="S223" s="4"/>
      <c r="T223" s="4"/>
    </row>
    <row r="224" spans="1:20" x14ac:dyDescent="0.3">
      <c r="A224" s="1">
        <v>39294</v>
      </c>
      <c r="B224" s="7">
        <v>1.4624235114830127E-2</v>
      </c>
      <c r="C224" s="7">
        <v>9.4989096467490691E-3</v>
      </c>
      <c r="D224" s="7">
        <v>3.4255032879049019E-2</v>
      </c>
      <c r="E224" s="7">
        <v>1.1647920825215319E-2</v>
      </c>
      <c r="F224" s="7">
        <v>3.5088050032872071E-3</v>
      </c>
      <c r="G224" s="7">
        <v>0</v>
      </c>
      <c r="P224" s="4"/>
      <c r="Q224" s="4"/>
      <c r="R224" s="4"/>
      <c r="S224" s="4"/>
      <c r="T224" s="4"/>
    </row>
    <row r="225" spans="1:20" x14ac:dyDescent="0.3">
      <c r="A225" s="1">
        <v>39325</v>
      </c>
      <c r="B225" s="7">
        <v>-8.4388560060058848E-3</v>
      </c>
      <c r="C225" s="7">
        <v>-5.0659152955605117E-3</v>
      </c>
      <c r="D225" s="7">
        <v>2.0168462657454887E-2</v>
      </c>
      <c r="E225" s="7">
        <v>-6.552879844168971E-3</v>
      </c>
      <c r="F225" s="7">
        <v>-3.7915711261886469E-2</v>
      </c>
      <c r="G225" s="7">
        <v>0</v>
      </c>
      <c r="P225" s="4"/>
      <c r="Q225" s="4"/>
      <c r="R225" s="4"/>
      <c r="S225" s="4"/>
      <c r="T225" s="4"/>
    </row>
    <row r="226" spans="1:20" x14ac:dyDescent="0.3">
      <c r="A226" s="1">
        <v>39353</v>
      </c>
      <c r="B226" s="7">
        <v>3.5548629421147858E-2</v>
      </c>
      <c r="C226" s="7">
        <v>4.5553046775435896E-2</v>
      </c>
      <c r="D226" s="7">
        <v>4.0403617923131328E-3</v>
      </c>
      <c r="E226" s="7">
        <v>1.5556018532297504E-2</v>
      </c>
      <c r="F226" s="7">
        <v>8.5565125960521668E-2</v>
      </c>
      <c r="G226" s="7">
        <v>0</v>
      </c>
      <c r="P226" s="4"/>
      <c r="Q226" s="4"/>
      <c r="R226" s="4"/>
      <c r="S226" s="4"/>
      <c r="T226" s="4"/>
    </row>
    <row r="227" spans="1:20" x14ac:dyDescent="0.3">
      <c r="A227" s="1">
        <v>39386</v>
      </c>
      <c r="B227" s="7">
        <v>2.5847447901199872E-3</v>
      </c>
      <c r="C227" s="7">
        <v>1.4609480053787609E-2</v>
      </c>
      <c r="D227" s="7">
        <v>-9.1506406408725458E-3</v>
      </c>
      <c r="E227" s="7">
        <v>1.6535938000985503E-2</v>
      </c>
      <c r="F227" s="7">
        <v>5.3436440262225791E-2</v>
      </c>
      <c r="G227" s="7">
        <v>0</v>
      </c>
      <c r="P227" s="4"/>
      <c r="Q227" s="4"/>
      <c r="R227" s="4"/>
      <c r="S227" s="4"/>
      <c r="T227" s="4"/>
    </row>
    <row r="228" spans="1:20" x14ac:dyDescent="0.3">
      <c r="A228" s="1">
        <v>39416</v>
      </c>
      <c r="B228" s="7">
        <v>2.0871696664852307E-2</v>
      </c>
      <c r="C228" s="7">
        <v>9.5706720168231077E-3</v>
      </c>
      <c r="D228" s="7">
        <v>3.4065334004963567E-2</v>
      </c>
      <c r="E228" s="7">
        <v>-1.0344148815594444E-2</v>
      </c>
      <c r="F228" s="7">
        <v>-5.1617365568048426E-2</v>
      </c>
      <c r="G228" s="7">
        <v>0</v>
      </c>
      <c r="P228" s="4"/>
      <c r="Q228" s="4"/>
      <c r="R228" s="4"/>
      <c r="S228" s="4"/>
      <c r="T228" s="4"/>
    </row>
    <row r="229" spans="1:20" x14ac:dyDescent="0.3">
      <c r="A229" s="1">
        <v>39447</v>
      </c>
      <c r="B229" s="7">
        <v>-3.8973620500339693E-3</v>
      </c>
      <c r="C229" s="7">
        <v>-3.7149842249749984E-3</v>
      </c>
      <c r="D229" s="7">
        <v>-8.4846004195774302E-3</v>
      </c>
      <c r="E229" s="7">
        <v>-3.3776449457016258E-2</v>
      </c>
      <c r="F229" s="7">
        <v>-9.3428108581732963E-3</v>
      </c>
      <c r="G229" s="7">
        <v>0</v>
      </c>
      <c r="P229" s="4"/>
      <c r="Q229" s="4"/>
      <c r="R229" s="4"/>
      <c r="S229" s="4"/>
      <c r="T229" s="4"/>
    </row>
    <row r="230" spans="1:20" x14ac:dyDescent="0.3">
      <c r="A230" s="1">
        <v>39478</v>
      </c>
      <c r="B230" s="7">
        <v>4.6185528235347363E-2</v>
      </c>
      <c r="C230" s="7">
        <v>1.8066379489877455E-2</v>
      </c>
      <c r="D230" s="7">
        <v>4.6358891273133716E-2</v>
      </c>
      <c r="E230" s="7">
        <v>1.9921855500746695E-3</v>
      </c>
      <c r="F230" s="7">
        <v>2.5127997921357254E-2</v>
      </c>
      <c r="G230" s="7">
        <v>0</v>
      </c>
      <c r="P230" s="4"/>
      <c r="Q230" s="4"/>
      <c r="R230" s="4"/>
      <c r="S230" s="4"/>
      <c r="T230" s="4"/>
    </row>
    <row r="231" spans="1:20" x14ac:dyDescent="0.3">
      <c r="A231" s="1">
        <v>39507</v>
      </c>
      <c r="B231" s="7">
        <v>3.7993420221347413E-2</v>
      </c>
      <c r="C231" s="7">
        <v>2.2196183010761445E-2</v>
      </c>
      <c r="D231" s="7">
        <v>2.3946296904736354E-2</v>
      </c>
      <c r="E231" s="7">
        <v>2.6959015038169631E-3</v>
      </c>
      <c r="F231" s="7">
        <v>4.257430399849476E-2</v>
      </c>
      <c r="G231" s="7">
        <v>0</v>
      </c>
      <c r="P231" s="4"/>
      <c r="Q231" s="4"/>
      <c r="R231" s="4"/>
      <c r="S231" s="4"/>
      <c r="T231" s="4"/>
    </row>
    <row r="232" spans="1:20" x14ac:dyDescent="0.3">
      <c r="A232" s="1">
        <v>39538</v>
      </c>
      <c r="B232" s="7">
        <v>4.8164320878050962E-2</v>
      </c>
      <c r="C232" s="7">
        <v>4.1067707646453649E-2</v>
      </c>
      <c r="D232" s="7">
        <v>3.8507823375103695E-2</v>
      </c>
      <c r="E232" s="7">
        <v>-6.9015198456482308E-4</v>
      </c>
      <c r="F232" s="7">
        <v>-1.5456608818946747E-2</v>
      </c>
      <c r="G232" s="7">
        <v>0</v>
      </c>
      <c r="P232" s="4"/>
      <c r="Q232" s="4"/>
      <c r="R232" s="4"/>
      <c r="S232" s="4"/>
      <c r="T232" s="4"/>
    </row>
    <row r="233" spans="1:20" x14ac:dyDescent="0.3">
      <c r="A233" s="1">
        <v>39568</v>
      </c>
      <c r="B233" s="7">
        <v>-4.0414563411796334E-2</v>
      </c>
      <c r="C233" s="7">
        <v>-9.4992207620934362E-3</v>
      </c>
      <c r="D233" s="7">
        <v>-4.2431651918253266E-2</v>
      </c>
      <c r="E233" s="7">
        <v>3.7951124286901739E-3</v>
      </c>
      <c r="F233" s="7">
        <v>3.7503834157700089E-2</v>
      </c>
      <c r="G233" s="7">
        <v>0</v>
      </c>
      <c r="P233" s="4"/>
      <c r="Q233" s="4"/>
      <c r="R233" s="4"/>
      <c r="S233" s="4"/>
      <c r="T233" s="4"/>
    </row>
    <row r="234" spans="1:20" x14ac:dyDescent="0.3">
      <c r="A234" s="1">
        <v>39598</v>
      </c>
      <c r="B234" s="7">
        <v>-7.8001371609766994E-3</v>
      </c>
      <c r="C234" s="7">
        <v>-3.0810014312204902E-3</v>
      </c>
      <c r="D234" s="7">
        <v>-1.718108661446403E-2</v>
      </c>
      <c r="E234" s="7">
        <v>-2.3956323839075295E-4</v>
      </c>
      <c r="F234" s="7">
        <v>1.7042915806719211E-2</v>
      </c>
      <c r="G234" s="7">
        <v>0</v>
      </c>
      <c r="P234" s="4"/>
      <c r="Q234" s="4"/>
      <c r="R234" s="4"/>
      <c r="S234" s="4"/>
      <c r="T234" s="4"/>
    </row>
    <row r="235" spans="1:20" x14ac:dyDescent="0.3">
      <c r="A235" s="1">
        <v>39629</v>
      </c>
      <c r="B235" s="7">
        <v>2.0367419585304705E-2</v>
      </c>
      <c r="C235" s="7">
        <v>1.4322190704160419E-2</v>
      </c>
      <c r="D235" s="7">
        <v>-8.1709496903028221E-3</v>
      </c>
      <c r="E235" s="7">
        <v>7.2916529735402962E-3</v>
      </c>
      <c r="F235" s="7">
        <v>6.6462173057879837E-3</v>
      </c>
      <c r="G235" s="7">
        <v>0</v>
      </c>
      <c r="P235" s="4"/>
      <c r="Q235" s="4"/>
      <c r="R235" s="4"/>
      <c r="S235" s="4"/>
      <c r="T235" s="4"/>
    </row>
    <row r="236" spans="1:20" x14ac:dyDescent="0.3">
      <c r="A236" s="1">
        <v>39660</v>
      </c>
      <c r="B236" s="7">
        <v>-2.5100254342908229E-2</v>
      </c>
      <c r="C236" s="7">
        <v>-8.0516731141506183E-3</v>
      </c>
      <c r="D236" s="7">
        <v>-1.7353913299628248E-2</v>
      </c>
      <c r="E236" s="7">
        <v>-1.6730191076392933E-3</v>
      </c>
      <c r="F236" s="7">
        <v>-1.2640879161410074E-2</v>
      </c>
      <c r="G236" s="7">
        <v>0</v>
      </c>
      <c r="P236" s="4"/>
      <c r="Q236" s="4"/>
      <c r="R236" s="4"/>
      <c r="S236" s="4"/>
      <c r="T236" s="4"/>
    </row>
    <row r="237" spans="1:20" x14ac:dyDescent="0.3">
      <c r="A237" s="1">
        <v>39689</v>
      </c>
      <c r="B237" s="7">
        <v>-4.9588423936341719E-2</v>
      </c>
      <c r="C237" s="7">
        <v>-5.8078423493024993E-2</v>
      </c>
      <c r="D237" s="7">
        <v>-9.9320317555459184E-3</v>
      </c>
      <c r="E237" s="7">
        <v>-8.0042979486741703E-2</v>
      </c>
      <c r="F237" s="7">
        <v>-8.594250324736559E-2</v>
      </c>
      <c r="G237" s="7">
        <v>0</v>
      </c>
      <c r="P237" s="4"/>
      <c r="Q237" s="4"/>
      <c r="R237" s="4"/>
      <c r="S237" s="4"/>
      <c r="T237" s="4"/>
    </row>
    <row r="238" spans="1:20" x14ac:dyDescent="0.3">
      <c r="A238" s="1">
        <v>39721</v>
      </c>
      <c r="B238" s="7">
        <v>-1.8844423443171891E-2</v>
      </c>
      <c r="C238" s="7">
        <v>-3.809727285696448E-2</v>
      </c>
      <c r="D238" s="7">
        <v>2.3579772155265234E-2</v>
      </c>
      <c r="E238" s="7">
        <v>-2.0158161496425651E-2</v>
      </c>
      <c r="F238" s="7">
        <v>-7.282164570647616E-2</v>
      </c>
      <c r="G238" s="7">
        <v>0</v>
      </c>
      <c r="P238" s="4"/>
      <c r="Q238" s="4"/>
      <c r="R238" s="4"/>
      <c r="S238" s="4"/>
      <c r="T238" s="4"/>
    </row>
    <row r="239" spans="1:20" x14ac:dyDescent="0.3">
      <c r="A239" s="1">
        <v>39752</v>
      </c>
      <c r="B239" s="7">
        <v>-3.7055941041292562E-2</v>
      </c>
      <c r="C239" s="7">
        <v>-9.9796276385037699E-2</v>
      </c>
      <c r="D239" s="7">
        <v>7.2229392169100071E-2</v>
      </c>
      <c r="E239" s="7">
        <v>-9.7117188864595125E-2</v>
      </c>
      <c r="F239" s="7">
        <v>-0.15650400085890584</v>
      </c>
      <c r="G239" s="7">
        <v>0</v>
      </c>
      <c r="P239" s="4"/>
      <c r="Q239" s="4"/>
      <c r="R239" s="4"/>
      <c r="S239" s="4"/>
      <c r="T239" s="4"/>
    </row>
    <row r="240" spans="1:20" x14ac:dyDescent="0.3">
      <c r="A240" s="1">
        <v>39780</v>
      </c>
      <c r="B240" s="7">
        <v>-4.3672447043185542E-2</v>
      </c>
      <c r="C240" s="7">
        <v>-1.5836514928256123E-3</v>
      </c>
      <c r="D240" s="7">
        <v>2.9673956203229653E-2</v>
      </c>
      <c r="E240" s="7">
        <v>-4.1630518243735017E-2</v>
      </c>
      <c r="F240" s="7">
        <v>-1.574980549305632E-2</v>
      </c>
      <c r="G240" s="7">
        <v>0</v>
      </c>
      <c r="P240" s="4"/>
      <c r="Q240" s="4"/>
      <c r="R240" s="4"/>
      <c r="S240" s="4"/>
      <c r="T240" s="4"/>
    </row>
    <row r="241" spans="1:20" x14ac:dyDescent="0.3">
      <c r="A241" s="1">
        <v>39813</v>
      </c>
      <c r="B241" s="7">
        <v>0.12924707567435978</v>
      </c>
      <c r="C241" s="7">
        <v>0.10126498464487733</v>
      </c>
      <c r="D241" s="7">
        <v>5.1191046765571249E-2</v>
      </c>
      <c r="E241" s="7">
        <v>-5.1095080363982082E-2</v>
      </c>
      <c r="F241" s="7">
        <v>7.3973825422322254E-2</v>
      </c>
      <c r="G241" s="7">
        <v>0</v>
      </c>
      <c r="P241" s="4"/>
      <c r="Q241" s="4"/>
      <c r="R241" s="4"/>
      <c r="S241" s="4"/>
      <c r="T241" s="4"/>
    </row>
    <row r="242" spans="1:20" x14ac:dyDescent="0.3">
      <c r="A242" s="1">
        <v>39843</v>
      </c>
      <c r="B242" s="7">
        <v>-7.6158634157945451E-2</v>
      </c>
      <c r="C242" s="7">
        <v>-8.1678507922878923E-2</v>
      </c>
      <c r="D242" s="7">
        <v>7.9600835815261152E-3</v>
      </c>
      <c r="E242" s="7">
        <v>-2.7660553636304356E-3</v>
      </c>
      <c r="F242" s="7">
        <v>-8.9564047562602361E-2</v>
      </c>
      <c r="G242" s="7">
        <v>0</v>
      </c>
      <c r="P242" s="4"/>
      <c r="Q242" s="4"/>
      <c r="R242" s="4"/>
      <c r="S242" s="4"/>
      <c r="T242" s="4"/>
    </row>
    <row r="243" spans="1:20" x14ac:dyDescent="0.3">
      <c r="A243" s="1">
        <v>39871</v>
      </c>
      <c r="B243" s="7">
        <v>-8.0398199701707165E-3</v>
      </c>
      <c r="C243" s="7">
        <v>-1.0807024995686258E-2</v>
      </c>
      <c r="D243" s="7">
        <v>-7.8495627855330583E-2</v>
      </c>
      <c r="E243" s="7">
        <v>-1.4765444263854028E-2</v>
      </c>
      <c r="F243" s="7">
        <v>4.6048318505325205E-3</v>
      </c>
      <c r="G243" s="7">
        <v>0</v>
      </c>
      <c r="P243" s="4"/>
      <c r="Q243" s="4"/>
      <c r="R243" s="4"/>
      <c r="S243" s="4"/>
      <c r="T243" s="4"/>
    </row>
    <row r="244" spans="1:20" x14ac:dyDescent="0.3">
      <c r="A244" s="1">
        <v>39903</v>
      </c>
      <c r="B244" s="7">
        <v>2.5525100621162349E-2</v>
      </c>
      <c r="C244" s="7">
        <v>4.6085390568809927E-2</v>
      </c>
      <c r="D244" s="7">
        <v>-1.4576930248243617E-2</v>
      </c>
      <c r="E244" s="7">
        <v>4.7288985997014489E-4</v>
      </c>
      <c r="F244" s="7">
        <v>8.4286704665585563E-2</v>
      </c>
      <c r="G244" s="7">
        <v>0</v>
      </c>
      <c r="P244" s="4"/>
      <c r="Q244" s="4"/>
      <c r="R244" s="4"/>
      <c r="S244" s="4"/>
      <c r="T244" s="4"/>
    </row>
    <row r="245" spans="1:20" x14ac:dyDescent="0.3">
      <c r="A245" s="1">
        <v>39933</v>
      </c>
      <c r="B245" s="7">
        <v>-1.4289978997265988E-3</v>
      </c>
      <c r="C245" s="7">
        <v>-1.4431147125242385E-3</v>
      </c>
      <c r="D245" s="7">
        <v>3.0350949634996571E-3</v>
      </c>
      <c r="E245" s="7">
        <v>3.2568855377526497E-2</v>
      </c>
      <c r="F245" s="7">
        <v>5.1908250869100052E-2</v>
      </c>
      <c r="G245" s="7">
        <v>0</v>
      </c>
      <c r="P245" s="4"/>
      <c r="Q245" s="4"/>
      <c r="R245" s="4"/>
      <c r="S245" s="4"/>
      <c r="T245" s="4"/>
    </row>
    <row r="246" spans="1:20" x14ac:dyDescent="0.3">
      <c r="A246" s="1">
        <v>39962</v>
      </c>
      <c r="B246" s="7">
        <v>6.8305739499144549E-2</v>
      </c>
      <c r="C246" s="7">
        <v>7.0272239823228957E-2</v>
      </c>
      <c r="D246" s="7">
        <v>3.4151993698096336E-2</v>
      </c>
      <c r="E246" s="7">
        <v>9.4696301224721016E-2</v>
      </c>
      <c r="F246" s="7">
        <v>0.1064030782064421</v>
      </c>
      <c r="G246" s="7">
        <v>0</v>
      </c>
      <c r="P246" s="4"/>
      <c r="Q246" s="4"/>
      <c r="R246" s="4"/>
      <c r="S246" s="4"/>
      <c r="T246" s="4"/>
    </row>
    <row r="247" spans="1:20" x14ac:dyDescent="0.3">
      <c r="A247" s="1">
        <v>39994</v>
      </c>
      <c r="B247" s="7">
        <v>-1.7835024991890786E-2</v>
      </c>
      <c r="C247" s="7">
        <v>-8.6006525022712596E-3</v>
      </c>
      <c r="D247" s="7">
        <v>-1.1127057365681358E-2</v>
      </c>
      <c r="E247" s="7">
        <v>1.6690326430612638E-2</v>
      </c>
      <c r="F247" s="7">
        <v>8.8019975880824393E-3</v>
      </c>
      <c r="G247" s="7">
        <v>0</v>
      </c>
      <c r="P247" s="4"/>
      <c r="Q247" s="4"/>
      <c r="R247" s="4"/>
      <c r="S247" s="4"/>
      <c r="T247" s="4"/>
    </row>
    <row r="248" spans="1:20" x14ac:dyDescent="0.3">
      <c r="A248" s="1">
        <v>40025</v>
      </c>
      <c r="B248" s="7">
        <v>1.6207846499044262E-2</v>
      </c>
      <c r="C248" s="7">
        <v>1.5952238771935589E-2</v>
      </c>
      <c r="D248" s="7">
        <v>1.7452937599787968E-2</v>
      </c>
      <c r="E248" s="7">
        <v>1.5519283200031132E-2</v>
      </c>
      <c r="F248" s="7">
        <v>3.9104075739362462E-2</v>
      </c>
      <c r="G248" s="7">
        <v>0</v>
      </c>
      <c r="P248" s="4"/>
      <c r="Q248" s="4"/>
      <c r="R248" s="4"/>
      <c r="S248" s="4"/>
      <c r="T248" s="4"/>
    </row>
    <row r="249" spans="1:20" x14ac:dyDescent="0.3">
      <c r="A249" s="1">
        <v>40056</v>
      </c>
      <c r="B249" s="7">
        <v>8.5738100839653098E-3</v>
      </c>
      <c r="C249" s="7">
        <v>5.351494280283654E-3</v>
      </c>
      <c r="D249" s="7">
        <v>1.6384322698731284E-2</v>
      </c>
      <c r="E249" s="7">
        <v>-2.5355827699569233E-2</v>
      </c>
      <c r="F249" s="7">
        <v>1.2064664683872154E-2</v>
      </c>
      <c r="G249" s="7">
        <v>0</v>
      </c>
      <c r="P249" s="4"/>
      <c r="Q249" s="4"/>
      <c r="R249" s="4"/>
      <c r="S249" s="4"/>
      <c r="T249" s="4"/>
    </row>
    <row r="250" spans="1:20" x14ac:dyDescent="0.3">
      <c r="A250" s="1">
        <v>40086</v>
      </c>
      <c r="B250" s="7">
        <v>2.1660996826048277E-2</v>
      </c>
      <c r="C250" s="7">
        <v>2.1335018815167583E-2</v>
      </c>
      <c r="D250" s="7">
        <v>3.8155446249767355E-2</v>
      </c>
      <c r="E250" s="7">
        <v>-1.8717554345990706E-2</v>
      </c>
      <c r="F250" s="7">
        <v>4.8515829881038343E-2</v>
      </c>
      <c r="G250" s="7">
        <v>0</v>
      </c>
      <c r="P250" s="4"/>
      <c r="Q250" s="4"/>
      <c r="R250" s="4"/>
      <c r="S250" s="4"/>
      <c r="T250" s="4"/>
    </row>
    <row r="251" spans="1:20" x14ac:dyDescent="0.3">
      <c r="A251" s="1">
        <v>40116</v>
      </c>
      <c r="B251" s="7">
        <v>9.5011708240079346E-3</v>
      </c>
      <c r="C251" s="7">
        <v>5.4119702700248197E-3</v>
      </c>
      <c r="D251" s="7">
        <v>-4.7726631313902102E-3</v>
      </c>
      <c r="E251" s="7">
        <v>2.9609164040964087E-2</v>
      </c>
      <c r="F251" s="7">
        <v>2.1620148524969972E-2</v>
      </c>
      <c r="G251" s="7">
        <v>0</v>
      </c>
      <c r="P251" s="4"/>
      <c r="Q251" s="4"/>
      <c r="R251" s="4"/>
      <c r="S251" s="4"/>
      <c r="T251" s="4"/>
    </row>
    <row r="252" spans="1:20" x14ac:dyDescent="0.3">
      <c r="A252" s="1">
        <v>40147</v>
      </c>
      <c r="B252" s="7">
        <v>2.0524665258337522E-2</v>
      </c>
      <c r="C252" s="7">
        <v>1.9504780903292815E-2</v>
      </c>
      <c r="D252" s="7">
        <v>4.2643871546697944E-2</v>
      </c>
      <c r="E252" s="7">
        <v>-6.0304244640709741E-4</v>
      </c>
      <c r="F252" s="7">
        <v>2.0960907005619731E-2</v>
      </c>
      <c r="G252" s="7">
        <v>0</v>
      </c>
      <c r="P252" s="4"/>
      <c r="Q252" s="4"/>
      <c r="R252" s="4"/>
      <c r="S252" s="4"/>
      <c r="T252" s="4"/>
    </row>
    <row r="253" spans="1:20" x14ac:dyDescent="0.3">
      <c r="A253" s="1">
        <v>40178</v>
      </c>
      <c r="B253" s="7">
        <v>-2.7570355619030811E-2</v>
      </c>
      <c r="C253" s="7">
        <v>-4.5492566759200298E-2</v>
      </c>
      <c r="D253" s="7">
        <v>-7.1096148983065391E-2</v>
      </c>
      <c r="E253" s="7">
        <v>-1.6228877363225702E-2</v>
      </c>
      <c r="F253" s="7">
        <v>-1.6852702039671923E-2</v>
      </c>
      <c r="G253" s="7">
        <v>0</v>
      </c>
      <c r="P253" s="4"/>
      <c r="Q253" s="4"/>
      <c r="R253" s="4"/>
      <c r="S253" s="4"/>
      <c r="T253" s="4"/>
    </row>
    <row r="254" spans="1:20" x14ac:dyDescent="0.3">
      <c r="A254" s="1">
        <v>40207</v>
      </c>
      <c r="B254" s="7">
        <v>-2.5614936589147368E-2</v>
      </c>
      <c r="C254" s="7">
        <v>-3.1943152584696974E-2</v>
      </c>
      <c r="D254" s="7">
        <v>3.0060169100418553E-2</v>
      </c>
      <c r="E254" s="7">
        <v>-1.1192587346407315E-2</v>
      </c>
      <c r="F254" s="7">
        <v>-1.2406931254001802E-2</v>
      </c>
      <c r="G254" s="7">
        <v>0</v>
      </c>
      <c r="P254" s="4"/>
      <c r="Q254" s="4"/>
      <c r="R254" s="4"/>
      <c r="S254" s="4"/>
      <c r="T254" s="4"/>
    </row>
    <row r="255" spans="1:20" x14ac:dyDescent="0.3">
      <c r="A255" s="1">
        <v>40235</v>
      </c>
      <c r="B255" s="7">
        <v>-1.2147333743769121E-2</v>
      </c>
      <c r="C255" s="7">
        <v>-1.6669227611749333E-2</v>
      </c>
      <c r="D255" s="7">
        <v>1.5071850472973524E-2</v>
      </c>
      <c r="E255" s="7">
        <v>-4.6588761159785476E-2</v>
      </c>
      <c r="F255" s="7">
        <v>1.6097093217886545E-2</v>
      </c>
      <c r="G255" s="7">
        <v>0</v>
      </c>
      <c r="P255" s="4"/>
      <c r="Q255" s="4"/>
      <c r="R255" s="4"/>
      <c r="S255" s="4"/>
      <c r="T255" s="4"/>
    </row>
    <row r="256" spans="1:20" x14ac:dyDescent="0.3">
      <c r="A256" s="1">
        <v>40268</v>
      </c>
      <c r="B256" s="7">
        <v>1.8235147596393317E-2</v>
      </c>
      <c r="C256" s="7">
        <v>-8.8273789610222222E-3</v>
      </c>
      <c r="D256" s="7">
        <v>-4.8688625767384051E-2</v>
      </c>
      <c r="E256" s="7">
        <v>-3.3102649721716733E-3</v>
      </c>
      <c r="F256" s="7">
        <v>2.8058648212722602E-2</v>
      </c>
      <c r="G256" s="7">
        <v>0</v>
      </c>
      <c r="P256" s="4"/>
      <c r="Q256" s="4"/>
      <c r="R256" s="4"/>
      <c r="S256" s="4"/>
      <c r="T256" s="4"/>
    </row>
    <row r="257" spans="1:20" x14ac:dyDescent="0.3">
      <c r="A257" s="1">
        <v>40298</v>
      </c>
      <c r="B257" s="7">
        <v>-2.2067619040472147E-2</v>
      </c>
      <c r="C257" s="7">
        <v>-1.6012192152227232E-2</v>
      </c>
      <c r="D257" s="7">
        <v>-4.4642024205607421E-3</v>
      </c>
      <c r="E257" s="7">
        <v>6.1300551876234512E-3</v>
      </c>
      <c r="F257" s="7">
        <v>1.102689836899037E-2</v>
      </c>
      <c r="G257" s="7">
        <v>0</v>
      </c>
      <c r="P257" s="4"/>
      <c r="Q257" s="4"/>
      <c r="R257" s="4"/>
      <c r="S257" s="4"/>
      <c r="T257" s="4"/>
    </row>
    <row r="258" spans="1:20" x14ac:dyDescent="0.3">
      <c r="A258" s="1">
        <v>40329</v>
      </c>
      <c r="B258" s="7">
        <v>-6.7398770332733546E-2</v>
      </c>
      <c r="C258" s="7">
        <v>-7.4420892545274842E-2</v>
      </c>
      <c r="D258" s="7">
        <v>2.8149662026750445E-2</v>
      </c>
      <c r="E258" s="7">
        <v>-4.8058695844342143E-2</v>
      </c>
      <c r="F258" s="7">
        <v>-8.1606618425409755E-2</v>
      </c>
      <c r="G258" s="7">
        <v>0</v>
      </c>
      <c r="P258" s="4"/>
      <c r="Q258" s="4"/>
      <c r="R258" s="4"/>
      <c r="S258" s="4"/>
      <c r="T258" s="4"/>
    </row>
    <row r="259" spans="1:20" x14ac:dyDescent="0.3">
      <c r="A259" s="1">
        <v>40359</v>
      </c>
      <c r="B259" s="7">
        <v>7.121899570077378E-2</v>
      </c>
      <c r="C259" s="7">
        <v>-5.8480957336276927E-3</v>
      </c>
      <c r="D259" s="7">
        <v>3.1577472762398535E-2</v>
      </c>
      <c r="E259" s="7">
        <v>2.7946102471335089E-2</v>
      </c>
      <c r="F259" s="7">
        <v>-2.6215584631262322E-3</v>
      </c>
      <c r="G259" s="7">
        <v>0</v>
      </c>
      <c r="P259" s="4"/>
      <c r="Q259" s="4"/>
      <c r="R259" s="4"/>
      <c r="S259" s="4"/>
      <c r="T259" s="4"/>
    </row>
    <row r="260" spans="1:20" x14ac:dyDescent="0.3">
      <c r="A260" s="1">
        <v>40389</v>
      </c>
      <c r="B260" s="7">
        <v>3.420200987207804E-2</v>
      </c>
      <c r="C260" s="7">
        <v>6.6356422199364148E-2</v>
      </c>
      <c r="D260" s="7">
        <v>2.249514763070393E-2</v>
      </c>
      <c r="E260" s="7">
        <v>4.9807121612081937E-2</v>
      </c>
      <c r="F260" s="7">
        <v>7.9362123485616207E-2</v>
      </c>
      <c r="G260" s="7">
        <v>0</v>
      </c>
      <c r="P260" s="4"/>
      <c r="Q260" s="4"/>
      <c r="R260" s="4"/>
      <c r="S260" s="4"/>
      <c r="T260" s="4"/>
    </row>
    <row r="261" spans="1:20" x14ac:dyDescent="0.3">
      <c r="A261" s="1">
        <v>40421</v>
      </c>
      <c r="B261" s="7">
        <v>2.5266875593440759E-2</v>
      </c>
      <c r="C261" s="7">
        <v>-2.8484259223078401E-2</v>
      </c>
      <c r="D261" s="7">
        <v>2.6537935423789828E-2</v>
      </c>
      <c r="E261" s="7">
        <v>-2.1592163047573384E-2</v>
      </c>
      <c r="F261" s="7">
        <v>-1.1136648790291345E-2</v>
      </c>
      <c r="G261" s="7">
        <v>0</v>
      </c>
      <c r="P261" s="4"/>
      <c r="Q261" s="4"/>
      <c r="R261" s="4"/>
      <c r="S261" s="4"/>
      <c r="T261" s="4"/>
    </row>
    <row r="262" spans="1:20" x14ac:dyDescent="0.3">
      <c r="A262" s="1">
        <v>40451</v>
      </c>
      <c r="B262" s="7">
        <v>3.281321949624412E-2</v>
      </c>
      <c r="C262" s="7">
        <v>7.5278993651169246E-2</v>
      </c>
      <c r="D262" s="7">
        <v>7.6687219578209656E-3</v>
      </c>
      <c r="E262" s="7">
        <v>2.4200617153209841E-2</v>
      </c>
      <c r="F262" s="7">
        <v>9.0139708319149067E-2</v>
      </c>
      <c r="G262" s="7">
        <v>2.3873280352303534E-2</v>
      </c>
      <c r="P262" s="4"/>
      <c r="Q262" s="4"/>
      <c r="R262" s="4"/>
      <c r="S262" s="4"/>
      <c r="T262" s="4"/>
    </row>
    <row r="263" spans="1:20" x14ac:dyDescent="0.3">
      <c r="A263" s="1">
        <v>40480</v>
      </c>
      <c r="B263" s="7">
        <v>-6.5456476369802086E-6</v>
      </c>
      <c r="C263" s="7">
        <v>2.3194461970062072E-2</v>
      </c>
      <c r="D263" s="7">
        <v>3.8563748114257008E-2</v>
      </c>
      <c r="E263" s="7">
        <v>2.0719238565596002E-2</v>
      </c>
      <c r="F263" s="7">
        <v>2.0764010985019191E-2</v>
      </c>
      <c r="G263" s="7">
        <v>6.2792549006624497E-3</v>
      </c>
      <c r="P263" s="4"/>
      <c r="Q263" s="4"/>
      <c r="R263" s="4"/>
      <c r="S263" s="4"/>
      <c r="T263" s="4"/>
    </row>
    <row r="264" spans="1:20" x14ac:dyDescent="0.3">
      <c r="A264" s="1">
        <v>40512</v>
      </c>
      <c r="B264" s="7">
        <v>-2.12558120019645E-2</v>
      </c>
      <c r="C264" s="7">
        <v>-6.8792981268271963E-2</v>
      </c>
      <c r="D264" s="7">
        <v>-3.9459263634024695E-2</v>
      </c>
      <c r="E264" s="7">
        <v>-2.94677102497738E-2</v>
      </c>
      <c r="F264" s="7">
        <v>-2.1614682718662213E-2</v>
      </c>
      <c r="G264" s="7">
        <v>-1.0908995556287226E-2</v>
      </c>
      <c r="P264" s="4"/>
      <c r="Q264" s="4"/>
      <c r="R264" s="4"/>
      <c r="S264" s="4"/>
      <c r="T264" s="4"/>
    </row>
    <row r="265" spans="1:20" x14ac:dyDescent="0.3">
      <c r="A265" s="1">
        <v>40543</v>
      </c>
      <c r="B265" s="7">
        <v>7.2365254779148999E-2</v>
      </c>
      <c r="C265" s="7">
        <v>3.0991366294655272E-2</v>
      </c>
      <c r="D265" s="7">
        <v>3.0704449221338796E-2</v>
      </c>
      <c r="E265" s="7">
        <v>3.4238012999774784E-3</v>
      </c>
      <c r="F265" s="7">
        <v>7.1471202313615687E-2</v>
      </c>
      <c r="G265" s="7">
        <v>1.0645375914837114E-2</v>
      </c>
      <c r="P265" s="4"/>
      <c r="Q265" s="4"/>
      <c r="R265" s="4"/>
      <c r="S265" s="4"/>
      <c r="T265" s="4"/>
    </row>
    <row r="266" spans="1:20" x14ac:dyDescent="0.3">
      <c r="A266" s="1">
        <v>40574</v>
      </c>
      <c r="B266" s="7">
        <v>-9.7491499660993484E-3</v>
      </c>
      <c r="C266" s="7">
        <v>2.3210912655715739E-2</v>
      </c>
      <c r="D266" s="7">
        <v>-1.121770529298061E-2</v>
      </c>
      <c r="E266" s="7">
        <v>2.5995210228430404E-2</v>
      </c>
      <c r="F266" s="7">
        <v>-2.1310584250302942E-2</v>
      </c>
      <c r="G266" s="7">
        <v>-1.4932278472679582E-3</v>
      </c>
      <c r="P266" s="4"/>
      <c r="Q266" s="4"/>
      <c r="R266" s="4"/>
      <c r="S266" s="4"/>
      <c r="T266" s="4"/>
    </row>
    <row r="267" spans="1:20" x14ac:dyDescent="0.3">
      <c r="A267" s="1">
        <v>40602</v>
      </c>
      <c r="B267" s="7">
        <v>1.596263023246482E-2</v>
      </c>
      <c r="C267" s="7">
        <v>8.5425880228445876E-3</v>
      </c>
      <c r="D267" s="7">
        <v>3.0271914023134172E-3</v>
      </c>
      <c r="E267" s="7">
        <v>1.5385364884792394E-2</v>
      </c>
      <c r="F267" s="7">
        <v>2.480210232326038E-2</v>
      </c>
      <c r="G267" s="7">
        <v>2.9892076416337798E-3</v>
      </c>
      <c r="P267" s="4"/>
      <c r="Q267" s="4"/>
      <c r="R267" s="4"/>
      <c r="S267" s="4"/>
      <c r="T267" s="4"/>
    </row>
    <row r="268" spans="1:20" x14ac:dyDescent="0.3">
      <c r="A268" s="1">
        <v>40633</v>
      </c>
      <c r="B268" s="7">
        <v>1.0492755867162074E-2</v>
      </c>
      <c r="C268" s="7">
        <v>2.5916009376573654E-2</v>
      </c>
      <c r="D268" s="7">
        <v>-1.6467791859110105E-2</v>
      </c>
      <c r="E268" s="7">
        <v>-1.3823574834165719E-2</v>
      </c>
      <c r="F268" s="7">
        <v>1.8098878504304413E-2</v>
      </c>
      <c r="G268" s="7">
        <v>1.6338452724886856E-3</v>
      </c>
      <c r="P268" s="4"/>
      <c r="Q268" s="4"/>
      <c r="R268" s="4"/>
      <c r="S268" s="4"/>
      <c r="T268" s="4"/>
    </row>
    <row r="269" spans="1:20" x14ac:dyDescent="0.3">
      <c r="A269" s="1">
        <v>40662</v>
      </c>
      <c r="B269" s="7">
        <v>6.1930173771803945E-2</v>
      </c>
      <c r="C269" s="7">
        <v>4.6425179221601477E-2</v>
      </c>
      <c r="D269" s="7">
        <v>2.3434765508903551E-2</v>
      </c>
      <c r="E269" s="7">
        <v>4.2717268651201915E-2</v>
      </c>
      <c r="F269" s="7">
        <v>6.6097873829051162E-2</v>
      </c>
      <c r="G269" s="7">
        <v>1.2630155795677733E-2</v>
      </c>
      <c r="P269" s="4"/>
      <c r="Q269" s="4"/>
      <c r="R269" s="4"/>
      <c r="S269" s="4"/>
      <c r="T269" s="4"/>
    </row>
    <row r="270" spans="1:20" x14ac:dyDescent="0.3">
      <c r="A270" s="1">
        <v>40694</v>
      </c>
      <c r="B270" s="7">
        <v>1.3137881419745728E-2</v>
      </c>
      <c r="C270" s="7">
        <v>-2.6929108311252826E-2</v>
      </c>
      <c r="D270" s="7">
        <v>-3.9471234739540855E-3</v>
      </c>
      <c r="E270" s="7">
        <v>-1.5094538469276863E-2</v>
      </c>
      <c r="F270" s="7">
        <v>-2.344393404220272E-2</v>
      </c>
      <c r="G270" s="7">
        <v>-4.0014741602066358E-3</v>
      </c>
      <c r="P270" s="4"/>
      <c r="Q270" s="4"/>
      <c r="R270" s="4"/>
      <c r="S270" s="4"/>
      <c r="T270" s="4"/>
    </row>
    <row r="271" spans="1:20" x14ac:dyDescent="0.3">
      <c r="A271" s="1">
        <v>40724</v>
      </c>
      <c r="B271" s="7">
        <v>1.5789423433524147E-2</v>
      </c>
      <c r="C271" s="7">
        <v>8.1005347757146014E-3</v>
      </c>
      <c r="D271" s="7">
        <v>1.1878836475379089E-2</v>
      </c>
      <c r="E271" s="7">
        <v>-2.362269856745693E-2</v>
      </c>
      <c r="F271" s="7">
        <v>8.7363606086664856E-3</v>
      </c>
      <c r="G271" s="7">
        <v>2.0895775599481681E-3</v>
      </c>
      <c r="P271" s="4"/>
      <c r="Q271" s="4"/>
      <c r="R271" s="4"/>
      <c r="S271" s="4"/>
      <c r="T271" s="4"/>
    </row>
    <row r="272" spans="1:20" x14ac:dyDescent="0.3">
      <c r="A272" s="1">
        <v>40753</v>
      </c>
      <c r="B272" s="7">
        <v>6.9555975466128725E-2</v>
      </c>
      <c r="C272" s="7">
        <v>-6.3231471908855395E-3</v>
      </c>
      <c r="D272" s="7">
        <v>4.930143382844604E-2</v>
      </c>
      <c r="E272" s="7">
        <v>2.3625138578254122E-2</v>
      </c>
      <c r="F272" s="7">
        <v>2.9310007425114356E-2</v>
      </c>
      <c r="G272" s="7">
        <v>5.1712992889463164E-3</v>
      </c>
      <c r="P272" s="4"/>
      <c r="Q272" s="4"/>
      <c r="R272" s="4"/>
      <c r="S272" s="4"/>
      <c r="T272" s="4"/>
    </row>
    <row r="273" spans="1:20" x14ac:dyDescent="0.3">
      <c r="A273" s="1">
        <v>40786</v>
      </c>
      <c r="B273" s="7">
        <v>-2.5677446090257721E-2</v>
      </c>
      <c r="C273" s="7">
        <v>-1.3476142918004816E-3</v>
      </c>
      <c r="D273" s="7">
        <v>9.6561010528132467E-4</v>
      </c>
      <c r="E273" s="7">
        <v>-1.0397223509551716E-2</v>
      </c>
      <c r="F273" s="7">
        <v>-2.1825523712074812E-2</v>
      </c>
      <c r="G273" s="7">
        <v>1.1599157700964582E-2</v>
      </c>
      <c r="P273" s="4"/>
      <c r="Q273" s="4"/>
      <c r="R273" s="4"/>
      <c r="S273" s="4"/>
      <c r="T273" s="4"/>
    </row>
    <row r="274" spans="1:20" x14ac:dyDescent="0.3">
      <c r="A274" s="1">
        <v>40816</v>
      </c>
      <c r="B274" s="7">
        <v>-0.11333740048226948</v>
      </c>
      <c r="C274" s="7">
        <v>-6.7980929359540657E-2</v>
      </c>
      <c r="D274" s="7">
        <v>-4.9890694424682795E-3</v>
      </c>
      <c r="E274" s="7">
        <v>-4.0652238283171278E-2</v>
      </c>
      <c r="F274" s="7">
        <v>-9.3934651138583319E-2</v>
      </c>
      <c r="G274" s="7">
        <v>-2.2353522795931412E-2</v>
      </c>
      <c r="P274" s="4"/>
      <c r="Q274" s="4"/>
      <c r="R274" s="4"/>
      <c r="S274" s="4"/>
      <c r="T274" s="4"/>
    </row>
    <row r="275" spans="1:20" x14ac:dyDescent="0.3">
      <c r="A275" s="1">
        <v>40847</v>
      </c>
      <c r="B275" s="7">
        <v>3.4977018773490375E-2</v>
      </c>
      <c r="C275" s="7">
        <v>3.5424704943558975E-2</v>
      </c>
      <c r="D275" s="7">
        <v>-1.5037501567318621E-2</v>
      </c>
      <c r="E275" s="7">
        <v>3.2590102103628706E-2</v>
      </c>
      <c r="F275" s="7">
        <v>9.4353427311237012E-2</v>
      </c>
      <c r="G275" s="7">
        <v>1.7555266579974044E-2</v>
      </c>
      <c r="P275" s="4"/>
      <c r="Q275" s="4"/>
      <c r="R275" s="4"/>
      <c r="S275" s="4"/>
      <c r="T275" s="4"/>
    </row>
    <row r="276" spans="1:20" x14ac:dyDescent="0.3">
      <c r="A276" s="1">
        <v>40877</v>
      </c>
      <c r="B276" s="7">
        <v>-4.0117302792686334E-2</v>
      </c>
      <c r="C276" s="7">
        <v>-2.9438068750663182E-2</v>
      </c>
      <c r="D276" s="7">
        <v>6.5837326668333872E-3</v>
      </c>
      <c r="E276" s="7">
        <v>-2.351850458549588E-2</v>
      </c>
      <c r="F276" s="7">
        <v>-1.9884441106330517E-2</v>
      </c>
      <c r="G276" s="7">
        <v>2.7387500000018771E-4</v>
      </c>
      <c r="P276" s="4"/>
      <c r="Q276" s="4"/>
      <c r="R276" s="4"/>
      <c r="S276" s="4"/>
      <c r="T276" s="4"/>
    </row>
    <row r="277" spans="1:20" x14ac:dyDescent="0.3">
      <c r="A277" s="1">
        <v>40907</v>
      </c>
      <c r="B277" s="7">
        <v>-2.8509151776712288E-2</v>
      </c>
      <c r="C277" s="7">
        <v>-3.6391982745609945E-2</v>
      </c>
      <c r="D277" s="7">
        <v>8.1735609357963743E-3</v>
      </c>
      <c r="E277" s="7">
        <v>-9.962794780186017E-3</v>
      </c>
      <c r="F277" s="7">
        <v>-3.4925103320911539E-3</v>
      </c>
      <c r="G277" s="7">
        <v>7.8435459936101303E-3</v>
      </c>
      <c r="P277" s="4"/>
      <c r="Q277" s="4"/>
      <c r="R277" s="4"/>
      <c r="S277" s="4"/>
      <c r="T277" s="4"/>
    </row>
    <row r="278" spans="1:20" x14ac:dyDescent="0.3">
      <c r="A278" s="1">
        <v>40939</v>
      </c>
      <c r="B278" s="7">
        <v>2.0234269957020812E-2</v>
      </c>
      <c r="C278" s="7">
        <v>9.2836508236492175E-3</v>
      </c>
      <c r="D278" s="7">
        <v>8.0749511842473504E-3</v>
      </c>
      <c r="E278" s="7">
        <v>1.4254915210605987E-2</v>
      </c>
      <c r="F278" s="7">
        <v>4.425473090358871E-2</v>
      </c>
      <c r="G278" s="7">
        <v>9.672834431472219E-3</v>
      </c>
      <c r="P278" s="4"/>
      <c r="Q278" s="4"/>
      <c r="R278" s="4"/>
      <c r="S278" s="4"/>
      <c r="T278" s="4"/>
    </row>
    <row r="279" spans="1:20" x14ac:dyDescent="0.3">
      <c r="A279" s="1">
        <v>40968</v>
      </c>
      <c r="B279" s="7">
        <v>1.6897158182701502E-2</v>
      </c>
      <c r="C279" s="7">
        <v>1.8364960602841485E-2</v>
      </c>
      <c r="D279" s="7">
        <v>-6.0452386316168387E-2</v>
      </c>
      <c r="E279" s="7">
        <v>1.0192042476680806E-2</v>
      </c>
      <c r="F279" s="7">
        <v>1.3750622258872851E-2</v>
      </c>
      <c r="G279" s="7">
        <v>2.0150144454947529E-3</v>
      </c>
      <c r="P279" s="4"/>
      <c r="Q279" s="4"/>
      <c r="R279" s="4"/>
      <c r="S279" s="4"/>
      <c r="T279" s="4"/>
    </row>
    <row r="280" spans="1:20" x14ac:dyDescent="0.3">
      <c r="A280" s="1">
        <v>40998</v>
      </c>
      <c r="B280" s="7">
        <v>1.8572030043417112E-3</v>
      </c>
      <c r="C280" s="7">
        <v>1.2343779898024009E-3</v>
      </c>
      <c r="D280" s="7">
        <v>-2.0940407065000364E-2</v>
      </c>
      <c r="E280" s="7">
        <v>5.9345614683326726E-3</v>
      </c>
      <c r="F280" s="7">
        <v>-3.2553372738128285E-2</v>
      </c>
      <c r="G280" s="7">
        <v>-2.2675131025801315E-3</v>
      </c>
      <c r="P280" s="4"/>
      <c r="Q280" s="4"/>
      <c r="R280" s="4"/>
      <c r="S280" s="4"/>
      <c r="T280" s="4"/>
    </row>
    <row r="281" spans="1:20" x14ac:dyDescent="0.3">
      <c r="A281" s="1">
        <v>41029</v>
      </c>
      <c r="B281" s="7">
        <v>-5.8359851624547937E-3</v>
      </c>
      <c r="C281" s="7">
        <v>-7.9244646771202167E-3</v>
      </c>
      <c r="D281" s="7">
        <v>3.7742592229134696E-2</v>
      </c>
      <c r="E281" s="7">
        <v>1.4314999978131623E-2</v>
      </c>
      <c r="F281" s="7">
        <v>1.144899354569663E-2</v>
      </c>
      <c r="G281" s="7">
        <v>3.0841893939392898E-3</v>
      </c>
      <c r="P281" s="4"/>
      <c r="Q281" s="4"/>
      <c r="R281" s="4"/>
      <c r="S281" s="4"/>
      <c r="T281" s="4"/>
    </row>
    <row r="282" spans="1:20" x14ac:dyDescent="0.3">
      <c r="A282" s="1">
        <v>41060</v>
      </c>
      <c r="B282" s="7">
        <v>-6.6022807395816202E-2</v>
      </c>
      <c r="C282" s="7">
        <v>-6.6127112448416223E-2</v>
      </c>
      <c r="D282" s="7">
        <v>1.9039908331332383E-2</v>
      </c>
      <c r="E282" s="7">
        <v>-5.0863957167193927E-2</v>
      </c>
      <c r="F282" s="7">
        <v>-6.33584958311081E-2</v>
      </c>
      <c r="G282" s="7">
        <v>-8.6680155639571894E-3</v>
      </c>
      <c r="P282" s="4"/>
      <c r="Q282" s="4"/>
      <c r="R282" s="4"/>
      <c r="S282" s="4"/>
      <c r="T282" s="4"/>
    </row>
    <row r="283" spans="1:20" x14ac:dyDescent="0.3">
      <c r="A283" s="1">
        <v>41089</v>
      </c>
      <c r="B283" s="7">
        <v>2.3472508637493856E-2</v>
      </c>
      <c r="C283" s="7">
        <v>2.4285438197995078E-2</v>
      </c>
      <c r="D283" s="7">
        <v>-1.9020431732633725E-2</v>
      </c>
      <c r="E283" s="7">
        <v>1.9752304132506126E-2</v>
      </c>
      <c r="F283" s="7">
        <v>5.4798415844848417E-2</v>
      </c>
      <c r="G283" s="7">
        <v>2.5622372374284066E-3</v>
      </c>
      <c r="P283" s="4"/>
      <c r="Q283" s="4"/>
      <c r="R283" s="4"/>
      <c r="S283" s="4"/>
      <c r="T283" s="4"/>
    </row>
    <row r="284" spans="1:20" x14ac:dyDescent="0.3">
      <c r="A284" s="1">
        <v>41121</v>
      </c>
      <c r="B284" s="7">
        <v>-2.9245772539309402E-2</v>
      </c>
      <c r="C284" s="7">
        <v>-2.8895566021131587E-2</v>
      </c>
      <c r="D284" s="7">
        <v>2.1178777477813271E-2</v>
      </c>
      <c r="E284" s="7">
        <v>-1.7738602024976379E-3</v>
      </c>
      <c r="F284" s="7">
        <v>2.8898902821316474E-2</v>
      </c>
      <c r="G284" s="7">
        <v>-1.0404694656478181E-4</v>
      </c>
      <c r="P284" s="4"/>
      <c r="Q284" s="4"/>
      <c r="R284" s="4"/>
      <c r="S284" s="4"/>
      <c r="T284" s="4"/>
    </row>
    <row r="285" spans="1:20" x14ac:dyDescent="0.3">
      <c r="A285" s="1">
        <v>41152</v>
      </c>
      <c r="B285" s="7">
        <v>2.181078457744353E-2</v>
      </c>
      <c r="C285" s="7">
        <v>2.1976682780192564E-2</v>
      </c>
      <c r="D285" s="7">
        <v>-3.7638106662917386E-3</v>
      </c>
      <c r="E285" s="7">
        <v>1.2006171796116434E-2</v>
      </c>
      <c r="F285" s="7">
        <v>-1.4246722909929909E-2</v>
      </c>
      <c r="G285" s="7">
        <v>4.6820431485022724E-3</v>
      </c>
      <c r="P285" s="4"/>
      <c r="Q285" s="4"/>
      <c r="R285" s="4"/>
      <c r="S285" s="4"/>
      <c r="T285" s="4"/>
    </row>
    <row r="286" spans="1:20" x14ac:dyDescent="0.3">
      <c r="A286" s="1">
        <v>41180</v>
      </c>
      <c r="B286" s="7">
        <v>1.557142874866326E-2</v>
      </c>
      <c r="C286" s="7">
        <v>2.2034134032703503E-2</v>
      </c>
      <c r="D286" s="7">
        <v>5.4965405145410299E-3</v>
      </c>
      <c r="E286" s="7">
        <v>1.9085073779187587E-2</v>
      </c>
      <c r="F286" s="7">
        <v>8.2296330910720649E-3</v>
      </c>
      <c r="G286" s="7">
        <v>1.1671262198221042E-2</v>
      </c>
      <c r="P286" s="4"/>
      <c r="Q286" s="4"/>
      <c r="R286" s="4"/>
      <c r="S286" s="4"/>
      <c r="T286" s="4"/>
    </row>
    <row r="287" spans="1:20" x14ac:dyDescent="0.3">
      <c r="A287" s="1">
        <v>41213</v>
      </c>
      <c r="B287" s="7">
        <v>8.4535483909774518E-3</v>
      </c>
      <c r="C287" s="7">
        <v>7.4697350960944058E-3</v>
      </c>
      <c r="D287" s="7">
        <v>-2.3397023236321084E-2</v>
      </c>
      <c r="E287" s="7">
        <v>-2.2560432823790191E-3</v>
      </c>
      <c r="F287" s="7">
        <v>2.7300620907927593E-3</v>
      </c>
      <c r="G287" s="7">
        <v>1.2415495841209953E-2</v>
      </c>
      <c r="P287" s="4"/>
      <c r="Q287" s="4"/>
      <c r="R287" s="4"/>
      <c r="S287" s="4"/>
      <c r="T287" s="4"/>
    </row>
    <row r="288" spans="1:20" x14ac:dyDescent="0.3">
      <c r="A288" s="1">
        <v>41243</v>
      </c>
      <c r="B288" s="7">
        <v>3.1768553539492364E-3</v>
      </c>
      <c r="C288" s="7">
        <v>1.7348696456437689E-3</v>
      </c>
      <c r="D288" s="7">
        <v>-3.279291978875773E-2</v>
      </c>
      <c r="E288" s="7">
        <v>-7.0904395328433272E-3</v>
      </c>
      <c r="F288" s="7">
        <v>7.4534941574845703E-3</v>
      </c>
      <c r="G288" s="7">
        <v>6.7025880774030031E-3</v>
      </c>
      <c r="P288" s="4"/>
      <c r="Q288" s="4"/>
      <c r="R288" s="4"/>
      <c r="S288" s="4"/>
      <c r="T288" s="4"/>
    </row>
    <row r="289" spans="1:20" x14ac:dyDescent="0.3">
      <c r="A289" s="1">
        <v>41274</v>
      </c>
      <c r="B289" s="7">
        <v>1.3333449064501323E-2</v>
      </c>
      <c r="C289" s="7">
        <v>1.5596132528636489E-2</v>
      </c>
      <c r="D289" s="7">
        <v>-4.9436512948453686E-2</v>
      </c>
      <c r="E289" s="7">
        <v>1.5150758162424088E-2</v>
      </c>
      <c r="F289" s="7">
        <v>-8.6993718188409512E-4</v>
      </c>
      <c r="G289" s="7">
        <v>1.2880169204475005E-3</v>
      </c>
      <c r="P289" s="4"/>
      <c r="Q289" s="4"/>
      <c r="R289" s="4"/>
      <c r="S289" s="4"/>
      <c r="T289" s="4"/>
    </row>
    <row r="290" spans="1:20" x14ac:dyDescent="0.3">
      <c r="A290" s="1">
        <v>41305</v>
      </c>
      <c r="B290" s="7">
        <v>5.3183338914316765E-3</v>
      </c>
      <c r="C290" s="7">
        <v>2.8977160783838472E-2</v>
      </c>
      <c r="D290" s="7">
        <v>-5.4621925177623737E-2</v>
      </c>
      <c r="E290" s="7">
        <v>-2.4398947431241158E-2</v>
      </c>
      <c r="F290" s="7">
        <v>5.3609607489720906E-3</v>
      </c>
      <c r="G290" s="7">
        <v>3.8793326073428662E-3</v>
      </c>
      <c r="P290" s="4"/>
      <c r="Q290" s="4"/>
      <c r="R290" s="4"/>
      <c r="S290" s="4"/>
      <c r="T290" s="4"/>
    </row>
    <row r="291" spans="1:20" x14ac:dyDescent="0.3">
      <c r="A291" s="1">
        <v>41333</v>
      </c>
      <c r="B291" s="7">
        <v>-2.885157857402873E-2</v>
      </c>
      <c r="C291" s="7">
        <v>-3.859676508465016E-2</v>
      </c>
      <c r="D291" s="7">
        <v>-9.2594161055854895E-3</v>
      </c>
      <c r="E291" s="7">
        <v>-4.3615377337664414E-2</v>
      </c>
      <c r="F291" s="7">
        <v>-1.8053775854793019E-2</v>
      </c>
      <c r="G291" s="7">
        <v>-3.2659637267065825E-5</v>
      </c>
      <c r="P291" s="4"/>
      <c r="Q291" s="4"/>
      <c r="R291" s="4"/>
      <c r="S291" s="4"/>
      <c r="T291" s="4"/>
    </row>
    <row r="292" spans="1:20" x14ac:dyDescent="0.3">
      <c r="A292" s="1">
        <v>41362</v>
      </c>
      <c r="B292" s="7">
        <v>-1.373280854332551E-2</v>
      </c>
      <c r="C292" s="7">
        <v>-1.8442018859328498E-2</v>
      </c>
      <c r="D292" s="7">
        <v>-1.7778192629914872E-2</v>
      </c>
      <c r="E292" s="7">
        <v>2.4801456425951724E-3</v>
      </c>
      <c r="F292" s="7">
        <v>2.238271398993219E-2</v>
      </c>
      <c r="G292" s="7">
        <v>4.9168276789046577E-3</v>
      </c>
      <c r="P292" s="4"/>
      <c r="Q292" s="4"/>
      <c r="R292" s="4"/>
      <c r="S292" s="4"/>
      <c r="T292" s="4"/>
    </row>
    <row r="293" spans="1:20" x14ac:dyDescent="0.3">
      <c r="A293" s="1">
        <v>41394</v>
      </c>
      <c r="B293" s="7">
        <v>2.1273861912647334E-2</v>
      </c>
      <c r="C293" s="7">
        <v>2.7024118064096918E-2</v>
      </c>
      <c r="D293" s="7">
        <v>-3.3257343708366451E-2</v>
      </c>
      <c r="E293" s="7">
        <v>2.2182384399016902E-2</v>
      </c>
      <c r="F293" s="7">
        <v>-2.381740247947379E-3</v>
      </c>
      <c r="G293" s="7">
        <v>8.2358313399503724E-3</v>
      </c>
      <c r="P293" s="4"/>
      <c r="Q293" s="4"/>
      <c r="R293" s="4"/>
      <c r="S293" s="4"/>
      <c r="T293" s="4"/>
    </row>
    <row r="294" spans="1:20" x14ac:dyDescent="0.3">
      <c r="A294" s="1">
        <v>41425</v>
      </c>
      <c r="B294" s="7">
        <v>-2.742018246840152E-2</v>
      </c>
      <c r="C294" s="7">
        <v>-1.3027520428105677E-2</v>
      </c>
      <c r="D294" s="7">
        <v>-3.0739602992448586E-2</v>
      </c>
      <c r="E294" s="7">
        <v>-2.129857283977955E-2</v>
      </c>
      <c r="F294" s="7">
        <v>-7.4917118527754289E-2</v>
      </c>
      <c r="G294" s="7">
        <v>2.9459788354898654E-3</v>
      </c>
      <c r="P294" s="4"/>
      <c r="Q294" s="4"/>
      <c r="R294" s="4"/>
      <c r="S294" s="4"/>
      <c r="T294" s="4"/>
    </row>
    <row r="295" spans="1:20" x14ac:dyDescent="0.3">
      <c r="A295" s="1">
        <v>41453</v>
      </c>
      <c r="B295" s="7">
        <v>1.0578163441727116E-2</v>
      </c>
      <c r="C295" s="7">
        <v>6.8686654252289277E-4</v>
      </c>
      <c r="D295" s="7">
        <v>1.3647178963634529E-2</v>
      </c>
      <c r="E295" s="7">
        <v>1.196460372679701E-3</v>
      </c>
      <c r="F295" s="7">
        <v>-4.3107293872242609E-2</v>
      </c>
      <c r="G295" s="7">
        <v>3.8242534501844979E-3</v>
      </c>
      <c r="P295" s="4"/>
      <c r="Q295" s="4"/>
      <c r="R295" s="4"/>
      <c r="S295" s="4"/>
      <c r="T295" s="4"/>
    </row>
    <row r="296" spans="1:20" x14ac:dyDescent="0.3">
      <c r="A296" s="1">
        <v>41486</v>
      </c>
      <c r="B296" s="7">
        <v>1.9855406628520155E-2</v>
      </c>
      <c r="C296" s="7">
        <v>2.231776083051985E-2</v>
      </c>
      <c r="D296" s="7">
        <v>1.2772690881776832E-2</v>
      </c>
      <c r="E296" s="7">
        <v>-1.840918355271325E-4</v>
      </c>
      <c r="F296" s="7">
        <v>-1.4831275322960205E-2</v>
      </c>
      <c r="G296" s="7">
        <v>4.3266470841006746E-3</v>
      </c>
      <c r="P296" s="4"/>
      <c r="Q296" s="4"/>
      <c r="R296" s="4"/>
      <c r="S296" s="4"/>
      <c r="T296" s="4"/>
    </row>
    <row r="297" spans="1:20" x14ac:dyDescent="0.3">
      <c r="A297" s="1">
        <v>41516</v>
      </c>
      <c r="B297" s="7">
        <v>-4.0507736549327336E-3</v>
      </c>
      <c r="C297" s="7">
        <v>-6.1157482019579424E-3</v>
      </c>
      <c r="D297" s="7">
        <v>-2.9058443470634425E-3</v>
      </c>
      <c r="E297" s="7">
        <v>1.9760490463752948E-2</v>
      </c>
      <c r="F297" s="7">
        <v>-6.8453028502569102E-3</v>
      </c>
      <c r="G297" s="7">
        <v>4.4962331391784661E-3</v>
      </c>
      <c r="P297" s="4"/>
      <c r="Q297" s="4"/>
      <c r="R297" s="4"/>
      <c r="S297" s="4"/>
      <c r="T297" s="4"/>
    </row>
    <row r="298" spans="1:20" x14ac:dyDescent="0.3">
      <c r="A298" s="1">
        <v>41547</v>
      </c>
      <c r="B298" s="7">
        <v>2.747631690444485E-2</v>
      </c>
      <c r="C298" s="7">
        <v>2.2969356293866785E-2</v>
      </c>
      <c r="D298" s="7">
        <v>-9.1961353435398381E-4</v>
      </c>
      <c r="E298" s="7">
        <v>4.4231116616345351E-2</v>
      </c>
      <c r="F298" s="7">
        <v>4.8797153377437487E-2</v>
      </c>
      <c r="G298" s="7">
        <v>2.0355750000000728E-3</v>
      </c>
      <c r="P298" s="4"/>
      <c r="Q298" s="4"/>
      <c r="R298" s="4"/>
      <c r="S298" s="4"/>
      <c r="T298" s="4"/>
    </row>
    <row r="299" spans="1:20" x14ac:dyDescent="0.3">
      <c r="A299" s="1">
        <v>41578</v>
      </c>
      <c r="B299" s="7">
        <v>-2.5156550209914953E-3</v>
      </c>
      <c r="C299" s="7">
        <v>4.1321397683340482E-3</v>
      </c>
      <c r="D299" s="7">
        <v>-1.4671366524556058E-3</v>
      </c>
      <c r="E299" s="7">
        <v>-8.7684442299385337E-3</v>
      </c>
      <c r="F299" s="7">
        <v>1.7123077700845792E-2</v>
      </c>
      <c r="G299" s="7">
        <v>5.2583355657493322E-3</v>
      </c>
      <c r="P299" s="4"/>
      <c r="Q299" s="4"/>
      <c r="R299" s="4"/>
      <c r="S299" s="4"/>
      <c r="T299" s="4"/>
    </row>
    <row r="300" spans="1:20" x14ac:dyDescent="0.3">
      <c r="A300" s="1">
        <v>41607</v>
      </c>
      <c r="B300" s="7">
        <v>5.789044710256989E-4</v>
      </c>
      <c r="C300" s="7">
        <v>4.505008509459302E-4</v>
      </c>
      <c r="D300" s="7">
        <v>-3.9975332316081517E-2</v>
      </c>
      <c r="E300" s="7">
        <v>2.0674775277570813E-2</v>
      </c>
      <c r="F300" s="7">
        <v>-3.4906748977210897E-2</v>
      </c>
      <c r="G300" s="7">
        <v>2.0975667965893396E-3</v>
      </c>
      <c r="P300" s="4"/>
      <c r="Q300" s="4"/>
      <c r="R300" s="4"/>
      <c r="S300" s="4"/>
      <c r="T300" s="4"/>
    </row>
    <row r="301" spans="1:20" x14ac:dyDescent="0.3">
      <c r="A301" s="1">
        <v>41639</v>
      </c>
      <c r="B301" s="7">
        <v>1.4457392046429741E-2</v>
      </c>
      <c r="C301" s="7">
        <v>1.1193543901163165E-2</v>
      </c>
      <c r="D301" s="7">
        <v>-2.7439533923642626E-2</v>
      </c>
      <c r="E301" s="7">
        <v>1.1769450758964479E-2</v>
      </c>
      <c r="F301" s="7">
        <v>-1.9022190538740269E-2</v>
      </c>
      <c r="G301" s="7">
        <v>4.9926025425791314E-3</v>
      </c>
      <c r="P301" s="4"/>
      <c r="Q301" s="4"/>
      <c r="R301" s="4"/>
      <c r="S301" s="4"/>
      <c r="T301" s="4"/>
    </row>
    <row r="302" spans="1:20" x14ac:dyDescent="0.3">
      <c r="A302" s="1">
        <v>41670</v>
      </c>
      <c r="B302" s="7">
        <v>-1.5073201131431419E-2</v>
      </c>
      <c r="C302" s="7">
        <v>-1.8684006208355339E-2</v>
      </c>
      <c r="D302" s="7">
        <v>3.1743112045909141E-2</v>
      </c>
      <c r="E302" s="7">
        <v>-6.9289645215269641E-3</v>
      </c>
      <c r="F302" s="7">
        <v>-1.6053741715230961E-2</v>
      </c>
      <c r="G302" s="7">
        <v>4.2141111144759647E-3</v>
      </c>
      <c r="P302" s="4"/>
      <c r="Q302" s="4"/>
      <c r="R302" s="4"/>
      <c r="S302" s="4"/>
      <c r="T302" s="4"/>
    </row>
    <row r="303" spans="1:20" x14ac:dyDescent="0.3">
      <c r="A303" s="1">
        <v>41698</v>
      </c>
      <c r="B303" s="7">
        <v>2.9493822133681086E-2</v>
      </c>
      <c r="C303" s="7">
        <v>2.3424118166111778E-2</v>
      </c>
      <c r="D303" s="7">
        <v>2.414452908163371E-3</v>
      </c>
      <c r="E303" s="7">
        <v>1.8824369767839633E-2</v>
      </c>
      <c r="F303" s="7">
        <v>2.110754239644452E-2</v>
      </c>
      <c r="G303" s="7">
        <v>-1.2908276940253387E-2</v>
      </c>
      <c r="P303" s="4"/>
      <c r="Q303" s="4"/>
      <c r="R303" s="4"/>
      <c r="S303" s="4"/>
      <c r="T303" s="4"/>
    </row>
    <row r="304" spans="1:20" x14ac:dyDescent="0.3">
      <c r="A304" s="1">
        <v>41729</v>
      </c>
      <c r="B304" s="7">
        <v>-5.1688095613061976E-3</v>
      </c>
      <c r="C304" s="7">
        <v>-2.3721646690924472E-3</v>
      </c>
      <c r="D304" s="7">
        <v>-1.4198856126717695E-2</v>
      </c>
      <c r="E304" s="7">
        <v>-4.7296546599463665E-3</v>
      </c>
      <c r="F304" s="7">
        <v>4.0265366484680182E-2</v>
      </c>
      <c r="G304" s="7">
        <v>-1.397245260097911E-2</v>
      </c>
      <c r="P304" s="4"/>
      <c r="Q304" s="4"/>
      <c r="R304" s="4"/>
      <c r="S304" s="4"/>
      <c r="T304" s="4"/>
    </row>
    <row r="305" spans="1:20" x14ac:dyDescent="0.3">
      <c r="A305" s="1">
        <v>41759</v>
      </c>
      <c r="B305" s="7">
        <v>4.5392444011056465E-3</v>
      </c>
      <c r="C305" s="7">
        <v>7.1825399419383172E-3</v>
      </c>
      <c r="D305" s="7">
        <v>9.5364715439558243E-3</v>
      </c>
      <c r="E305" s="7">
        <v>1.2888470011946058E-2</v>
      </c>
      <c r="F305" s="7">
        <v>4.5462559640539199E-3</v>
      </c>
      <c r="G305" s="7">
        <v>-5.563447897762596E-3</v>
      </c>
      <c r="P305" s="4"/>
      <c r="Q305" s="4"/>
      <c r="R305" s="4"/>
      <c r="S305" s="4"/>
      <c r="T305" s="4"/>
    </row>
    <row r="306" spans="1:20" x14ac:dyDescent="0.3">
      <c r="A306" s="1">
        <v>41789</v>
      </c>
      <c r="B306" s="7">
        <v>-1.6964724244414083E-2</v>
      </c>
      <c r="C306" s="7">
        <v>-1.6660163954879622E-2</v>
      </c>
      <c r="D306" s="7">
        <v>4.3088950339944861E-3</v>
      </c>
      <c r="E306" s="7">
        <v>-6.7567807893541987E-3</v>
      </c>
      <c r="F306" s="7">
        <v>4.6021786163251352E-3</v>
      </c>
      <c r="G306" s="7">
        <v>2.4115067385865252E-3</v>
      </c>
      <c r="P306" s="4"/>
      <c r="Q306" s="4"/>
      <c r="R306" s="4"/>
      <c r="S306" s="4"/>
      <c r="T306" s="4"/>
    </row>
    <row r="307" spans="1:20" x14ac:dyDescent="0.3">
      <c r="A307" s="1">
        <v>41820</v>
      </c>
      <c r="B307" s="7">
        <v>9.28127374285969E-3</v>
      </c>
      <c r="C307" s="7">
        <v>4.2393393085037034E-3</v>
      </c>
      <c r="D307" s="7">
        <v>4.2888867012721389E-3</v>
      </c>
      <c r="E307" s="7">
        <v>2.1179352906832993E-2</v>
      </c>
      <c r="F307" s="7">
        <v>1.5317484492540374E-2</v>
      </c>
      <c r="G307" s="7">
        <v>8.8615258088694318E-3</v>
      </c>
      <c r="P307" s="4"/>
      <c r="Q307" s="4"/>
      <c r="R307" s="4"/>
      <c r="S307" s="4"/>
      <c r="T307" s="4"/>
    </row>
    <row r="308" spans="1:20" x14ac:dyDescent="0.3">
      <c r="A308" s="1">
        <v>41851</v>
      </c>
      <c r="B308" s="7">
        <v>-2.4471484118801012E-2</v>
      </c>
      <c r="C308" s="7">
        <v>-2.217665375560109E-2</v>
      </c>
      <c r="D308" s="7">
        <v>-1.453036181983991E-2</v>
      </c>
      <c r="E308" s="7">
        <v>-1.2612203823130773E-2</v>
      </c>
      <c r="F308" s="7">
        <v>-1.2450874876091573E-2</v>
      </c>
      <c r="G308" s="7">
        <v>6.1086343672456887E-3</v>
      </c>
      <c r="P308" s="4"/>
      <c r="Q308" s="4"/>
      <c r="R308" s="4"/>
      <c r="S308" s="4"/>
      <c r="T308" s="4"/>
    </row>
    <row r="309" spans="1:20" x14ac:dyDescent="0.3">
      <c r="A309" s="1">
        <v>41880</v>
      </c>
      <c r="B309" s="7">
        <v>-1.0475747383713605E-2</v>
      </c>
      <c r="C309" s="7">
        <v>-1.9361853385187939E-2</v>
      </c>
      <c r="D309" s="7">
        <v>-1.2714987021052686E-2</v>
      </c>
      <c r="E309" s="7">
        <v>-1.6812168356255503E-2</v>
      </c>
      <c r="F309" s="7">
        <v>6.8861568517098095E-3</v>
      </c>
      <c r="G309" s="7">
        <v>7.5784957725588079E-3</v>
      </c>
      <c r="P309" s="4"/>
      <c r="Q309" s="4"/>
      <c r="R309" s="4"/>
      <c r="S309" s="4"/>
      <c r="T309" s="4"/>
    </row>
    <row r="310" spans="1:20" x14ac:dyDescent="0.3">
      <c r="A310" s="1">
        <v>41912</v>
      </c>
      <c r="B310" s="7">
        <v>-3.8730111048393037E-2</v>
      </c>
      <c r="C310" s="7">
        <v>-3.8311460394588479E-2</v>
      </c>
      <c r="D310" s="7">
        <v>-5.0813171138038689E-2</v>
      </c>
      <c r="E310" s="7">
        <v>-2.2969526628645282E-2</v>
      </c>
      <c r="F310" s="7">
        <v>-6.1437383913635388E-2</v>
      </c>
      <c r="G310" s="7">
        <v>-2.5820392004919659E-3</v>
      </c>
      <c r="P310" s="4"/>
      <c r="Q310" s="4"/>
      <c r="R310" s="4"/>
      <c r="S310" s="4"/>
      <c r="T310" s="4"/>
    </row>
    <row r="311" spans="1:20" x14ac:dyDescent="0.3">
      <c r="A311" s="1">
        <v>41943</v>
      </c>
      <c r="B311" s="7">
        <v>-8.1832381697640975E-3</v>
      </c>
      <c r="C311" s="7">
        <v>-8.594555145888999E-3</v>
      </c>
      <c r="D311" s="7">
        <v>-2.4230342294736827E-2</v>
      </c>
      <c r="E311" s="7">
        <v>-1.3178189356267689E-2</v>
      </c>
      <c r="F311" s="7">
        <v>8.1137227446635221E-3</v>
      </c>
      <c r="G311" s="7">
        <v>1.1304657601977972E-2</v>
      </c>
      <c r="P311" s="4"/>
      <c r="Q311" s="4"/>
      <c r="R311" s="4"/>
      <c r="S311" s="4"/>
      <c r="T311" s="4"/>
    </row>
    <row r="312" spans="1:20" x14ac:dyDescent="0.3">
      <c r="A312" s="1">
        <v>41971</v>
      </c>
      <c r="B312" s="7">
        <v>-3.4904413161340165E-3</v>
      </c>
      <c r="C312" s="7">
        <v>-6.0180133291930418E-3</v>
      </c>
      <c r="D312" s="7">
        <v>-5.3129524763734379E-2</v>
      </c>
      <c r="E312" s="7">
        <v>-2.1640230003658296E-2</v>
      </c>
      <c r="F312" s="7">
        <v>-3.1175289388829509E-2</v>
      </c>
      <c r="G312" s="7">
        <v>-3.0071708823529255E-3</v>
      </c>
      <c r="P312" s="4"/>
      <c r="Q312" s="4"/>
      <c r="R312" s="4"/>
      <c r="S312" s="4"/>
      <c r="T312" s="4"/>
    </row>
    <row r="313" spans="1:20" x14ac:dyDescent="0.3">
      <c r="A313" s="1">
        <v>42004</v>
      </c>
      <c r="B313" s="7">
        <v>-2.9122045851168517E-2</v>
      </c>
      <c r="C313" s="7">
        <v>-2.8582853499727476E-2</v>
      </c>
      <c r="D313" s="7">
        <v>-9.5016991530249267E-3</v>
      </c>
      <c r="E313" s="7">
        <v>-4.1828539427697393E-3</v>
      </c>
      <c r="F313" s="7">
        <v>-3.6832468937110771E-2</v>
      </c>
      <c r="G313" s="7">
        <v>-6.1628241774491013E-3</v>
      </c>
      <c r="P313" s="4"/>
      <c r="Q313" s="4"/>
      <c r="R313" s="4"/>
      <c r="S313" s="4"/>
      <c r="T313" s="4"/>
    </row>
    <row r="314" spans="1:20" x14ac:dyDescent="0.3">
      <c r="A314" s="1">
        <v>42034</v>
      </c>
      <c r="B314" s="7">
        <v>7.9901443343800282E-2</v>
      </c>
      <c r="C314" s="7">
        <v>-6.7012174867253041E-2</v>
      </c>
      <c r="D314" s="7">
        <v>1.8044385791741575E-2</v>
      </c>
      <c r="E314" s="7">
        <v>-3.2957775058016101E-2</v>
      </c>
      <c r="F314" s="7">
        <v>-4.8348832504735574E-2</v>
      </c>
      <c r="G314" s="7">
        <v>-7.1642487562187497E-3</v>
      </c>
      <c r="P314" s="4"/>
      <c r="Q314" s="4"/>
      <c r="R314" s="4"/>
      <c r="S314" s="4"/>
      <c r="T314" s="4"/>
    </row>
    <row r="315" spans="1:20" x14ac:dyDescent="0.3">
      <c r="A315" s="1">
        <v>42062</v>
      </c>
      <c r="B315" s="7">
        <v>-3.6626436214172831E-2</v>
      </c>
      <c r="C315" s="7">
        <v>-8.6578630006960162E-3</v>
      </c>
      <c r="D315" s="7">
        <v>-1.7672108571697338E-2</v>
      </c>
      <c r="E315" s="7">
        <v>2.5287502888975667E-2</v>
      </c>
      <c r="F315" s="7">
        <v>7.750437212423981E-3</v>
      </c>
      <c r="G315" s="7">
        <v>2.8379685929648614E-3</v>
      </c>
      <c r="P315" s="4"/>
      <c r="Q315" s="4"/>
      <c r="R315" s="4"/>
      <c r="S315" s="4"/>
      <c r="T315" s="4"/>
    </row>
    <row r="316" spans="1:20" x14ac:dyDescent="0.3">
      <c r="A316" s="1">
        <v>42094</v>
      </c>
      <c r="B316" s="7">
        <v>-2.052942772834792E-2</v>
      </c>
      <c r="C316" s="7">
        <v>-4.1908362119533395E-2</v>
      </c>
      <c r="D316" s="7">
        <v>-4.7557160956938132E-3</v>
      </c>
      <c r="E316" s="7">
        <v>-3.9937386657475121E-2</v>
      </c>
      <c r="F316" s="7">
        <v>-2.3798676924458972E-2</v>
      </c>
      <c r="G316" s="7">
        <v>1.7315597169811191E-2</v>
      </c>
      <c r="P316" s="4"/>
      <c r="Q316" s="4"/>
      <c r="R316" s="4"/>
      <c r="S316" s="4"/>
      <c r="T316" s="4"/>
    </row>
    <row r="317" spans="1:20" x14ac:dyDescent="0.3">
      <c r="A317" s="1">
        <v>42124</v>
      </c>
      <c r="B317" s="7">
        <v>4.1356932452883494E-2</v>
      </c>
      <c r="C317" s="7">
        <v>4.5512975762430956E-2</v>
      </c>
      <c r="D317" s="7">
        <v>5.8854536869293542E-3</v>
      </c>
      <c r="E317" s="7">
        <v>3.6190738475744513E-2</v>
      </c>
      <c r="F317" s="7">
        <v>4.1080880329036756E-2</v>
      </c>
      <c r="G317" s="7">
        <v>3.834180000000042E-3</v>
      </c>
      <c r="P317" s="4"/>
      <c r="Q317" s="4"/>
      <c r="R317" s="4"/>
      <c r="S317" s="4"/>
      <c r="T317" s="4"/>
    </row>
    <row r="318" spans="1:20" x14ac:dyDescent="0.3">
      <c r="A318" s="1">
        <v>42153</v>
      </c>
      <c r="B318" s="7">
        <v>-9.1765943063796332E-3</v>
      </c>
      <c r="C318" s="7">
        <v>-2.1579402046614335E-2</v>
      </c>
      <c r="D318" s="7">
        <v>-3.871084083120465E-2</v>
      </c>
      <c r="E318" s="7">
        <v>-3.6904696748165278E-3</v>
      </c>
      <c r="F318" s="7">
        <v>-3.1247188462654531E-2</v>
      </c>
      <c r="G318" s="7">
        <v>3.3530724643080225E-3</v>
      </c>
      <c r="P318" s="4"/>
      <c r="Q318" s="4"/>
      <c r="R318" s="4"/>
      <c r="S318" s="4"/>
      <c r="T318" s="4"/>
    </row>
    <row r="319" spans="1:20" x14ac:dyDescent="0.3">
      <c r="A319" s="1">
        <v>42185</v>
      </c>
      <c r="B319" s="7">
        <v>4.0054673479550072E-3</v>
      </c>
      <c r="C319" s="7">
        <v>1.4263564762916937E-2</v>
      </c>
      <c r="D319" s="7">
        <v>1.2977631129050262E-2</v>
      </c>
      <c r="E319" s="7">
        <v>2.7752993906220245E-2</v>
      </c>
      <c r="F319" s="7">
        <v>9.7225261012029978E-3</v>
      </c>
      <c r="G319" s="7">
        <v>1.4739526054589266E-3</v>
      </c>
      <c r="P319" s="4"/>
      <c r="Q319" s="4"/>
      <c r="R319" s="4"/>
      <c r="S319" s="4"/>
      <c r="T319" s="4"/>
    </row>
    <row r="320" spans="1:20" x14ac:dyDescent="0.3">
      <c r="A320" s="1">
        <v>42216</v>
      </c>
      <c r="B320" s="7">
        <v>-3.2973698560071034E-2</v>
      </c>
      <c r="C320" s="7">
        <v>-1.502128411309317E-2</v>
      </c>
      <c r="D320" s="7">
        <v>-1.1397523624145537E-2</v>
      </c>
      <c r="E320" s="7">
        <v>-5.5160691720803016E-3</v>
      </c>
      <c r="F320" s="7">
        <v>-5.0064017990030185E-2</v>
      </c>
      <c r="G320" s="7">
        <v>4.8095142768619754E-5</v>
      </c>
      <c r="P320" s="4"/>
      <c r="Q320" s="4"/>
      <c r="R320" s="4"/>
      <c r="S320" s="4"/>
      <c r="T320" s="4"/>
    </row>
    <row r="321" spans="1:20" x14ac:dyDescent="0.3">
      <c r="A321" s="1">
        <v>42247</v>
      </c>
      <c r="B321" s="7">
        <v>-2.0563864284663795E-3</v>
      </c>
      <c r="C321" s="7">
        <v>2.0272582324375843E-2</v>
      </c>
      <c r="D321" s="7">
        <v>2.1509050679326135E-2</v>
      </c>
      <c r="E321" s="7">
        <v>-1.7512542801750769E-2</v>
      </c>
      <c r="F321" s="7">
        <v>-2.4883097014055663E-2</v>
      </c>
      <c r="G321" s="7">
        <v>-3.1594624467952907E-2</v>
      </c>
      <c r="P321" s="4"/>
      <c r="Q321" s="4"/>
      <c r="R321" s="4"/>
      <c r="S321" s="4"/>
      <c r="T321" s="4"/>
    </row>
    <row r="322" spans="1:20" x14ac:dyDescent="0.3">
      <c r="A322" s="1">
        <v>42277</v>
      </c>
      <c r="B322" s="7">
        <v>-7.048631563358468E-3</v>
      </c>
      <c r="C322" s="7">
        <v>-3.467402051910309E-3</v>
      </c>
      <c r="D322" s="7">
        <v>1.0751884629555087E-2</v>
      </c>
      <c r="E322" s="7">
        <v>-1.3974345604338386E-2</v>
      </c>
      <c r="F322" s="7">
        <v>-1.1841567986933482E-2</v>
      </c>
      <c r="G322" s="7">
        <v>1.658079793814448E-2</v>
      </c>
      <c r="P322" s="4"/>
      <c r="Q322" s="4"/>
      <c r="R322" s="4"/>
      <c r="S322" s="4"/>
      <c r="T322" s="4"/>
    </row>
    <row r="323" spans="1:20" x14ac:dyDescent="0.3">
      <c r="A323" s="1">
        <v>42307</v>
      </c>
      <c r="B323" s="7">
        <v>-1.5695421940549133E-2</v>
      </c>
      <c r="C323" s="7">
        <v>-1.5753664766020033E-2</v>
      </c>
      <c r="D323" s="7">
        <v>-6.4792749125150923E-3</v>
      </c>
      <c r="E323" s="7">
        <v>1.9973713926065877E-2</v>
      </c>
      <c r="F323" s="7">
        <v>1.8809001144697173E-2</v>
      </c>
      <c r="G323" s="7">
        <v>1.1107323155216288E-2</v>
      </c>
      <c r="P323" s="4"/>
      <c r="Q323" s="4"/>
      <c r="R323" s="4"/>
      <c r="S323" s="4"/>
      <c r="T323" s="4"/>
    </row>
    <row r="324" spans="1:20" x14ac:dyDescent="0.3">
      <c r="A324" s="1">
        <v>42338</v>
      </c>
      <c r="B324" s="7">
        <v>-4.0780912150439531E-2</v>
      </c>
      <c r="C324" s="7">
        <v>-4.0425645930233199E-2</v>
      </c>
      <c r="D324" s="7">
        <v>-2.0517997913424124E-2</v>
      </c>
      <c r="E324" s="7">
        <v>-2.3938023694915725E-2</v>
      </c>
      <c r="F324" s="7">
        <v>1.4038263212173569E-2</v>
      </c>
      <c r="G324" s="7">
        <v>-1.253308128950689E-2</v>
      </c>
      <c r="P324" s="4"/>
      <c r="Q324" s="4"/>
      <c r="R324" s="4"/>
      <c r="S324" s="4"/>
      <c r="T324" s="4"/>
    </row>
    <row r="325" spans="1:20" x14ac:dyDescent="0.3">
      <c r="A325" s="1">
        <v>42369</v>
      </c>
      <c r="B325" s="7">
        <v>2.378630274042599E-2</v>
      </c>
      <c r="C325" s="7">
        <v>2.6979242009520951E-2</v>
      </c>
      <c r="D325" s="7">
        <v>2.2424976694078697E-2</v>
      </c>
      <c r="E325" s="7">
        <v>-2.1426223466246966E-2</v>
      </c>
      <c r="F325" s="7">
        <v>9.8979983616533495E-3</v>
      </c>
      <c r="G325" s="7">
        <v>-1.814142652536932E-2</v>
      </c>
      <c r="P325" s="4"/>
      <c r="Q325" s="4"/>
      <c r="R325" s="4"/>
      <c r="S325" s="4"/>
      <c r="T325" s="4"/>
    </row>
    <row r="326" spans="1:20" x14ac:dyDescent="0.3">
      <c r="A326" s="1">
        <v>42398</v>
      </c>
      <c r="B326" s="7">
        <v>-2.1507542104340055E-2</v>
      </c>
      <c r="C326" s="7">
        <v>-3.6089392772739128E-3</v>
      </c>
      <c r="D326" s="7">
        <v>-7.8465912150073418E-3</v>
      </c>
      <c r="E326" s="7">
        <v>-3.3467641794042477E-2</v>
      </c>
      <c r="F326" s="7">
        <v>-2.6255634012874254E-2</v>
      </c>
      <c r="G326" s="7">
        <v>1.7967988830485972E-3</v>
      </c>
      <c r="P326" s="4"/>
      <c r="Q326" s="4"/>
      <c r="R326" s="4"/>
      <c r="S326" s="4"/>
      <c r="T326" s="4"/>
    </row>
    <row r="327" spans="1:20" x14ac:dyDescent="0.3">
      <c r="A327" s="1">
        <v>42429</v>
      </c>
      <c r="B327" s="7">
        <v>2.3412722667519266E-2</v>
      </c>
      <c r="C327" s="7">
        <v>3.1942042999046688E-3</v>
      </c>
      <c r="D327" s="7">
        <v>7.430091356279081E-2</v>
      </c>
      <c r="E327" s="7">
        <v>-2.2987900550740986E-2</v>
      </c>
      <c r="F327" s="7">
        <v>9.4427638460884734E-3</v>
      </c>
      <c r="G327" s="7">
        <v>1.0510762030323108E-2</v>
      </c>
      <c r="P327" s="4"/>
      <c r="Q327" s="4"/>
      <c r="R327" s="4"/>
      <c r="S327" s="4"/>
      <c r="T327" s="4"/>
    </row>
    <row r="328" spans="1:20" x14ac:dyDescent="0.3">
      <c r="A328" s="1">
        <v>42460</v>
      </c>
      <c r="B328" s="7">
        <v>3.6447035121267984E-2</v>
      </c>
      <c r="C328" s="7">
        <v>4.5617594307723892E-2</v>
      </c>
      <c r="D328" s="7">
        <v>-1.1838371703848768E-4</v>
      </c>
      <c r="E328" s="7">
        <v>3.1701841041760194E-2</v>
      </c>
      <c r="F328" s="7">
        <v>7.3861835480496171E-2</v>
      </c>
      <c r="G328" s="7">
        <v>1.6546067889908086E-2</v>
      </c>
      <c r="P328" s="4"/>
      <c r="Q328" s="4"/>
      <c r="R328" s="4"/>
      <c r="S328" s="4"/>
      <c r="T328" s="4"/>
    </row>
    <row r="329" spans="1:20" x14ac:dyDescent="0.3">
      <c r="A329" s="1">
        <v>42489</v>
      </c>
      <c r="B329" s="7">
        <v>1.2793093527747551E-3</v>
      </c>
      <c r="C329" s="7">
        <v>5.3432179060134786E-3</v>
      </c>
      <c r="D329" s="7">
        <v>5.7678042523696849E-2</v>
      </c>
      <c r="E329" s="7">
        <v>1.7460179301941114E-2</v>
      </c>
      <c r="F329" s="7">
        <v>-5.6888772641078608E-3</v>
      </c>
      <c r="G329" s="7">
        <v>-2.2297620555914864E-3</v>
      </c>
      <c r="P329" s="4"/>
      <c r="Q329" s="4"/>
      <c r="R329" s="4"/>
      <c r="S329" s="4"/>
      <c r="T329" s="4"/>
    </row>
    <row r="330" spans="1:20" x14ac:dyDescent="0.3">
      <c r="A330" s="1">
        <v>42521</v>
      </c>
      <c r="B330" s="7">
        <v>-3.6066017767076027E-2</v>
      </c>
      <c r="C330" s="7">
        <v>-2.8718758588797834E-2</v>
      </c>
      <c r="D330" s="7">
        <v>-4.0332266777541301E-2</v>
      </c>
      <c r="E330" s="7">
        <v>-8.9029706222500272E-3</v>
      </c>
      <c r="F330" s="7">
        <v>-4.7318030368877703E-2</v>
      </c>
      <c r="G330" s="7">
        <v>-1.4311852334630327E-2</v>
      </c>
      <c r="P330" s="4"/>
      <c r="Q330" s="4"/>
      <c r="R330" s="4"/>
      <c r="S330" s="4"/>
      <c r="T330" s="4"/>
    </row>
    <row r="331" spans="1:20" x14ac:dyDescent="0.3">
      <c r="A331" s="1">
        <v>42551</v>
      </c>
      <c r="B331" s="7">
        <v>1.6864385512871501E-2</v>
      </c>
      <c r="C331" s="7">
        <v>-3.4832325690320179E-3</v>
      </c>
      <c r="D331" s="7">
        <v>7.1927531504152112E-2</v>
      </c>
      <c r="E331" s="7">
        <v>-8.1138170974155058E-2</v>
      </c>
      <c r="F331" s="7">
        <v>3.1237457268210287E-2</v>
      </c>
      <c r="G331" s="7">
        <v>-1.0732707509881388E-2</v>
      </c>
      <c r="P331" s="4"/>
      <c r="Q331" s="4"/>
      <c r="R331" s="4"/>
      <c r="S331" s="4"/>
      <c r="T331" s="4"/>
    </row>
    <row r="332" spans="1:20" x14ac:dyDescent="0.3">
      <c r="A332" s="1">
        <v>42580</v>
      </c>
      <c r="B332" s="7">
        <v>4.7984832689117194E-3</v>
      </c>
      <c r="C332" s="7">
        <v>4.9826416994944306E-3</v>
      </c>
      <c r="D332" s="7">
        <v>9.9962471382583525E-3</v>
      </c>
      <c r="E332" s="7">
        <v>-6.3472106746699552E-3</v>
      </c>
      <c r="F332" s="7">
        <v>2.0622047371051777E-2</v>
      </c>
      <c r="G332" s="7">
        <v>7.1166600000000134E-3</v>
      </c>
      <c r="P332" s="4"/>
      <c r="Q332" s="4"/>
      <c r="R332" s="4"/>
      <c r="S332" s="4"/>
      <c r="T332" s="4"/>
    </row>
    <row r="333" spans="1:20" x14ac:dyDescent="0.3">
      <c r="A333" s="1">
        <v>42613</v>
      </c>
      <c r="B333" s="7">
        <v>-1.639013262413978E-2</v>
      </c>
      <c r="C333" s="7">
        <v>-2.6154751029295684E-3</v>
      </c>
      <c r="D333" s="7">
        <v>-1.4195700735149837E-2</v>
      </c>
      <c r="E333" s="7">
        <v>-7.4152982551572077E-3</v>
      </c>
      <c r="F333" s="7">
        <v>-9.3386013974955211E-3</v>
      </c>
      <c r="G333" s="7">
        <v>-8.8945578528828954E-3</v>
      </c>
      <c r="P333" s="4"/>
      <c r="Q333" s="4"/>
      <c r="R333" s="4"/>
      <c r="S333" s="4"/>
      <c r="T333" s="4"/>
    </row>
    <row r="334" spans="1:20" x14ac:dyDescent="0.3">
      <c r="A334" s="1">
        <v>42643</v>
      </c>
      <c r="B334" s="7">
        <v>1.0953166524990208E-2</v>
      </c>
      <c r="C334" s="7">
        <v>5.5409917936757496E-3</v>
      </c>
      <c r="D334" s="7">
        <v>1.9136563811273197E-2</v>
      </c>
      <c r="E334" s="7">
        <v>-1.33980724299066E-2</v>
      </c>
      <c r="F334" s="7">
        <v>2.0357897455628868E-2</v>
      </c>
      <c r="G334" s="7">
        <v>3.2430571285140234E-3</v>
      </c>
      <c r="P334" s="4"/>
      <c r="Q334" s="4"/>
      <c r="R334" s="4"/>
      <c r="S334" s="4"/>
      <c r="T334" s="4"/>
    </row>
    <row r="335" spans="1:20" x14ac:dyDescent="0.3">
      <c r="A335" s="1">
        <v>42674</v>
      </c>
      <c r="B335" s="7">
        <v>-1.9769468295289198E-2</v>
      </c>
      <c r="C335" s="7">
        <v>-2.3999601813879959E-2</v>
      </c>
      <c r="D335" s="7">
        <v>-3.4472273520064878E-2</v>
      </c>
      <c r="E335" s="7">
        <v>-5.6862515485266565E-2</v>
      </c>
      <c r="F335" s="7">
        <v>-6.4634066723247363E-3</v>
      </c>
      <c r="G335" s="7">
        <v>-1.2409808784235175E-2</v>
      </c>
      <c r="P335" s="4"/>
      <c r="Q335" s="4"/>
      <c r="R335" s="4"/>
      <c r="S335" s="4"/>
      <c r="T335" s="4"/>
    </row>
    <row r="336" spans="1:20" x14ac:dyDescent="0.3">
      <c r="A336" s="1">
        <v>42704</v>
      </c>
      <c r="B336" s="7">
        <v>-2.9266647305835624E-2</v>
      </c>
      <c r="C336" s="7">
        <v>-3.6855796692801757E-2</v>
      </c>
      <c r="D336" s="7">
        <v>-8.5172169559748462E-2</v>
      </c>
      <c r="E336" s="7">
        <v>2.0980471074805159E-2</v>
      </c>
      <c r="F336" s="7">
        <v>-2.8666504448931016E-2</v>
      </c>
      <c r="G336" s="7">
        <v>-1.7419716949152363E-2</v>
      </c>
      <c r="P336" s="4"/>
      <c r="Q336" s="4"/>
      <c r="R336" s="4"/>
      <c r="S336" s="4"/>
      <c r="T336" s="4"/>
    </row>
    <row r="337" spans="1:20" x14ac:dyDescent="0.3">
      <c r="A337" s="1">
        <v>42734</v>
      </c>
      <c r="B337" s="7">
        <v>-3.9301259960829917E-3</v>
      </c>
      <c r="C337" s="7">
        <v>-8.6111412236586204E-3</v>
      </c>
      <c r="D337" s="7">
        <v>-2.3647433884615539E-2</v>
      </c>
      <c r="E337" s="7">
        <v>-1.4340782488813507E-2</v>
      </c>
      <c r="F337" s="7">
        <v>-2.3176519375201668E-2</v>
      </c>
      <c r="G337" s="7">
        <v>-5.215655186722225E-3</v>
      </c>
      <c r="P337" s="4"/>
      <c r="Q337" s="4"/>
      <c r="R337" s="4"/>
      <c r="S337" s="4"/>
      <c r="T337" s="4"/>
    </row>
    <row r="338" spans="1:20" x14ac:dyDescent="0.3">
      <c r="A338" s="1">
        <v>42766</v>
      </c>
      <c r="B338" s="7">
        <v>2.7387365468262773E-2</v>
      </c>
      <c r="C338" s="7">
        <v>2.5015971377772277E-2</v>
      </c>
      <c r="D338" s="7">
        <v>3.5402009706036922E-2</v>
      </c>
      <c r="E338" s="7">
        <v>1.8481483700571798E-2</v>
      </c>
      <c r="F338" s="7">
        <v>5.316358678220675E-2</v>
      </c>
      <c r="G338" s="7">
        <v>3.3136707661785066E-2</v>
      </c>
      <c r="P338" s="4"/>
      <c r="Q338" s="4"/>
      <c r="R338" s="4"/>
      <c r="S338" s="4"/>
      <c r="T338" s="4"/>
    </row>
    <row r="339" spans="1:20" x14ac:dyDescent="0.3">
      <c r="A339" s="1">
        <v>42794</v>
      </c>
      <c r="B339" s="7">
        <v>-1.7687373085782172E-2</v>
      </c>
      <c r="C339" s="7">
        <v>-2.1561541891709404E-2</v>
      </c>
      <c r="D339" s="7">
        <v>-4.1980452453474129E-4</v>
      </c>
      <c r="E339" s="7">
        <v>-1.6300957874955849E-2</v>
      </c>
      <c r="F339" s="7">
        <v>1.0170305452175656E-2</v>
      </c>
      <c r="G339" s="7">
        <v>7.9208686006833459E-4</v>
      </c>
      <c r="P339" s="4"/>
      <c r="Q339" s="4"/>
      <c r="R339" s="4"/>
      <c r="S339" s="4"/>
      <c r="T339" s="4"/>
    </row>
    <row r="340" spans="1:20" x14ac:dyDescent="0.3">
      <c r="A340" s="1">
        <v>42825</v>
      </c>
      <c r="B340" s="7">
        <v>9.5961082512581496E-4</v>
      </c>
      <c r="C340" s="7">
        <v>5.6807935927974101E-3</v>
      </c>
      <c r="D340" s="7">
        <v>1.0880200354172408E-2</v>
      </c>
      <c r="E340" s="7">
        <v>1.2885027460886907E-2</v>
      </c>
      <c r="F340" s="7">
        <v>-2.9692670406131581E-3</v>
      </c>
      <c r="G340" s="7">
        <v>-2.1354133824542831E-4</v>
      </c>
      <c r="P340" s="4"/>
      <c r="Q340" s="4"/>
      <c r="R340" s="4"/>
      <c r="S340" s="4"/>
      <c r="T340" s="4"/>
    </row>
    <row r="341" spans="1:20" x14ac:dyDescent="0.3">
      <c r="A341" s="1">
        <v>42853</v>
      </c>
      <c r="B341" s="7">
        <v>6.403661119125467E-3</v>
      </c>
      <c r="C341" s="7">
        <v>2.1436573898287525E-2</v>
      </c>
      <c r="D341" s="7">
        <v>-2.4366602816309258E-3</v>
      </c>
      <c r="E341" s="7">
        <v>3.1224992734207355E-2</v>
      </c>
      <c r="F341" s="7">
        <v>-1.7958197649027539E-2</v>
      </c>
      <c r="G341" s="7">
        <v>-7.6842611683844647E-4</v>
      </c>
      <c r="P341" s="4"/>
      <c r="Q341" s="4"/>
      <c r="R341" s="4"/>
      <c r="S341" s="4"/>
      <c r="T341" s="4"/>
    </row>
    <row r="342" spans="1:20" x14ac:dyDescent="0.3">
      <c r="A342" s="1">
        <v>42886</v>
      </c>
      <c r="B342" s="7">
        <v>2.5850837093354607E-2</v>
      </c>
      <c r="C342" s="7">
        <v>3.040727846564267E-2</v>
      </c>
      <c r="D342" s="7">
        <v>5.7684562685701539E-3</v>
      </c>
      <c r="E342" s="7">
        <v>-5.5930568948890872E-3</v>
      </c>
      <c r="F342" s="7">
        <v>-7.19018788558245E-3</v>
      </c>
      <c r="G342" s="7">
        <v>2.5403465517241521E-2</v>
      </c>
      <c r="P342" s="4"/>
      <c r="Q342" s="4"/>
      <c r="R342" s="4"/>
      <c r="S342" s="4"/>
      <c r="T342" s="4"/>
    </row>
    <row r="343" spans="1:20" x14ac:dyDescent="0.3">
      <c r="A343" s="1">
        <v>42916</v>
      </c>
      <c r="B343" s="7">
        <v>7.7644596705217159E-3</v>
      </c>
      <c r="C343" s="7">
        <v>1.4491981553399735E-2</v>
      </c>
      <c r="D343" s="7">
        <v>-1.5451451534559197E-2</v>
      </c>
      <c r="E343" s="7">
        <v>9.4637712946479217E-3</v>
      </c>
      <c r="F343" s="7">
        <v>3.5371489512975564E-2</v>
      </c>
      <c r="G343" s="7">
        <v>2.1722781713900369E-3</v>
      </c>
      <c r="P343" s="4"/>
      <c r="Q343" s="4"/>
      <c r="R343" s="4"/>
      <c r="S343" s="4"/>
      <c r="T343" s="4"/>
    </row>
    <row r="344" spans="1:20" x14ac:dyDescent="0.3">
      <c r="A344" s="1">
        <v>42947</v>
      </c>
      <c r="B344" s="7">
        <v>-1.0951756726784946E-2</v>
      </c>
      <c r="C344" s="7">
        <v>3.4665939726908145E-2</v>
      </c>
      <c r="D344" s="7">
        <v>1.7586222715650125E-2</v>
      </c>
      <c r="E344" s="7">
        <v>1.3536055883685944E-2</v>
      </c>
      <c r="F344" s="7">
        <v>4.1262786467617184E-2</v>
      </c>
      <c r="G344" s="7">
        <v>1.0630035720338974E-2</v>
      </c>
      <c r="P344" s="4"/>
      <c r="Q344" s="4"/>
      <c r="R344" s="4"/>
      <c r="S344" s="4"/>
      <c r="T344" s="4"/>
    </row>
    <row r="345" spans="1:20" x14ac:dyDescent="0.3">
      <c r="A345" s="1">
        <v>42978</v>
      </c>
      <c r="B345" s="7">
        <v>6.4375944579384498E-3</v>
      </c>
      <c r="C345" s="7">
        <v>3.9729003183885435E-3</v>
      </c>
      <c r="D345" s="7">
        <v>1.101866314553428E-3</v>
      </c>
      <c r="E345" s="7">
        <v>-2.2652836158670323E-2</v>
      </c>
      <c r="F345" s="7">
        <v>-6.5889888508458751E-3</v>
      </c>
      <c r="G345" s="7">
        <v>2.101835373234702E-2</v>
      </c>
      <c r="P345" s="4"/>
      <c r="Q345" s="4"/>
      <c r="R345" s="4"/>
      <c r="S345" s="4"/>
      <c r="T345" s="4"/>
    </row>
    <row r="346" spans="1:20" x14ac:dyDescent="0.3">
      <c r="A346" s="1">
        <v>43007</v>
      </c>
      <c r="B346" s="7">
        <v>-1.1752130262703707E-2</v>
      </c>
      <c r="C346" s="7">
        <v>-9.661127061634224E-3</v>
      </c>
      <c r="D346" s="7">
        <v>-2.4043827498438468E-2</v>
      </c>
      <c r="E346" s="7">
        <v>3.510615284773954E-2</v>
      </c>
      <c r="F346" s="7">
        <v>-1.3877962048022094E-2</v>
      </c>
      <c r="G346" s="7">
        <v>-7.0120778891822151E-3</v>
      </c>
      <c r="P346" s="4"/>
      <c r="Q346" s="4"/>
      <c r="R346" s="4"/>
      <c r="S346" s="4"/>
      <c r="T346" s="4"/>
    </row>
    <row r="347" spans="1:20" x14ac:dyDescent="0.3">
      <c r="A347" s="1">
        <v>43039</v>
      </c>
      <c r="B347" s="7">
        <v>-3.1486858330209075E-2</v>
      </c>
      <c r="C347" s="7">
        <v>-1.5842352243255652E-2</v>
      </c>
      <c r="D347" s="7">
        <v>-1.1294380285810828E-2</v>
      </c>
      <c r="E347" s="7">
        <v>-9.5805909708765458E-3</v>
      </c>
      <c r="F347" s="7">
        <v>-2.235332426686076E-2</v>
      </c>
      <c r="G347" s="7">
        <v>5.2116799733867196E-3</v>
      </c>
      <c r="P347" s="4"/>
      <c r="Q347" s="4"/>
      <c r="R347" s="4"/>
      <c r="S347" s="4"/>
      <c r="T347" s="4"/>
    </row>
    <row r="348" spans="1:20" x14ac:dyDescent="0.3">
      <c r="A348" s="1">
        <v>43069</v>
      </c>
      <c r="B348" s="7">
        <v>1.2318305501197283E-2</v>
      </c>
      <c r="C348" s="7">
        <v>2.0460647457592056E-2</v>
      </c>
      <c r="D348" s="7">
        <v>8.452267672727054E-3</v>
      </c>
      <c r="E348" s="7">
        <v>1.7331875094963516E-2</v>
      </c>
      <c r="F348" s="7">
        <v>-1.1432677859802606E-2</v>
      </c>
      <c r="G348" s="7">
        <v>5.1766398673739073E-3</v>
      </c>
      <c r="P348" s="4"/>
      <c r="Q348" s="4"/>
      <c r="R348" s="4"/>
      <c r="S348" s="4"/>
      <c r="T348" s="4"/>
    </row>
    <row r="349" spans="1:20" x14ac:dyDescent="0.3">
      <c r="A349" s="1">
        <v>43098</v>
      </c>
      <c r="B349" s="7">
        <v>6.3058220049670901E-3</v>
      </c>
      <c r="C349" s="7">
        <v>6.2132937497432223E-3</v>
      </c>
      <c r="D349" s="7">
        <v>-3.2397134926402658E-3</v>
      </c>
      <c r="E349" s="7">
        <v>-2.2380053325221131E-3</v>
      </c>
      <c r="F349" s="7">
        <v>3.2283820547325821E-2</v>
      </c>
      <c r="G349" s="7">
        <v>1.668964771976221E-2</v>
      </c>
      <c r="P349" s="4"/>
      <c r="Q349" s="4"/>
      <c r="R349" s="4"/>
      <c r="S349" s="4"/>
      <c r="T349" s="4"/>
    </row>
    <row r="350" spans="1:20" x14ac:dyDescent="0.3">
      <c r="A350" s="1">
        <v>43131</v>
      </c>
      <c r="B350" s="7">
        <v>4.4125411003001658E-2</v>
      </c>
      <c r="C350" s="7">
        <v>3.2104657108294556E-2</v>
      </c>
      <c r="D350" s="7">
        <v>3.0561096593779803E-2</v>
      </c>
      <c r="E350" s="7">
        <v>4.9059867601562765E-2</v>
      </c>
      <c r="F350" s="7">
        <v>3.1482299610072755E-2</v>
      </c>
      <c r="G350" s="7">
        <v>3.5494961498371537E-2</v>
      </c>
      <c r="P350" s="4"/>
      <c r="Q350" s="4"/>
      <c r="R350" s="4"/>
      <c r="S350" s="4"/>
      <c r="T350" s="4"/>
    </row>
    <row r="351" spans="1:20" x14ac:dyDescent="0.3">
      <c r="A351" s="1">
        <v>43159</v>
      </c>
      <c r="B351" s="7">
        <v>-1.6129850077463235E-2</v>
      </c>
      <c r="C351" s="7">
        <v>-1.9453325527986662E-2</v>
      </c>
      <c r="D351" s="7">
        <v>2.1949966003755882E-2</v>
      </c>
      <c r="E351" s="7">
        <v>-3.1365865642843035E-2</v>
      </c>
      <c r="F351" s="7">
        <v>-3.627322560419162E-2</v>
      </c>
      <c r="G351" s="7">
        <v>-2.7913380592312778E-3</v>
      </c>
      <c r="P351" s="4"/>
      <c r="Q351" s="4"/>
      <c r="R351" s="4"/>
      <c r="S351" s="4"/>
      <c r="T351" s="4"/>
    </row>
    <row r="352" spans="1:20" x14ac:dyDescent="0.3">
      <c r="A352" s="1">
        <v>43189</v>
      </c>
      <c r="B352" s="7">
        <v>-1.2429943489109243E-2</v>
      </c>
      <c r="C352" s="7">
        <v>8.1393922041800501E-3</v>
      </c>
      <c r="D352" s="7">
        <v>1.4332310980372639E-3</v>
      </c>
      <c r="E352" s="7">
        <v>1.6966616791885755E-2</v>
      </c>
      <c r="F352" s="7">
        <v>-1.0724983091242908E-2</v>
      </c>
      <c r="G352" s="7">
        <v>1.2516193670886232E-2</v>
      </c>
      <c r="P352" s="4"/>
      <c r="Q352" s="4"/>
      <c r="R352" s="4"/>
      <c r="S352" s="4"/>
      <c r="T352" s="4"/>
    </row>
    <row r="353" spans="1:20" x14ac:dyDescent="0.3">
      <c r="A353" s="1">
        <v>43220</v>
      </c>
      <c r="B353" s="7">
        <v>-3.9740126570093265E-2</v>
      </c>
      <c r="C353" s="7">
        <v>-2.2048047415852139E-2</v>
      </c>
      <c r="D353" s="7">
        <v>-3.0049138688511039E-2</v>
      </c>
      <c r="E353" s="7">
        <v>-1.9230577373393558E-2</v>
      </c>
      <c r="F353" s="7">
        <v>-1.9411230020340998E-2</v>
      </c>
      <c r="G353" s="7">
        <v>-7.3259070695054287E-3</v>
      </c>
      <c r="P353" s="4"/>
      <c r="Q353" s="4"/>
      <c r="R353" s="4"/>
      <c r="S353" s="4"/>
      <c r="T353" s="4"/>
    </row>
    <row r="354" spans="1:20" x14ac:dyDescent="0.3">
      <c r="A354" s="1">
        <v>43251</v>
      </c>
      <c r="B354" s="7">
        <v>2.3068680857539648E-3</v>
      </c>
      <c r="C354" s="7">
        <v>-3.4080207772296332E-2</v>
      </c>
      <c r="D354" s="7">
        <v>2.7293112715942058E-3</v>
      </c>
      <c r="E354" s="7">
        <v>-3.5189675412210124E-2</v>
      </c>
      <c r="F354" s="7">
        <v>4.9904255008353304E-3</v>
      </c>
      <c r="G354" s="7">
        <v>-1.3023974605180002E-2</v>
      </c>
      <c r="P354" s="4"/>
      <c r="Q354" s="4"/>
      <c r="R354" s="4"/>
      <c r="S354" s="4"/>
      <c r="T354" s="4"/>
    </row>
    <row r="355" spans="1:20" x14ac:dyDescent="0.3">
      <c r="A355" s="1">
        <v>43280</v>
      </c>
      <c r="B355" s="7">
        <v>-7.5234051987381739E-3</v>
      </c>
      <c r="C355" s="7">
        <v>-3.2035012434361945E-3</v>
      </c>
      <c r="D355" s="7">
        <v>-1.9117837596517858E-2</v>
      </c>
      <c r="E355" s="7">
        <v>-8.43509630725231E-3</v>
      </c>
      <c r="F355" s="7">
        <v>-2.1721611431258878E-2</v>
      </c>
      <c r="G355" s="7">
        <v>-3.2655733974358961E-2</v>
      </c>
      <c r="P355" s="4"/>
      <c r="Q355" s="4"/>
      <c r="R355" s="4"/>
      <c r="S355" s="4"/>
      <c r="T355" s="4"/>
    </row>
    <row r="356" spans="1:20" x14ac:dyDescent="0.3">
      <c r="A356" s="1">
        <v>43312</v>
      </c>
      <c r="B356" s="7">
        <v>-2.4827537716324648E-3</v>
      </c>
      <c r="C356" s="7">
        <v>-1.6370385741626024E-3</v>
      </c>
      <c r="D356" s="7">
        <v>-1.2540512590103916E-2</v>
      </c>
      <c r="E356" s="7">
        <v>-7.6798202270298909E-3</v>
      </c>
      <c r="F356" s="7">
        <v>2.4548260692264668E-3</v>
      </c>
      <c r="G356" s="7">
        <v>-2.4238775252156605E-2</v>
      </c>
      <c r="P356" s="4"/>
      <c r="Q356" s="4"/>
      <c r="R356" s="4"/>
      <c r="S356" s="4"/>
      <c r="T356" s="4"/>
    </row>
    <row r="357" spans="1:20" x14ac:dyDescent="0.3">
      <c r="A357" s="1">
        <v>43343</v>
      </c>
      <c r="B357" s="7">
        <v>1.9493090568525169E-2</v>
      </c>
      <c r="C357" s="7">
        <v>-9.9635114978035393E-3</v>
      </c>
      <c r="D357" s="7">
        <v>5.2428877165791206E-3</v>
      </c>
      <c r="E357" s="7">
        <v>-1.3810458327023777E-2</v>
      </c>
      <c r="F357" s="7">
        <v>-3.1807983106133343E-2</v>
      </c>
      <c r="G357" s="7">
        <v>-3.8210711640571807E-3</v>
      </c>
      <c r="P357" s="4"/>
      <c r="Q357" s="4"/>
      <c r="R357" s="4"/>
      <c r="S357" s="4"/>
      <c r="T357" s="4"/>
    </row>
    <row r="358" spans="1:20" x14ac:dyDescent="0.3">
      <c r="A358" s="1">
        <v>43371</v>
      </c>
      <c r="B358" s="7">
        <v>-1.5604218694583866E-2</v>
      </c>
      <c r="C358" s="7">
        <v>-2.0493935669852431E-3</v>
      </c>
      <c r="D358" s="7">
        <v>-2.526495335102736E-2</v>
      </c>
      <c r="E358" s="7">
        <v>4.2548469110550392E-3</v>
      </c>
      <c r="F358" s="7">
        <v>4.9006992851350845E-3</v>
      </c>
      <c r="G358" s="7">
        <v>-5.4901729938483801E-3</v>
      </c>
      <c r="P358" s="4"/>
      <c r="Q358" s="4"/>
      <c r="R358" s="4"/>
      <c r="S358" s="4"/>
      <c r="T358" s="4"/>
    </row>
    <row r="359" spans="1:20" x14ac:dyDescent="0.3">
      <c r="A359" s="1">
        <v>43404</v>
      </c>
      <c r="B359" s="7">
        <v>-2.909431998719807E-2</v>
      </c>
      <c r="C359" s="7">
        <v>-2.7517004697354245E-2</v>
      </c>
      <c r="D359" s="7">
        <v>4.2359827810367285E-3</v>
      </c>
      <c r="E359" s="7">
        <v>-2.1673240701642525E-2</v>
      </c>
      <c r="F359" s="7">
        <v>-2.1112579665215819E-2</v>
      </c>
      <c r="G359" s="7">
        <v>-1.1711708184319158E-2</v>
      </c>
      <c r="P359" s="4"/>
      <c r="Q359" s="4"/>
      <c r="R359" s="4"/>
      <c r="S359" s="4"/>
      <c r="T359" s="4"/>
    </row>
    <row r="360" spans="1:20" x14ac:dyDescent="0.3">
      <c r="A360" s="1">
        <v>43434</v>
      </c>
      <c r="B360" s="7">
        <v>7.1479257724112212E-3</v>
      </c>
      <c r="C360" s="7">
        <v>-1.9402063674045153E-3</v>
      </c>
      <c r="D360" s="7">
        <v>-6.7998316637974772E-3</v>
      </c>
      <c r="E360" s="7">
        <v>-2.6512001589625556E-3</v>
      </c>
      <c r="F360" s="7">
        <v>3.2599094037750784E-2</v>
      </c>
      <c r="G360" s="7">
        <v>4.7458753486749614E-3</v>
      </c>
      <c r="P360" s="4"/>
      <c r="Q360" s="4"/>
      <c r="R360" s="4"/>
      <c r="S360" s="4"/>
      <c r="T360" s="4"/>
    </row>
    <row r="361" spans="1:20" x14ac:dyDescent="0.3">
      <c r="A361" s="1">
        <v>43465</v>
      </c>
      <c r="B361" s="7">
        <v>1.3455983642036644E-2</v>
      </c>
      <c r="C361" s="7">
        <v>9.9924693157648157E-3</v>
      </c>
      <c r="D361" s="7">
        <v>3.1880780569223742E-2</v>
      </c>
      <c r="E361" s="7">
        <v>-1.6086672328965935E-3</v>
      </c>
      <c r="F361" s="7">
        <v>-3.5690003543145013E-2</v>
      </c>
      <c r="G361" s="7">
        <v>1.2905759555246712E-2</v>
      </c>
      <c r="P361" s="4"/>
      <c r="Q361" s="4"/>
      <c r="R361" s="4"/>
      <c r="S361" s="4"/>
      <c r="T361" s="4"/>
    </row>
    <row r="362" spans="1:20" x14ac:dyDescent="0.3">
      <c r="A362" s="1">
        <v>43496</v>
      </c>
      <c r="B362" s="7">
        <v>-1.5617550520859662E-2</v>
      </c>
      <c r="C362" s="7">
        <v>-4.3026857212934968E-3</v>
      </c>
      <c r="D362" s="7">
        <v>4.4299961502795079E-3</v>
      </c>
      <c r="E362" s="7">
        <v>2.6216307828881916E-2</v>
      </c>
      <c r="F362" s="7">
        <v>3.1104684132924974E-2</v>
      </c>
      <c r="G362" s="7">
        <v>2.3463398351648269E-2</v>
      </c>
      <c r="P362" s="4"/>
      <c r="Q362" s="4"/>
      <c r="R362" s="4"/>
      <c r="S362" s="4"/>
      <c r="T362" s="4"/>
    </row>
    <row r="363" spans="1:20" x14ac:dyDescent="0.3">
      <c r="A363" s="1">
        <v>43524</v>
      </c>
      <c r="B363" s="7">
        <v>-6.3142895316696144E-3</v>
      </c>
      <c r="C363" s="7">
        <v>-9.0640443886324321E-3</v>
      </c>
      <c r="D363" s="7">
        <v>-2.4761960623557549E-2</v>
      </c>
      <c r="E363" s="7">
        <v>1.0301833671547996E-2</v>
      </c>
      <c r="F363" s="7">
        <v>-2.5016423814118078E-2</v>
      </c>
      <c r="G363" s="7">
        <v>8.3500187919455997E-4</v>
      </c>
      <c r="P363" s="4"/>
      <c r="Q363" s="4"/>
      <c r="R363" s="4"/>
      <c r="S363" s="4"/>
      <c r="T363" s="4"/>
    </row>
    <row r="364" spans="1:20" x14ac:dyDescent="0.3">
      <c r="A364" s="1">
        <v>43553</v>
      </c>
      <c r="B364" s="7">
        <v>-2.4916022155691079E-4</v>
      </c>
      <c r="C364" s="7">
        <v>-1.602878409647104E-2</v>
      </c>
      <c r="D364" s="7">
        <v>2.2996894087769604E-3</v>
      </c>
      <c r="E364" s="7">
        <v>-1.8766513854700583E-2</v>
      </c>
      <c r="F364" s="7">
        <v>-2.381056371861475E-4</v>
      </c>
      <c r="G364" s="7">
        <v>-3.380946434316359E-3</v>
      </c>
      <c r="P364" s="4"/>
      <c r="Q364" s="4"/>
      <c r="R364" s="4"/>
      <c r="S364" s="4"/>
      <c r="T364" s="4"/>
    </row>
    <row r="365" spans="1:20" x14ac:dyDescent="0.3">
      <c r="A365" s="1">
        <v>43585</v>
      </c>
      <c r="B365" s="7">
        <v>-2.6263168585239267E-2</v>
      </c>
      <c r="C365" s="7">
        <v>-2.79643798709811E-3</v>
      </c>
      <c r="D365" s="7">
        <v>-7.9049576029486968E-3</v>
      </c>
      <c r="E365" s="7">
        <v>-1.7388373535969545E-3</v>
      </c>
      <c r="F365" s="7">
        <v>-7.3449152482695157E-3</v>
      </c>
      <c r="G365" s="7">
        <v>-2.0026448688635233E-3</v>
      </c>
      <c r="P365" s="4"/>
      <c r="Q365" s="4"/>
      <c r="R365" s="4"/>
      <c r="S365" s="4"/>
      <c r="T365" s="4"/>
    </row>
    <row r="366" spans="1:20" x14ac:dyDescent="0.3">
      <c r="A366" s="1">
        <v>43616</v>
      </c>
      <c r="B366" s="7">
        <v>1.5373142453001906E-2</v>
      </c>
      <c r="C366" s="7">
        <v>-6.7673920196351257E-3</v>
      </c>
      <c r="D366" s="7">
        <v>2.6389247503677427E-2</v>
      </c>
      <c r="E366" s="7">
        <v>-3.2572633656115561E-2</v>
      </c>
      <c r="F366" s="7">
        <v>-1.6367876712814335E-2</v>
      </c>
      <c r="G366" s="7">
        <v>-2.8373986792452944E-2</v>
      </c>
      <c r="P366" s="4"/>
      <c r="Q366" s="4"/>
      <c r="R366" s="4"/>
      <c r="S366" s="4"/>
      <c r="T366" s="4"/>
    </row>
    <row r="367" spans="1:20" x14ac:dyDescent="0.3">
      <c r="A367" s="1">
        <v>43644</v>
      </c>
      <c r="B367" s="7">
        <v>2.2150049340912671E-2</v>
      </c>
      <c r="C367" s="7">
        <v>1.5582444077331755E-2</v>
      </c>
      <c r="D367" s="7">
        <v>1.1512089122902385E-3</v>
      </c>
      <c r="E367" s="7">
        <v>3.6823822752347943E-3</v>
      </c>
      <c r="F367" s="7">
        <v>1.0857356795207775E-2</v>
      </c>
      <c r="G367" s="7">
        <v>9.9416978640776733E-3</v>
      </c>
      <c r="P367" s="4"/>
      <c r="Q367" s="4"/>
      <c r="R367" s="4"/>
      <c r="S367" s="4"/>
      <c r="T367" s="4"/>
    </row>
    <row r="368" spans="1:20" x14ac:dyDescent="0.3">
      <c r="A368" s="1">
        <v>43677</v>
      </c>
      <c r="B368" s="7">
        <v>-2.0736531079851666E-2</v>
      </c>
      <c r="C368" s="7">
        <v>-2.8616181486350568E-2</v>
      </c>
      <c r="D368" s="7">
        <v>-1.057392615828032E-2</v>
      </c>
      <c r="E368" s="7">
        <v>-4.3783531276984276E-2</v>
      </c>
      <c r="F368" s="7">
        <v>-2.5986037947413207E-2</v>
      </c>
      <c r="G368" s="7">
        <v>-6.1234386813187299E-3</v>
      </c>
      <c r="P368" s="4"/>
      <c r="Q368" s="4"/>
      <c r="R368" s="4"/>
      <c r="S368" s="4"/>
      <c r="T368" s="4"/>
    </row>
    <row r="369" spans="1:20" x14ac:dyDescent="0.3">
      <c r="A369" s="1">
        <v>43707</v>
      </c>
      <c r="B369" s="7">
        <v>9.118742407018994E-4</v>
      </c>
      <c r="C369" s="7">
        <v>-1.1009298241664165E-2</v>
      </c>
      <c r="D369" s="7">
        <v>2.1360945202871771E-2</v>
      </c>
      <c r="E369" s="7">
        <v>-1.8057167069443002E-3</v>
      </c>
      <c r="F369" s="7">
        <v>-1.7494808759516096E-2</v>
      </c>
      <c r="G369" s="7">
        <v>-3.5154595176226593E-2</v>
      </c>
      <c r="P369" s="4"/>
      <c r="Q369" s="4"/>
      <c r="R369" s="4"/>
      <c r="S369" s="4"/>
      <c r="T369" s="4"/>
    </row>
    <row r="370" spans="1:20" x14ac:dyDescent="0.3">
      <c r="A370" s="1">
        <v>43738</v>
      </c>
      <c r="B370" s="7">
        <v>-1.0491337183859821E-2</v>
      </c>
      <c r="C370" s="7">
        <v>-9.9108838037444916E-3</v>
      </c>
      <c r="D370" s="7">
        <v>-1.8995704595207472E-2</v>
      </c>
      <c r="E370" s="7">
        <v>9.583194699462335E-3</v>
      </c>
      <c r="F370" s="7">
        <v>1.5966192033524209E-3</v>
      </c>
      <c r="G370" s="7">
        <v>3.9643295128940674E-3</v>
      </c>
      <c r="P370" s="4"/>
      <c r="Q370" s="4"/>
      <c r="R370" s="4"/>
      <c r="S370" s="4"/>
      <c r="T370" s="4"/>
    </row>
    <row r="371" spans="1:20" x14ac:dyDescent="0.3">
      <c r="A371" s="1">
        <v>43769</v>
      </c>
      <c r="B371" s="7">
        <v>8.6967830487976946E-3</v>
      </c>
      <c r="C371" s="7">
        <v>2.0678066312955948E-2</v>
      </c>
      <c r="D371" s="7">
        <v>-1.7829078704529836E-3</v>
      </c>
      <c r="E371" s="7">
        <v>5.1720565110864571E-2</v>
      </c>
      <c r="F371" s="7">
        <v>2.0169584326027966E-2</v>
      </c>
      <c r="G371" s="7">
        <v>1.4461283471428547E-2</v>
      </c>
      <c r="P371" s="4"/>
      <c r="Q371" s="4"/>
      <c r="R371" s="4"/>
      <c r="S371" s="4"/>
      <c r="T371" s="4"/>
    </row>
    <row r="372" spans="1:20" x14ac:dyDescent="0.3">
      <c r="A372" s="1">
        <v>43798</v>
      </c>
      <c r="B372" s="7">
        <v>-1.5773279116898579E-2</v>
      </c>
      <c r="C372" s="7">
        <v>-1.3928329468579142E-2</v>
      </c>
      <c r="D372" s="7">
        <v>-1.5083046845500551E-2</v>
      </c>
      <c r="E372" s="7">
        <v>-2.243312135346042E-3</v>
      </c>
      <c r="F372" s="7">
        <v>-1.9799669836411092E-2</v>
      </c>
      <c r="G372" s="7">
        <v>3.6015365398167163E-3</v>
      </c>
      <c r="P372" s="4"/>
      <c r="Q372" s="4"/>
      <c r="R372" s="4"/>
      <c r="S372" s="4"/>
      <c r="T372" s="4"/>
    </row>
    <row r="373" spans="1:20" x14ac:dyDescent="0.3">
      <c r="A373" s="1">
        <v>43830</v>
      </c>
      <c r="B373" s="7">
        <v>3.0370604834033338E-2</v>
      </c>
      <c r="C373" s="7">
        <v>1.5147084518939109E-2</v>
      </c>
      <c r="D373" s="7">
        <v>5.0161418977883072E-3</v>
      </c>
      <c r="E373" s="7">
        <v>2.4216694801658108E-2</v>
      </c>
      <c r="F373" s="7">
        <v>3.7233138867508613E-2</v>
      </c>
      <c r="G373" s="7">
        <v>1.0011588952916243E-2</v>
      </c>
      <c r="P373" s="4"/>
      <c r="Q373" s="4"/>
      <c r="R373" s="4"/>
      <c r="S373" s="4"/>
      <c r="T373" s="4"/>
    </row>
    <row r="374" spans="1:20" x14ac:dyDescent="0.3">
      <c r="A374" s="1">
        <v>43861</v>
      </c>
      <c r="B374" s="7">
        <v>2.3531638236717611E-3</v>
      </c>
      <c r="C374" s="7">
        <v>-1.2605677806636992E-2</v>
      </c>
      <c r="D374" s="7">
        <v>7.9884444236833765E-4</v>
      </c>
      <c r="E374" s="7">
        <v>-4.7374077351031016E-3</v>
      </c>
      <c r="F374" s="7">
        <v>-4.7600071728864858E-2</v>
      </c>
      <c r="G374" s="7">
        <v>-4.2530368105850791E-3</v>
      </c>
      <c r="P374" s="4"/>
      <c r="Q374" s="4"/>
      <c r="R374" s="4"/>
      <c r="S374" s="4"/>
      <c r="T374" s="4"/>
    </row>
    <row r="375" spans="1:20" x14ac:dyDescent="0.3">
      <c r="A375" s="1">
        <v>43889</v>
      </c>
      <c r="B375" s="7">
        <v>-4.0296596872831797E-3</v>
      </c>
      <c r="C375" s="7">
        <v>-7.7992057714302504E-3</v>
      </c>
      <c r="D375" s="7">
        <v>8.5224854789755675E-4</v>
      </c>
      <c r="E375" s="7">
        <v>-2.9752834017593592E-2</v>
      </c>
      <c r="F375" s="7">
        <v>-2.6952591756204961E-2</v>
      </c>
      <c r="G375" s="7">
        <v>4.0172102519244945E-3</v>
      </c>
      <c r="P375" s="4"/>
      <c r="Q375" s="4"/>
      <c r="R375" s="4"/>
      <c r="S375" s="4"/>
      <c r="T375" s="4"/>
    </row>
    <row r="376" spans="1:20" x14ac:dyDescent="0.3">
      <c r="A376" s="1">
        <v>43921</v>
      </c>
      <c r="B376" s="7">
        <v>2.1051078533448307E-3</v>
      </c>
      <c r="C376" s="7">
        <v>-1.461915516671851E-3</v>
      </c>
      <c r="D376" s="7">
        <v>3.5927905972973117E-3</v>
      </c>
      <c r="E376" s="7">
        <v>-3.2272391167654596E-2</v>
      </c>
      <c r="F376" s="7">
        <v>-5.960488373519849E-2</v>
      </c>
      <c r="G376" s="7">
        <v>-1.5235969242847277E-2</v>
      </c>
      <c r="P376" s="4"/>
      <c r="Q376" s="4"/>
      <c r="R376" s="4"/>
      <c r="S376" s="4"/>
      <c r="T376" s="4"/>
    </row>
    <row r="377" spans="1:20" x14ac:dyDescent="0.3">
      <c r="A377" s="1">
        <v>43951</v>
      </c>
      <c r="B377" s="7">
        <v>-6.2415733499421311E-3</v>
      </c>
      <c r="C377" s="7">
        <v>-8.116154080169179E-3</v>
      </c>
      <c r="D377" s="7">
        <v>1.6131692498225917E-3</v>
      </c>
      <c r="E377" s="7">
        <v>1.3295785980086593E-2</v>
      </c>
      <c r="F377" s="7">
        <v>6.1975189050174753E-2</v>
      </c>
      <c r="G377" s="7">
        <v>1.5031597163120657E-3</v>
      </c>
      <c r="P377" s="4"/>
      <c r="Q377" s="4"/>
      <c r="R377" s="4"/>
      <c r="S377" s="4"/>
      <c r="T377" s="4"/>
    </row>
    <row r="378" spans="1:20" x14ac:dyDescent="0.3">
      <c r="A378" s="1">
        <v>43980</v>
      </c>
      <c r="B378" s="7">
        <v>3.6045084476631771E-3</v>
      </c>
      <c r="C378" s="7">
        <v>1.2726360443370095E-2</v>
      </c>
      <c r="D378" s="7">
        <v>-6.1974292579591158E-3</v>
      </c>
      <c r="E378" s="7">
        <v>-2.0046064107073307E-2</v>
      </c>
      <c r="F378" s="7">
        <v>2.3693742524210384E-2</v>
      </c>
      <c r="G378" s="7">
        <v>-6.2549729745044105E-3</v>
      </c>
      <c r="P378" s="4"/>
      <c r="Q378" s="4"/>
      <c r="R378" s="4"/>
      <c r="S378" s="4"/>
      <c r="T378" s="4"/>
    </row>
    <row r="379" spans="1:20" x14ac:dyDescent="0.3">
      <c r="A379" s="1">
        <v>44012</v>
      </c>
      <c r="B379" s="7">
        <v>1.3939253222072718E-2</v>
      </c>
      <c r="C379" s="7">
        <v>1.1365938196304279E-2</v>
      </c>
      <c r="D379" s="7">
        <v>-1.5182546159028599E-3</v>
      </c>
      <c r="E379" s="7">
        <v>4.567171771994628E-3</v>
      </c>
      <c r="F379" s="7">
        <v>3.5374935317189625E-2</v>
      </c>
      <c r="G379" s="7">
        <v>1.0722621141226798E-2</v>
      </c>
      <c r="P379" s="4"/>
      <c r="Q379" s="4"/>
      <c r="R379" s="4"/>
      <c r="S379" s="4"/>
      <c r="T379" s="4"/>
    </row>
    <row r="380" spans="1:20" x14ac:dyDescent="0.3">
      <c r="A380" s="1">
        <v>44043</v>
      </c>
      <c r="B380" s="7">
        <v>3.62621197679424E-2</v>
      </c>
      <c r="C380" s="7">
        <v>4.7699783930822262E-2</v>
      </c>
      <c r="D380" s="7">
        <v>1.9243268031084684E-2</v>
      </c>
      <c r="E380" s="7">
        <v>5.4939065881085741E-2</v>
      </c>
      <c r="F380" s="7">
        <v>3.4589140797110222E-2</v>
      </c>
      <c r="G380" s="7">
        <v>1.3689745834512183E-2</v>
      </c>
      <c r="P380" s="4"/>
      <c r="Q380" s="4"/>
      <c r="R380" s="4"/>
      <c r="S380" s="4"/>
      <c r="T380" s="4"/>
    </row>
    <row r="381" spans="1:20" x14ac:dyDescent="0.3">
      <c r="A381" s="1">
        <v>44074</v>
      </c>
      <c r="B381" s="7">
        <v>9.700522847018004E-3</v>
      </c>
      <c r="C381" s="7">
        <v>1.2751024120715613E-2</v>
      </c>
      <c r="D381" s="7">
        <v>-8.6634795086275545E-4</v>
      </c>
      <c r="E381" s="7">
        <v>2.1612803398753658E-2</v>
      </c>
      <c r="F381" s="7">
        <v>3.2489256568540924E-2</v>
      </c>
      <c r="G381" s="7">
        <v>2.2273048567435321E-2</v>
      </c>
      <c r="P381" s="4"/>
      <c r="Q381" s="4"/>
      <c r="R381" s="4"/>
      <c r="S381" s="4"/>
      <c r="T381" s="4"/>
    </row>
    <row r="382" spans="1:20" x14ac:dyDescent="0.3">
      <c r="A382" s="1">
        <v>44104</v>
      </c>
      <c r="B382" s="7">
        <v>-1.9508785535788453E-2</v>
      </c>
      <c r="C382" s="7">
        <v>-1.8676213384549886E-2</v>
      </c>
      <c r="D382" s="7">
        <v>3.9259966600931782E-3</v>
      </c>
      <c r="E382" s="7">
        <v>-3.3866999678454066E-2</v>
      </c>
      <c r="F382" s="7">
        <v>-2.9114368483767392E-2</v>
      </c>
      <c r="G382" s="7">
        <v>1.2146431095890649E-2</v>
      </c>
      <c r="P382" s="4"/>
      <c r="Q382" s="4"/>
      <c r="R382" s="4"/>
      <c r="S382" s="4"/>
      <c r="T382" s="4"/>
    </row>
    <row r="383" spans="1:20" x14ac:dyDescent="0.3">
      <c r="A383" s="1">
        <v>44134</v>
      </c>
      <c r="B383" s="7">
        <v>3.4677236172206984E-3</v>
      </c>
      <c r="C383" s="7">
        <v>-6.9471917929687585E-3</v>
      </c>
      <c r="D383" s="7">
        <v>7.2504650082252957E-3</v>
      </c>
      <c r="E383" s="7">
        <v>1.9315835580139293E-3</v>
      </c>
      <c r="F383" s="7">
        <v>-1.8767399845303619E-2</v>
      </c>
      <c r="G383" s="7">
        <v>1.5174384979647123E-2</v>
      </c>
      <c r="P383" s="4"/>
      <c r="Q383" s="4"/>
      <c r="R383" s="4"/>
      <c r="S383" s="4"/>
      <c r="T383" s="4"/>
    </row>
    <row r="384" spans="1:20" x14ac:dyDescent="0.3">
      <c r="A384" s="1">
        <v>44165</v>
      </c>
      <c r="B384" s="7">
        <v>7.8373219937282902E-3</v>
      </c>
      <c r="C384" s="7">
        <v>2.3366598968482217E-2</v>
      </c>
      <c r="D384" s="7">
        <v>2.8973614729462739E-3</v>
      </c>
      <c r="E384" s="7">
        <v>2.8852346598833397E-2</v>
      </c>
      <c r="F384" s="7">
        <v>4.4802449253671994E-2</v>
      </c>
      <c r="G384" s="7">
        <v>1.9573556173543331E-2</v>
      </c>
      <c r="P384" s="4"/>
      <c r="Q384" s="4"/>
      <c r="R384" s="4"/>
      <c r="S384" s="4"/>
      <c r="T384" s="4"/>
    </row>
    <row r="385" spans="1:20" x14ac:dyDescent="0.3">
      <c r="A385" s="1">
        <v>44196</v>
      </c>
      <c r="B385" s="7">
        <v>2.582259005925833E-2</v>
      </c>
      <c r="C385" s="7">
        <v>2.3055599755458078E-2</v>
      </c>
      <c r="D385" s="7">
        <v>8.8750616370120924E-3</v>
      </c>
      <c r="E385" s="7">
        <v>2.5410989525355494E-2</v>
      </c>
      <c r="F385" s="7">
        <v>4.7261521373989583E-2</v>
      </c>
      <c r="G385" s="7">
        <v>1.4951957298090644E-2</v>
      </c>
      <c r="P385" s="4"/>
      <c r="Q385" s="4"/>
      <c r="R385" s="4"/>
      <c r="S385" s="4"/>
      <c r="T385" s="4"/>
    </row>
    <row r="386" spans="1:20" x14ac:dyDescent="0.3">
      <c r="A386" s="1">
        <v>44225</v>
      </c>
      <c r="B386" s="7">
        <v>-7.5907908335546359E-3</v>
      </c>
      <c r="C386" s="7">
        <v>-7.2915320397149543E-3</v>
      </c>
      <c r="D386" s="7">
        <v>-1.3804505480535247E-2</v>
      </c>
      <c r="E386" s="7">
        <v>2.5355930120900387E-3</v>
      </c>
      <c r="F386" s="7">
        <v>-6.7877301123665671E-3</v>
      </c>
      <c r="G386" s="7">
        <v>9.8250907022107668E-3</v>
      </c>
      <c r="P386" s="4"/>
      <c r="Q386" s="4"/>
      <c r="R386" s="4"/>
      <c r="S386" s="4"/>
      <c r="T386" s="4"/>
    </row>
    <row r="387" spans="1:20" x14ac:dyDescent="0.3">
      <c r="A387" s="1">
        <v>44253</v>
      </c>
      <c r="B387" s="7">
        <v>-2.0376588063851894E-2</v>
      </c>
      <c r="C387" s="7">
        <v>-5.6269573502491397E-3</v>
      </c>
      <c r="D387" s="7">
        <v>-1.7420460253744028E-2</v>
      </c>
      <c r="E387" s="7">
        <v>1.6276618635506487E-2</v>
      </c>
      <c r="F387" s="7">
        <v>7.9553391810265189E-3</v>
      </c>
      <c r="G387" s="7">
        <v>-2.3175083322580425E-3</v>
      </c>
      <c r="P387" s="4"/>
      <c r="Q387" s="4"/>
      <c r="R387" s="4"/>
      <c r="S387" s="4"/>
      <c r="T387" s="4"/>
    </row>
    <row r="388" spans="1:20" x14ac:dyDescent="0.3">
      <c r="A388" s="1">
        <v>44286</v>
      </c>
      <c r="B388" s="7">
        <v>-3.829681730874062E-2</v>
      </c>
      <c r="C388" s="7">
        <v>-2.9372045914922325E-2</v>
      </c>
      <c r="D388" s="7">
        <v>-3.7969976573255126E-2</v>
      </c>
      <c r="E388" s="7">
        <v>-1.0985856875309402E-2</v>
      </c>
      <c r="F388" s="7">
        <v>-1.4141707722469969E-2</v>
      </c>
      <c r="G388" s="7">
        <v>-9.8804562597536536E-3</v>
      </c>
      <c r="P388" s="4"/>
      <c r="Q388" s="4"/>
      <c r="R388" s="4"/>
      <c r="S388" s="4"/>
      <c r="T388" s="4"/>
    </row>
    <row r="389" spans="1:20" x14ac:dyDescent="0.3">
      <c r="A389" s="1">
        <v>44316</v>
      </c>
      <c r="B389" s="7">
        <v>3.2759718273147609E-2</v>
      </c>
      <c r="C389" s="7">
        <v>2.4086479928501329E-2</v>
      </c>
      <c r="D389" s="7">
        <v>1.2513896092116924E-2</v>
      </c>
      <c r="E389" s="7">
        <v>2.7291760674038605E-3</v>
      </c>
      <c r="F389" s="7">
        <v>1.5366030505722208E-2</v>
      </c>
      <c r="G389" s="7">
        <v>1.6114795059054967E-2</v>
      </c>
      <c r="P389" s="4"/>
      <c r="Q389" s="4"/>
      <c r="R389" s="4"/>
      <c r="S389" s="4"/>
      <c r="T389" s="4"/>
    </row>
    <row r="390" spans="1:20" x14ac:dyDescent="0.3">
      <c r="A390" s="1">
        <v>44347</v>
      </c>
      <c r="B390" s="7">
        <v>1.508239741233683E-2</v>
      </c>
      <c r="C390" s="7">
        <v>1.6606428557769153E-2</v>
      </c>
      <c r="D390" s="7">
        <v>-2.6321346452993994E-3</v>
      </c>
      <c r="E390" s="7">
        <v>2.8148197449017504E-2</v>
      </c>
      <c r="F390" s="7">
        <v>2.1964351662876387E-3</v>
      </c>
      <c r="G390" s="7">
        <v>1.7699200582524315E-2</v>
      </c>
      <c r="P390" s="4"/>
      <c r="Q390" s="4"/>
      <c r="R390" s="4"/>
      <c r="S390" s="4"/>
      <c r="T390" s="4"/>
    </row>
    <row r="391" spans="1:20" x14ac:dyDescent="0.3">
      <c r="A391" s="1">
        <v>44377</v>
      </c>
      <c r="B391" s="7">
        <v>-2.9065901741573162E-2</v>
      </c>
      <c r="C391" s="7">
        <v>-3.0738773555140344E-2</v>
      </c>
      <c r="D391" s="7">
        <v>-1.4038906114398625E-2</v>
      </c>
      <c r="E391" s="7">
        <v>-2.6847361173946722E-2</v>
      </c>
      <c r="F391" s="7">
        <v>-3.0649973885208622E-2</v>
      </c>
      <c r="G391" s="7">
        <v>-1.2799025883110359E-2</v>
      </c>
      <c r="P391" s="4"/>
      <c r="Q391" s="4"/>
      <c r="R391" s="4"/>
      <c r="S391" s="4"/>
      <c r="T391" s="4"/>
    </row>
    <row r="392" spans="1:20" x14ac:dyDescent="0.3">
      <c r="A392" s="1">
        <v>44407</v>
      </c>
      <c r="B392" s="7">
        <v>2.0904128434782707E-2</v>
      </c>
      <c r="C392" s="7">
        <v>3.7756457365543521E-4</v>
      </c>
      <c r="D392" s="7">
        <v>1.2741988900000003E-2</v>
      </c>
      <c r="E392" s="7">
        <v>5.1907867150563086E-3</v>
      </c>
      <c r="F392" s="7">
        <v>-2.0687705523566594E-2</v>
      </c>
      <c r="G392" s="7">
        <v>2.8841019304011368E-3</v>
      </c>
      <c r="P392" s="4"/>
      <c r="Q392" s="4"/>
      <c r="R392" s="4"/>
      <c r="S392" s="4"/>
      <c r="T392" s="4"/>
    </row>
    <row r="393" spans="1:20" x14ac:dyDescent="0.3">
      <c r="A393" s="1">
        <v>44439</v>
      </c>
      <c r="B393" s="7">
        <v>-1.1546574130285195E-2</v>
      </c>
      <c r="C393" s="7">
        <v>-5.7287000801546778E-3</v>
      </c>
      <c r="D393" s="7">
        <v>-3.0781811901173209E-3</v>
      </c>
      <c r="E393" s="7">
        <v>-1.0785352287707307E-2</v>
      </c>
      <c r="F393" s="7">
        <v>-3.9740292626875614E-3</v>
      </c>
      <c r="G393" s="7">
        <v>3.7258391222366812E-3</v>
      </c>
      <c r="P393" s="4"/>
      <c r="Q393" s="4"/>
      <c r="R393" s="4"/>
      <c r="S393" s="4"/>
      <c r="T393" s="4"/>
    </row>
    <row r="394" spans="1:20" x14ac:dyDescent="0.3">
      <c r="A394" s="1">
        <v>44469</v>
      </c>
      <c r="B394" s="7">
        <v>-1.8247716415339767E-2</v>
      </c>
      <c r="C394" s="7">
        <v>-2.0011069305020331E-2</v>
      </c>
      <c r="D394" s="7">
        <v>-1.1712191701143923E-2</v>
      </c>
      <c r="E394" s="7">
        <v>-2.0512250139391952E-2</v>
      </c>
      <c r="F394" s="7">
        <v>-1.2355464570114242E-2</v>
      </c>
      <c r="G394" s="7">
        <v>4.3466255842477281E-3</v>
      </c>
      <c r="P394" s="4"/>
      <c r="Q394" s="4"/>
      <c r="R394" s="4"/>
      <c r="S394" s="4"/>
      <c r="T394" s="4"/>
    </row>
    <row r="395" spans="1:20" x14ac:dyDescent="0.3">
      <c r="A395" s="1">
        <v>44498</v>
      </c>
      <c r="B395" s="7">
        <v>1.6844559007172986E-2</v>
      </c>
      <c r="C395" s="7">
        <v>-2.4795606698351509E-3</v>
      </c>
      <c r="D395" s="7">
        <v>-2.4350329650272597E-2</v>
      </c>
      <c r="E395" s="7">
        <v>1.5394936829106179E-2</v>
      </c>
      <c r="F395" s="7">
        <v>4.0127504856142027E-2</v>
      </c>
      <c r="G395" s="7">
        <v>8.9606632559639052E-3</v>
      </c>
      <c r="P395" s="4"/>
      <c r="Q395" s="4"/>
      <c r="R395" s="4"/>
      <c r="S395" s="4"/>
      <c r="T395" s="4"/>
    </row>
    <row r="396" spans="1:20" x14ac:dyDescent="0.3">
      <c r="A396" s="1">
        <v>44530</v>
      </c>
      <c r="B396" s="7">
        <v>-4.0707217552544712E-3</v>
      </c>
      <c r="C396" s="7">
        <v>-1.9606147652260306E-2</v>
      </c>
      <c r="D396" s="7">
        <v>7.5495480152793235E-3</v>
      </c>
      <c r="E396" s="7">
        <v>-2.8008612637422849E-2</v>
      </c>
      <c r="F396" s="7">
        <v>-5.2121985928792851E-2</v>
      </c>
      <c r="G396" s="7">
        <v>8.7155199039077938E-3</v>
      </c>
      <c r="P396" s="4"/>
      <c r="Q396" s="4"/>
      <c r="R396" s="4"/>
      <c r="S396" s="4"/>
      <c r="T396" s="4"/>
    </row>
    <row r="397" spans="1:20" x14ac:dyDescent="0.3">
      <c r="A397" s="1">
        <v>44561</v>
      </c>
      <c r="B397" s="7">
        <v>5.2760437814842378E-3</v>
      </c>
      <c r="C397" s="7">
        <v>1.3756805743687136E-3</v>
      </c>
      <c r="D397" s="7">
        <v>-1.7828920619325575E-2</v>
      </c>
      <c r="E397" s="7">
        <v>1.6653218475260516E-2</v>
      </c>
      <c r="F397" s="7">
        <v>1.8552149785925856E-2</v>
      </c>
      <c r="G397" s="7">
        <v>2.5566454000000255E-3</v>
      </c>
      <c r="P397" s="4"/>
      <c r="Q397" s="4"/>
      <c r="R397" s="4"/>
      <c r="S397" s="4"/>
      <c r="T397" s="4"/>
    </row>
    <row r="398" spans="1:20" x14ac:dyDescent="0.3">
      <c r="A398" s="1">
        <v>44592</v>
      </c>
      <c r="B398" s="7">
        <v>-1.6654067073015835E-2</v>
      </c>
      <c r="C398" s="7">
        <v>-1.2482189960279659E-2</v>
      </c>
      <c r="D398" s="7">
        <v>-4.7167207793247896E-4</v>
      </c>
      <c r="E398" s="7">
        <v>-6.2138425018549671E-3</v>
      </c>
      <c r="F398" s="7">
        <v>-2.709325697293417E-2</v>
      </c>
      <c r="G398" s="7">
        <v>1.452975762571589E-3</v>
      </c>
      <c r="P398" s="4"/>
      <c r="Q398" s="4"/>
      <c r="R398" s="4"/>
      <c r="S398" s="4"/>
      <c r="T398" s="4"/>
    </row>
    <row r="399" spans="1:20" x14ac:dyDescent="0.3">
      <c r="A399" s="1">
        <v>44620</v>
      </c>
      <c r="B399" s="7">
        <v>1.0213920947423046E-2</v>
      </c>
      <c r="C399" s="7">
        <v>-1.9810928836332363E-3</v>
      </c>
      <c r="D399" s="7">
        <v>1.1694857734023351E-3</v>
      </c>
      <c r="E399" s="7">
        <v>-1.8223065193944299E-3</v>
      </c>
      <c r="F399" s="7">
        <v>2.763275181459306E-2</v>
      </c>
      <c r="G399" s="7">
        <v>1.0968952652229424E-2</v>
      </c>
      <c r="P399" s="4"/>
      <c r="Q399" s="4"/>
      <c r="R399" s="4"/>
      <c r="S399" s="4"/>
      <c r="T399" s="4"/>
    </row>
    <row r="400" spans="1:20" x14ac:dyDescent="0.3">
      <c r="A400" s="1">
        <v>44651</v>
      </c>
      <c r="B400" s="7">
        <v>-7.6500282987344995E-3</v>
      </c>
      <c r="C400" s="7">
        <v>-1.489277045052151E-2</v>
      </c>
      <c r="D400" s="7">
        <v>-5.5907146025974373E-2</v>
      </c>
      <c r="E400" s="7">
        <v>-2.1312415729918596E-2</v>
      </c>
      <c r="F400" s="7">
        <v>2.9595716485503583E-2</v>
      </c>
      <c r="G400" s="7">
        <v>-3.9047539131313769E-3</v>
      </c>
      <c r="P400" s="4"/>
      <c r="Q400" s="4"/>
      <c r="R400" s="4"/>
      <c r="S400" s="4"/>
      <c r="T400" s="4"/>
    </row>
    <row r="401" spans="1:20" x14ac:dyDescent="0.3">
      <c r="A401" s="1">
        <v>44680</v>
      </c>
      <c r="B401" s="7">
        <v>-5.3271530809853439E-2</v>
      </c>
      <c r="C401" s="7">
        <v>-4.8010255669507444E-2</v>
      </c>
      <c r="D401" s="7">
        <v>-6.2736043125495952E-2</v>
      </c>
      <c r="E401" s="7">
        <v>-4.2746754976970745E-2</v>
      </c>
      <c r="F401" s="7">
        <v>-5.6601252698860689E-2</v>
      </c>
      <c r="G401" s="7">
        <v>-4.13208884368488E-2</v>
      </c>
      <c r="P401" s="4"/>
      <c r="Q401" s="4"/>
      <c r="R401" s="4"/>
      <c r="S401" s="4"/>
      <c r="T401" s="4"/>
    </row>
    <row r="402" spans="1:20" x14ac:dyDescent="0.3">
      <c r="A402" s="1">
        <v>44712</v>
      </c>
      <c r="B402" s="7">
        <v>1.3038174913395676E-2</v>
      </c>
      <c r="C402" s="7">
        <v>1.6594720223358964E-2</v>
      </c>
      <c r="D402" s="7">
        <v>7.3129877142486532E-3</v>
      </c>
      <c r="E402" s="7">
        <v>2.2467442091658059E-3</v>
      </c>
      <c r="F402" s="7">
        <v>1.5859984854811458E-2</v>
      </c>
      <c r="G402" s="7">
        <v>-3.7620326175300698E-3</v>
      </c>
      <c r="P402" s="4"/>
      <c r="Q402" s="4"/>
      <c r="R402" s="4"/>
      <c r="S402" s="4"/>
      <c r="T402" s="4"/>
    </row>
    <row r="403" spans="1:20" x14ac:dyDescent="0.3">
      <c r="A403" s="1">
        <v>44742</v>
      </c>
      <c r="B403" s="7">
        <v>3.1126769109299014E-3</v>
      </c>
      <c r="C403" s="7">
        <v>-2.4922874598794418E-2</v>
      </c>
      <c r="D403" s="7">
        <v>-5.3080970166151827E-2</v>
      </c>
      <c r="E403" s="7">
        <v>-3.3797260865218698E-2</v>
      </c>
      <c r="F403" s="7">
        <v>-3.8678464893590309E-2</v>
      </c>
      <c r="G403" s="7">
        <v>-9.2982201603201921E-4</v>
      </c>
      <c r="P403" s="4"/>
      <c r="Q403" s="4"/>
      <c r="R403" s="4"/>
      <c r="S403" s="4"/>
      <c r="T403" s="4"/>
    </row>
    <row r="404" spans="1:20" x14ac:dyDescent="0.3">
      <c r="A404" s="1">
        <v>44771</v>
      </c>
      <c r="B404" s="7">
        <v>6.6223654889256288E-4</v>
      </c>
      <c r="C404" s="7">
        <v>-2.7163276651157024E-2</v>
      </c>
      <c r="D404" s="7">
        <v>1.6582702235604565E-2</v>
      </c>
      <c r="E404" s="7">
        <v>-1.1137036432141887E-3</v>
      </c>
      <c r="F404" s="7">
        <v>1.1631224573442124E-2</v>
      </c>
      <c r="G404" s="7">
        <v>-8.2993810568941836E-3</v>
      </c>
      <c r="P404" s="4"/>
      <c r="Q404" s="4"/>
      <c r="R404" s="4"/>
      <c r="S404" s="4"/>
      <c r="T404" s="4"/>
    </row>
    <row r="405" spans="1:20" x14ac:dyDescent="0.3">
      <c r="A405" s="1">
        <v>44804</v>
      </c>
      <c r="B405" s="7">
        <v>-2.8074641760739351E-2</v>
      </c>
      <c r="C405" s="7">
        <v>-1.8341412928328426E-2</v>
      </c>
      <c r="D405" s="7">
        <v>-4.3052019746714541E-2</v>
      </c>
      <c r="E405" s="7">
        <v>-4.5775202963663789E-2</v>
      </c>
      <c r="F405" s="7">
        <v>-2.1019044484825909E-2</v>
      </c>
      <c r="G405" s="7">
        <v>-2.2839721728561736E-2</v>
      </c>
      <c r="P405" s="4"/>
      <c r="Q405" s="4"/>
      <c r="R405" s="4"/>
      <c r="S405" s="4"/>
      <c r="T405" s="4"/>
    </row>
    <row r="406" spans="1:20" x14ac:dyDescent="0.3">
      <c r="A406" s="1">
        <v>44834</v>
      </c>
      <c r="B406" s="7">
        <v>-1.2124055854838714E-2</v>
      </c>
      <c r="C406" s="7">
        <v>-2.7045591480246624E-2</v>
      </c>
      <c r="D406" s="7">
        <v>-4.2232328482490297E-2</v>
      </c>
      <c r="E406" s="7">
        <v>-3.9455421960267661E-2</v>
      </c>
      <c r="F406" s="7">
        <v>-6.5073786129785247E-2</v>
      </c>
      <c r="G406" s="7">
        <v>-3.340509127071821E-2</v>
      </c>
      <c r="P406" s="4"/>
      <c r="Q406" s="4"/>
      <c r="R406" s="4"/>
      <c r="S406" s="4"/>
      <c r="T406" s="4"/>
    </row>
    <row r="407" spans="1:20" x14ac:dyDescent="0.3">
      <c r="A407" s="1">
        <v>44865</v>
      </c>
      <c r="B407" s="7">
        <v>-1.6900302230085575E-2</v>
      </c>
      <c r="C407" s="7">
        <v>6.014504851917785E-3</v>
      </c>
      <c r="D407" s="7">
        <v>-2.9571162514054311E-2</v>
      </c>
      <c r="E407" s="7">
        <v>2.6070915107818487E-2</v>
      </c>
      <c r="F407" s="7">
        <v>-5.2636757950576382E-4</v>
      </c>
      <c r="G407" s="7">
        <v>-2.6866503328571434E-2</v>
      </c>
      <c r="P407" s="4"/>
      <c r="Q407" s="4"/>
      <c r="R407" s="4"/>
      <c r="S407" s="4"/>
      <c r="T407" s="4"/>
    </row>
    <row r="408" spans="1:20" x14ac:dyDescent="0.3">
      <c r="A408" s="1">
        <v>44895</v>
      </c>
      <c r="B408" s="7">
        <v>5.535572033213184E-2</v>
      </c>
      <c r="C408" s="7">
        <v>5.0793750170403128E-2</v>
      </c>
      <c r="D408" s="7">
        <v>7.3620469791255333E-2</v>
      </c>
      <c r="E408" s="7">
        <v>5.049484248675775E-2</v>
      </c>
      <c r="F408" s="7">
        <v>5.9868187872097425E-2</v>
      </c>
      <c r="G408" s="7">
        <v>3.9255330058694034E-2</v>
      </c>
      <c r="P408" s="4"/>
      <c r="Q408" s="4"/>
      <c r="R408" s="4"/>
      <c r="S408" s="4"/>
      <c r="T408" s="4"/>
    </row>
    <row r="409" spans="1:20" x14ac:dyDescent="0.3">
      <c r="A409" s="1">
        <v>44925</v>
      </c>
      <c r="B409" s="7">
        <v>1.8426939538679826E-2</v>
      </c>
      <c r="C409" s="7">
        <v>2.5825307843419128E-2</v>
      </c>
      <c r="D409" s="7">
        <v>4.8371862784895546E-2</v>
      </c>
      <c r="E409" s="7">
        <v>8.1668894753140554E-4</v>
      </c>
      <c r="F409" s="7">
        <v>2.2389662507466017E-3</v>
      </c>
      <c r="G409" s="7">
        <v>1.4946640873854784E-2</v>
      </c>
      <c r="P409" s="4"/>
      <c r="Q409" s="4"/>
      <c r="R409" s="4"/>
      <c r="S409" s="4"/>
      <c r="T409" s="4"/>
    </row>
    <row r="410" spans="1:20" x14ac:dyDescent="0.3">
      <c r="A410" s="1">
        <v>44957</v>
      </c>
      <c r="B410" s="7">
        <v>5.4137677828601386E-3</v>
      </c>
      <c r="C410" s="7">
        <v>1.2549914432401731E-2</v>
      </c>
      <c r="D410" s="7">
        <v>3.6481634389405999E-3</v>
      </c>
      <c r="E410" s="7">
        <v>1.8731596473138011E-2</v>
      </c>
      <c r="F410" s="7">
        <v>3.4148143370604664E-2</v>
      </c>
      <c r="G410" s="7">
        <v>2.2389883922437528E-2</v>
      </c>
      <c r="P410" s="4"/>
      <c r="Q410" s="4"/>
      <c r="R410" s="4"/>
      <c r="S410" s="4"/>
      <c r="T410" s="4"/>
    </row>
    <row r="411" spans="1:20" x14ac:dyDescent="0.3">
      <c r="A411" s="1">
        <v>44985</v>
      </c>
      <c r="B411" s="7">
        <v>-3.0509505301465963E-2</v>
      </c>
      <c r="C411" s="7">
        <v>-2.8182344454960602E-2</v>
      </c>
      <c r="D411" s="7">
        <v>-4.8217145143957432E-2</v>
      </c>
      <c r="E411" s="7">
        <v>-2.4785155838066616E-2</v>
      </c>
      <c r="F411" s="7">
        <v>-4.7276547485384846E-2</v>
      </c>
      <c r="G411" s="7">
        <v>-3.0068028378378259E-2</v>
      </c>
      <c r="P411" s="4"/>
      <c r="Q411" s="4"/>
      <c r="R411" s="4"/>
      <c r="S411" s="4"/>
      <c r="T411" s="4"/>
    </row>
    <row r="412" spans="1:20" x14ac:dyDescent="0.3">
      <c r="A412" s="1">
        <v>45016</v>
      </c>
      <c r="B412" s="7">
        <v>2.5875626290587005E-2</v>
      </c>
      <c r="C412" s="7">
        <v>2.290325594475822E-2</v>
      </c>
      <c r="D412" s="7">
        <v>2.0333604953594587E-2</v>
      </c>
      <c r="E412" s="7">
        <v>2.5605641038857027E-2</v>
      </c>
      <c r="F412" s="7">
        <v>-7.6994212445839873E-3</v>
      </c>
      <c r="G412" s="7">
        <v>1.0478985257301735E-2</v>
      </c>
      <c r="P412" s="4"/>
      <c r="Q412" s="4"/>
      <c r="R412" s="4"/>
      <c r="S412" s="4"/>
      <c r="T412" s="4"/>
    </row>
    <row r="413" spans="1:20" x14ac:dyDescent="0.3">
      <c r="A413" s="1">
        <v>45044</v>
      </c>
      <c r="B413" s="7">
        <v>1.9773447211861504E-2</v>
      </c>
      <c r="C413" s="7">
        <v>1.4899748830963429E-2</v>
      </c>
      <c r="D413" s="7">
        <v>-3.0009309375621154E-2</v>
      </c>
      <c r="E413" s="7">
        <v>1.8008552665153915E-2</v>
      </c>
      <c r="F413" s="7">
        <v>-1.1531386680254647E-2</v>
      </c>
      <c r="G413" s="7">
        <v>-1.057381824175818E-2</v>
      </c>
      <c r="P413" s="4"/>
      <c r="Q413" s="4"/>
      <c r="R413" s="4"/>
      <c r="S413" s="4"/>
      <c r="T413" s="4"/>
    </row>
    <row r="414" spans="1:20" x14ac:dyDescent="0.3">
      <c r="A414" s="1">
        <v>45077</v>
      </c>
      <c r="B414" s="7">
        <v>-2.1312421997333988E-2</v>
      </c>
      <c r="C414" s="7">
        <v>-3.1780323102216096E-2</v>
      </c>
      <c r="D414" s="7">
        <v>-2.6342424479092272E-2</v>
      </c>
      <c r="E414" s="7">
        <v>-1.0737879332444841E-2</v>
      </c>
      <c r="F414" s="7">
        <v>-1.8219479201893762E-2</v>
      </c>
      <c r="G414" s="7">
        <v>-2.9390487749307512E-2</v>
      </c>
      <c r="P414" s="4"/>
      <c r="Q414" s="4"/>
      <c r="R414" s="4"/>
      <c r="S414" s="4"/>
      <c r="T414" s="4"/>
    </row>
    <row r="415" spans="1:20" x14ac:dyDescent="0.3">
      <c r="A415" s="1">
        <v>45107</v>
      </c>
      <c r="B415" s="7">
        <v>1.309632828093983E-2</v>
      </c>
      <c r="C415" s="7">
        <v>1.8745324875073199E-2</v>
      </c>
      <c r="D415" s="7">
        <v>-3.9021171938971637E-2</v>
      </c>
      <c r="E415" s="7">
        <v>2.0382753981163463E-2</v>
      </c>
      <c r="F415" s="7">
        <v>2.3563148654730293E-2</v>
      </c>
      <c r="G415" s="7">
        <v>-2.3302166195017848E-2</v>
      </c>
      <c r="P415" s="4"/>
      <c r="Q415" s="4"/>
      <c r="R415" s="4"/>
      <c r="S415" s="4"/>
      <c r="T415" s="4"/>
    </row>
    <row r="416" spans="1:20" x14ac:dyDescent="0.3">
      <c r="A416" s="1">
        <v>45138</v>
      </c>
      <c r="B416" s="7">
        <v>2.3873069076130734E-2</v>
      </c>
      <c r="C416" s="7">
        <v>6.440229055070008E-3</v>
      </c>
      <c r="D416" s="7">
        <v>9.1023381414140295E-3</v>
      </c>
      <c r="E416" s="7">
        <v>1.015109373352165E-2</v>
      </c>
      <c r="F416" s="7">
        <v>6.9785396787322663E-3</v>
      </c>
      <c r="G416" s="7">
        <v>1.415172857906964E-2</v>
      </c>
      <c r="P416" s="4"/>
      <c r="Q416" s="4"/>
      <c r="R416" s="4"/>
      <c r="S416" s="4"/>
      <c r="T416" s="4"/>
    </row>
    <row r="417" spans="1:20" x14ac:dyDescent="0.3">
      <c r="A417" s="1">
        <v>45169</v>
      </c>
      <c r="B417" s="7">
        <v>-1.6539249722755198E-2</v>
      </c>
      <c r="C417" s="7">
        <v>-1.5607920892752626E-2</v>
      </c>
      <c r="D417" s="7">
        <v>-2.7457422470290302E-2</v>
      </c>
      <c r="E417" s="7">
        <v>-1.2785568113745057E-2</v>
      </c>
      <c r="F417" s="7">
        <v>-3.5812057702573848E-2</v>
      </c>
      <c r="G417" s="7">
        <v>-2.0957972076483183E-2</v>
      </c>
      <c r="P417" s="4"/>
      <c r="Q417" s="4"/>
      <c r="R417" s="4"/>
      <c r="S417" s="4"/>
      <c r="T417" s="4"/>
    </row>
    <row r="418" spans="1:20" x14ac:dyDescent="0.3">
      <c r="A418" s="1">
        <v>45198</v>
      </c>
      <c r="B418" s="7">
        <v>-3.8026190432862012E-2</v>
      </c>
      <c r="C418" s="7">
        <v>-2.6309803484582457E-2</v>
      </c>
      <c r="D418" s="7">
        <v>-3.028600471641691E-2</v>
      </c>
      <c r="E418" s="7">
        <v>-3.7535257105662946E-2</v>
      </c>
      <c r="F418" s="7">
        <v>-8.6548208492138751E-3</v>
      </c>
      <c r="G418" s="7">
        <v>-3.7600561135369961E-3</v>
      </c>
      <c r="P418" s="4"/>
      <c r="Q418" s="4"/>
      <c r="R418" s="4"/>
      <c r="S418" s="4"/>
      <c r="T418" s="4"/>
    </row>
    <row r="419" spans="1:20" x14ac:dyDescent="0.3">
      <c r="A419" s="1">
        <v>45230</v>
      </c>
      <c r="B419" s="7">
        <v>2.108552865903817E-3</v>
      </c>
      <c r="C419" s="7">
        <v>-1.0853455677942781E-3</v>
      </c>
      <c r="D419" s="7">
        <v>-2.0568327886706567E-2</v>
      </c>
      <c r="E419" s="7">
        <v>-3.9618599268604962E-3</v>
      </c>
      <c r="F419" s="7">
        <v>-1.6351201582033754E-2</v>
      </c>
      <c r="G419" s="7">
        <v>-7.5928614223194678E-3</v>
      </c>
      <c r="P419" s="4"/>
      <c r="Q419" s="4"/>
      <c r="R419" s="4"/>
      <c r="S419" s="4"/>
      <c r="T419" s="4"/>
    </row>
    <row r="420" spans="1:20" x14ac:dyDescent="0.3">
      <c r="A420" s="1">
        <v>45260</v>
      </c>
      <c r="B420" s="7">
        <v>3.6741708399417296E-2</v>
      </c>
      <c r="C420" s="7">
        <v>2.8281519454051079E-2</v>
      </c>
      <c r="D420" s="7">
        <v>1.8365107903291253E-2</v>
      </c>
      <c r="E420" s="7">
        <v>3.8563583636700191E-2</v>
      </c>
      <c r="F420" s="7">
        <v>4.1215092495526913E-2</v>
      </c>
      <c r="G420" s="7">
        <v>2.4864577452276229E-2</v>
      </c>
      <c r="P420" s="4"/>
      <c r="Q420" s="4"/>
      <c r="R420" s="4"/>
      <c r="S420" s="4"/>
      <c r="T420" s="4"/>
    </row>
    <row r="421" spans="1:20" x14ac:dyDescent="0.3">
      <c r="A421" s="1">
        <v>45289</v>
      </c>
      <c r="B421" s="7">
        <v>3.6496696596184007E-2</v>
      </c>
      <c r="C421" s="7">
        <v>1.2395633098064612E-2</v>
      </c>
      <c r="D421" s="7">
        <v>4.5334405461766619E-2</v>
      </c>
      <c r="E421" s="7">
        <v>8.1708481749025782E-3</v>
      </c>
      <c r="F421" s="7">
        <v>3.0260499219591324E-2</v>
      </c>
      <c r="G421" s="7">
        <v>4.4588483223743171E-4</v>
      </c>
      <c r="P421" s="4"/>
      <c r="Q421" s="4"/>
      <c r="R421" s="4"/>
      <c r="S421" s="4"/>
      <c r="T421" s="4"/>
    </row>
    <row r="422" spans="1:20" x14ac:dyDescent="0.3">
      <c r="A422" s="1">
        <v>45322</v>
      </c>
      <c r="B422" s="7">
        <v>-2.6389209760201777E-2</v>
      </c>
      <c r="C422" s="7">
        <v>-2.1284218411581683E-2</v>
      </c>
      <c r="D422" s="7">
        <v>-4.4709679689421591E-2</v>
      </c>
      <c r="E422" s="7">
        <v>-3.5560358367992114E-3</v>
      </c>
      <c r="F422" s="7">
        <v>-3.683716564992965E-2</v>
      </c>
      <c r="G422" s="7">
        <v>-1.0676879298930898E-2</v>
      </c>
      <c r="P422" s="4"/>
      <c r="Q422" s="4"/>
      <c r="R422" s="4"/>
      <c r="S422" s="4"/>
      <c r="T422" s="4"/>
    </row>
    <row r="423" spans="1:20" x14ac:dyDescent="0.3">
      <c r="A423" s="1">
        <v>45351</v>
      </c>
      <c r="B423" s="7">
        <v>-2.9423492858742507E-2</v>
      </c>
      <c r="C423" s="7">
        <v>-2.4889309044716112E-3</v>
      </c>
      <c r="D423" s="7">
        <v>-2.5013174058653997E-2</v>
      </c>
      <c r="E423" s="7">
        <v>-5.2068066705118462E-3</v>
      </c>
      <c r="F423" s="7">
        <v>-1.1796987174807112E-2</v>
      </c>
      <c r="G423" s="7">
        <v>-4.8035590438533469E-3</v>
      </c>
      <c r="P423" s="4"/>
      <c r="Q423" s="4"/>
      <c r="R423" s="4"/>
      <c r="S423" s="4"/>
      <c r="T423" s="4"/>
    </row>
    <row r="424" spans="1:20" x14ac:dyDescent="0.3">
      <c r="A424" s="1">
        <v>45380</v>
      </c>
      <c r="B424" s="7">
        <v>-2.2023835607642064E-2</v>
      </c>
      <c r="C424" s="7">
        <v>-2.6482047205521179E-3</v>
      </c>
      <c r="D424" s="7">
        <v>-1.3961369865926778E-2</v>
      </c>
      <c r="E424" s="7">
        <v>-3.4686530380802547E-4</v>
      </c>
      <c r="F424" s="7">
        <v>2.7186114169377973E-3</v>
      </c>
      <c r="G424" s="7">
        <v>-8.5452142017302633E-3</v>
      </c>
      <c r="P424" s="4"/>
      <c r="Q424" s="4"/>
      <c r="R424" s="4"/>
      <c r="S424" s="4"/>
      <c r="T424" s="4"/>
    </row>
    <row r="425" spans="1:20" x14ac:dyDescent="0.3">
      <c r="A425" s="1">
        <v>45412</v>
      </c>
      <c r="B425" s="7">
        <v>-2.2905448202560113E-2</v>
      </c>
      <c r="C425" s="7">
        <v>-1.2683490357325898E-2</v>
      </c>
      <c r="D425" s="7">
        <v>-4.5244615448615223E-2</v>
      </c>
      <c r="E425" s="7">
        <v>-1.0540923305040344E-2</v>
      </c>
      <c r="F425" s="7">
        <v>-8.2110259722152044E-3</v>
      </c>
      <c r="G425" s="7">
        <v>-9.9905000000005705E-4</v>
      </c>
      <c r="P425" s="4"/>
      <c r="Q425" s="4"/>
      <c r="R425" s="4"/>
      <c r="S425" s="4"/>
      <c r="T425" s="4"/>
    </row>
    <row r="426" spans="1:20" x14ac:dyDescent="0.3">
      <c r="A426" s="1">
        <v>45443</v>
      </c>
      <c r="B426" s="7">
        <v>1.5496147322287743E-2</v>
      </c>
      <c r="C426" s="7">
        <v>1.5809281058359388E-2</v>
      </c>
      <c r="D426" s="7">
        <v>-1.6638098601546951E-3</v>
      </c>
      <c r="E426" s="7">
        <v>1.9847895233079404E-2</v>
      </c>
      <c r="F426" s="7">
        <v>2.6811621044313651E-2</v>
      </c>
      <c r="G426" s="7">
        <v>-2.1387668049347493E-3</v>
      </c>
      <c r="P426" s="4"/>
      <c r="Q426" s="4"/>
      <c r="R426" s="4"/>
      <c r="S426" s="4"/>
      <c r="T426" s="4"/>
    </row>
    <row r="427" spans="1:20" x14ac:dyDescent="0.3">
      <c r="A427" s="1">
        <v>45471</v>
      </c>
      <c r="B427" s="7">
        <v>4.3722171185597462E-4</v>
      </c>
      <c r="C427" s="7">
        <v>-1.379199876275226E-2</v>
      </c>
      <c r="D427" s="7">
        <v>-2.6779492114016097E-2</v>
      </c>
      <c r="E427" s="7">
        <v>-7.7660258145617455E-3</v>
      </c>
      <c r="F427" s="7">
        <v>1.6503954792079787E-3</v>
      </c>
      <c r="G427" s="7">
        <v>-7.5445828874362202E-3</v>
      </c>
      <c r="P427" s="4"/>
      <c r="Q427" s="4"/>
      <c r="R427" s="4"/>
      <c r="S427" s="4"/>
      <c r="T427" s="4"/>
    </row>
    <row r="428" spans="1:20" x14ac:dyDescent="0.3">
      <c r="A428" s="1">
        <v>45504</v>
      </c>
      <c r="B428" s="7">
        <v>1.9830801233665908E-2</v>
      </c>
      <c r="C428" s="7">
        <v>9.0775971910621832E-3</v>
      </c>
      <c r="D428" s="7">
        <v>6.7511778754697438E-2</v>
      </c>
      <c r="E428" s="7">
        <v>1.6503153247180598E-2</v>
      </c>
      <c r="F428" s="7">
        <v>-2.001611835305183E-2</v>
      </c>
      <c r="G428" s="7">
        <v>7.7277781021897378E-3</v>
      </c>
      <c r="P428" s="4"/>
      <c r="Q428" s="4"/>
      <c r="R428" s="4"/>
      <c r="S428" s="4"/>
      <c r="T428" s="4"/>
    </row>
    <row r="429" spans="1:20" x14ac:dyDescent="0.3">
      <c r="A429" s="1">
        <v>45534</v>
      </c>
      <c r="B429" s="7">
        <v>2.9633059783406447E-2</v>
      </c>
      <c r="C429" s="7">
        <v>1.8990785917857342E-2</v>
      </c>
      <c r="D429" s="7">
        <v>2.1233375865246672E-2</v>
      </c>
      <c r="E429" s="7">
        <v>2.0760465380302587E-2</v>
      </c>
      <c r="F429" s="7">
        <v>3.3218785796105287E-2</v>
      </c>
      <c r="G429" s="7">
        <v>1.6231771167630124E-2</v>
      </c>
      <c r="P429" s="4"/>
      <c r="Q429" s="4"/>
      <c r="R429" s="4"/>
      <c r="S429" s="4"/>
      <c r="T429" s="4"/>
    </row>
    <row r="430" spans="1:20" x14ac:dyDescent="0.3">
      <c r="A430" s="1">
        <v>45565</v>
      </c>
      <c r="B430" s="7">
        <v>1.1317958123864373E-3</v>
      </c>
      <c r="C430" s="7">
        <v>6.4945336545197321E-3</v>
      </c>
      <c r="D430" s="7">
        <v>1.3263121591726313E-2</v>
      </c>
      <c r="E430" s="7">
        <v>1.8610683569638353E-2</v>
      </c>
      <c r="F430" s="7">
        <v>2.1113549953767071E-2</v>
      </c>
      <c r="G430" s="7">
        <v>8.4708292886526027E-3</v>
      </c>
      <c r="P430" s="4"/>
      <c r="Q430" s="4"/>
      <c r="R430" s="4"/>
      <c r="S430" s="4"/>
      <c r="T430" s="4"/>
    </row>
    <row r="431" spans="1:20" x14ac:dyDescent="0.3">
      <c r="A431" s="1">
        <v>45596</v>
      </c>
      <c r="B431" s="7">
        <v>-2.5079540158379814E-2</v>
      </c>
      <c r="C431" s="7">
        <v>-2.3885391732800652E-2</v>
      </c>
      <c r="D431" s="7">
        <v>-5.9518436005688152E-2</v>
      </c>
      <c r="E431" s="7">
        <v>-3.5570758331931379E-2</v>
      </c>
      <c r="F431" s="7">
        <v>-4.837636989272192E-2</v>
      </c>
      <c r="G431" s="7">
        <v>-1.879936950245268E-2</v>
      </c>
      <c r="P431" s="4"/>
      <c r="Q431" s="4"/>
      <c r="R431" s="4"/>
      <c r="S431" s="4"/>
      <c r="T431" s="4"/>
    </row>
    <row r="432" spans="1:20" x14ac:dyDescent="0.3">
      <c r="A432" s="1">
        <v>45625</v>
      </c>
      <c r="B432" s="7">
        <v>-2.2360860143437345E-2</v>
      </c>
      <c r="C432" s="7">
        <v>-2.939082046161973E-2</v>
      </c>
      <c r="D432" s="7">
        <v>1.1139448324080254E-2</v>
      </c>
      <c r="E432" s="7">
        <v>-1.2671299785090224E-2</v>
      </c>
      <c r="F432" s="7">
        <v>-1.094461472100808E-2</v>
      </c>
      <c r="G432" s="7">
        <v>-1.9757552806267783E-2</v>
      </c>
      <c r="P432" s="4"/>
      <c r="Q432" s="4"/>
      <c r="R432" s="4"/>
      <c r="S432" s="4"/>
      <c r="T432" s="4"/>
    </row>
    <row r="433" spans="1:20" x14ac:dyDescent="0.3">
      <c r="A433" s="1">
        <v>45657</v>
      </c>
      <c r="B433" s="7">
        <v>-3.2696033229213162E-2</v>
      </c>
      <c r="C433" s="7">
        <v>-2.2432871331998942E-2</v>
      </c>
      <c r="D433" s="7">
        <v>-5.1744358202261448E-2</v>
      </c>
      <c r="E433" s="7">
        <v>-1.718126707918469E-2</v>
      </c>
      <c r="F433" s="7">
        <v>-5.0015428805656958E-2</v>
      </c>
      <c r="G433" s="7">
        <v>-1.3192822687382075E-2</v>
      </c>
      <c r="P433" s="4"/>
      <c r="Q433" s="4"/>
      <c r="R433" s="4"/>
      <c r="S433" s="4"/>
      <c r="T433" s="4"/>
    </row>
    <row r="434" spans="1:20" x14ac:dyDescent="0.3">
      <c r="A434" s="1">
        <v>45688</v>
      </c>
      <c r="B434" s="7">
        <v>-7.3794727192085935E-3</v>
      </c>
      <c r="C434" s="7">
        <v>-4.5626730897801684E-4</v>
      </c>
      <c r="D434" s="7">
        <v>9.3307192517528299E-3</v>
      </c>
      <c r="E434" s="7">
        <v>-9.4040680366381298E-3</v>
      </c>
      <c r="F434" s="7">
        <v>4.804250622548795E-3</v>
      </c>
      <c r="G434" s="7">
        <v>1.927827146001452E-3</v>
      </c>
      <c r="P434" s="4"/>
      <c r="Q434" s="4"/>
      <c r="R434" s="4"/>
      <c r="S434" s="4"/>
      <c r="T434" s="4"/>
    </row>
    <row r="435" spans="1:20" x14ac:dyDescent="0.3">
      <c r="A435" s="1">
        <v>45716</v>
      </c>
      <c r="B435" s="7">
        <v>5.4934367783202017E-3</v>
      </c>
      <c r="C435" s="7">
        <v>-1.7349096593843644E-5</v>
      </c>
      <c r="D435" s="7">
        <v>2.6959796835009431E-2</v>
      </c>
      <c r="E435" s="7">
        <v>1.4769302764655347E-2</v>
      </c>
      <c r="F435" s="7">
        <v>-1.5421502301969467E-3</v>
      </c>
      <c r="G435" s="7">
        <v>2.4572696083455456E-3</v>
      </c>
      <c r="P435" s="4"/>
      <c r="Q435" s="4"/>
      <c r="R435" s="4"/>
      <c r="S435" s="4"/>
      <c r="T435" s="4"/>
    </row>
    <row r="436" spans="1:20" x14ac:dyDescent="0.3">
      <c r="A436" s="1">
        <v>45747</v>
      </c>
      <c r="B436" s="7">
        <v>1.7662558746536671E-2</v>
      </c>
      <c r="C436" s="7">
        <v>4.0868725051292541E-2</v>
      </c>
      <c r="D436" s="7">
        <v>8.1408373007999825E-4</v>
      </c>
      <c r="E436" s="7">
        <v>2.7183221560828721E-2</v>
      </c>
      <c r="F436" s="7">
        <v>5.8803828367533402E-3</v>
      </c>
      <c r="G436" s="7">
        <v>1.6926402123997239E-3</v>
      </c>
      <c r="P436" s="4"/>
      <c r="Q436" s="4"/>
      <c r="R436" s="4"/>
      <c r="S436" s="4"/>
      <c r="T436" s="4"/>
    </row>
    <row r="437" spans="1:20" x14ac:dyDescent="0.3">
      <c r="A437" s="1">
        <v>45777</v>
      </c>
      <c r="B437" s="7">
        <v>6.6992095637810667E-2</v>
      </c>
      <c r="C437" s="7">
        <v>4.5643521219326834E-2</v>
      </c>
      <c r="D437" s="7">
        <v>4.4761090931613713E-2</v>
      </c>
      <c r="E437" s="7">
        <v>3.1886364762423826E-2</v>
      </c>
      <c r="F437" s="7">
        <v>2.4565895814995558E-2</v>
      </c>
      <c r="G437" s="7">
        <v>-2.254025599999977E-3</v>
      </c>
      <c r="P437" s="4"/>
      <c r="Q437" s="4"/>
      <c r="R437" s="4"/>
      <c r="S437" s="4"/>
      <c r="T437" s="4"/>
    </row>
    <row r="438" spans="1:20" x14ac:dyDescent="0.3">
      <c r="A438" s="1">
        <v>45807</v>
      </c>
      <c r="B438" s="7">
        <v>3.02486674566304E-4</v>
      </c>
      <c r="C438" s="7">
        <v>-1.9472721008777414E-4</v>
      </c>
      <c r="D438" s="7">
        <v>-1.0182893873247488E-2</v>
      </c>
      <c r="E438" s="7">
        <v>9.6425779755538402E-3</v>
      </c>
      <c r="F438" s="7">
        <v>4.2098425368986324E-3</v>
      </c>
      <c r="G438" s="7">
        <v>6.5090134325580563E-3</v>
      </c>
      <c r="P438" s="4"/>
      <c r="Q438" s="4"/>
      <c r="R438" s="4"/>
      <c r="S438" s="4"/>
      <c r="T438" s="4"/>
    </row>
    <row r="439" spans="1:20" x14ac:dyDescent="0.3">
      <c r="A439" s="1">
        <v>45838</v>
      </c>
      <c r="B439" s="7">
        <v>3.31853128018504E-2</v>
      </c>
      <c r="C439" s="7">
        <v>3.6773941588119245E-2</v>
      </c>
      <c r="D439" s="7">
        <v>-3.3888783000001225E-3</v>
      </c>
      <c r="E439" s="7">
        <v>2.0140570200038694E-2</v>
      </c>
      <c r="F439" s="7">
        <v>2.2883938965800831E-2</v>
      </c>
      <c r="G439" s="7">
        <v>4.0205403559075373E-3</v>
      </c>
      <c r="P439" s="4"/>
      <c r="Q439" s="4"/>
      <c r="R439" s="4"/>
      <c r="S439" s="4"/>
      <c r="T439" s="4"/>
    </row>
    <row r="440" spans="1:20" x14ac:dyDescent="0.3">
      <c r="A440" s="1">
        <v>45869</v>
      </c>
      <c r="B440" s="7">
        <v>-2.7679306884875729E-2</v>
      </c>
      <c r="C440" s="7">
        <v>-3.3666336795429457E-2</v>
      </c>
      <c r="D440" s="7">
        <v>-4.8025257493475443E-2</v>
      </c>
      <c r="E440" s="7">
        <v>-3.8371923693024591E-2</v>
      </c>
      <c r="F440" s="7">
        <v>-2.4318389586250381E-2</v>
      </c>
      <c r="G440" s="7">
        <v>-9.6270561345741645E-3</v>
      </c>
      <c r="P440" s="4"/>
      <c r="Q440" s="4"/>
      <c r="R440" s="4"/>
      <c r="S440" s="4"/>
      <c r="T440" s="4"/>
    </row>
    <row r="441" spans="1:20" x14ac:dyDescent="0.3">
      <c r="A441" s="1">
        <v>45898</v>
      </c>
      <c r="B441" s="7">
        <v>1.0758574357209061E-2</v>
      </c>
      <c r="C441" s="7">
        <v>2.1635666152614339E-2</v>
      </c>
      <c r="D441" s="7">
        <v>2.1495450792885087E-2</v>
      </c>
      <c r="E441" s="7">
        <v>2.2178487623949819E-2</v>
      </c>
      <c r="F441" s="7">
        <v>1.7316151993877486E-2</v>
      </c>
      <c r="G441" s="7">
        <v>9.796159069935171E-3</v>
      </c>
      <c r="P441" s="4"/>
      <c r="Q441" s="4"/>
      <c r="R441" s="4"/>
      <c r="S441" s="4"/>
      <c r="T441" s="4"/>
    </row>
    <row r="442" spans="1:20" x14ac:dyDescent="0.3">
      <c r="A442" s="1">
        <v>45930</v>
      </c>
      <c r="B442" s="7">
        <v>1.4067028984950643E-3</v>
      </c>
      <c r="C442" s="7">
        <v>2.1744811906522395E-3</v>
      </c>
      <c r="D442" s="7">
        <v>-9.0333099176469964E-3</v>
      </c>
      <c r="E442" s="7">
        <v>-4.5802928218882343E-3</v>
      </c>
      <c r="F442" s="7">
        <v>1.0632038548589946E-2</v>
      </c>
      <c r="G442" s="7">
        <v>-3.5042207122507039E-3</v>
      </c>
      <c r="P442" s="4"/>
      <c r="Q442" s="4"/>
      <c r="R442" s="4"/>
      <c r="S442" s="4"/>
      <c r="T442" s="4"/>
    </row>
    <row r="443" spans="1:20" x14ac:dyDescent="0.3">
      <c r="A443" s="1">
        <v>45961</v>
      </c>
      <c r="B443" s="7">
        <v>-1.3931632105798173E-2</v>
      </c>
      <c r="C443" s="7">
        <v>-1.8698067421235219E-2</v>
      </c>
      <c r="D443" s="7">
        <v>-4.2820023926697134E-2</v>
      </c>
      <c r="E443" s="7">
        <v>-2.2037614967464557E-2</v>
      </c>
      <c r="F443" s="7">
        <v>-1.0739036131830968E-2</v>
      </c>
      <c r="G443" s="7">
        <v>-1.5336416250891181E-3</v>
      </c>
      <c r="P443" s="4"/>
      <c r="Q443" s="4"/>
      <c r="R443" s="4"/>
      <c r="S443" s="4"/>
      <c r="T443" s="4"/>
    </row>
    <row r="444" spans="1:20" x14ac:dyDescent="0.3">
      <c r="A444" s="1"/>
    </row>
    <row r="445" spans="1:20" x14ac:dyDescent="0.3">
      <c r="A445" s="1"/>
    </row>
    <row r="446" spans="1:20" x14ac:dyDescent="0.3">
      <c r="A446" s="1"/>
    </row>
    <row r="447" spans="1:20" x14ac:dyDescent="0.3">
      <c r="A447" s="1"/>
    </row>
    <row r="448" spans="1:20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499984740745262"/>
  </sheetPr>
  <dimension ref="A1:T490"/>
  <sheetViews>
    <sheetView topLeftCell="A196" workbookViewId="0">
      <selection activeCell="H213" sqref="H213"/>
    </sheetView>
  </sheetViews>
  <sheetFormatPr defaultColWidth="8.77734375" defaultRowHeight="14.4" x14ac:dyDescent="0.3"/>
  <cols>
    <col min="1" max="1" width="10.109375" bestFit="1" customWidth="1"/>
    <col min="13" max="13" width="11.44140625" customWidth="1"/>
    <col min="14" max="14" width="17.77734375" customWidth="1"/>
    <col min="15" max="15" width="22" customWidth="1"/>
    <col min="20" max="20" width="15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32539</v>
      </c>
      <c r="B2" s="7">
        <f>-RETURNS!B2</f>
        <v>6.2504688308801334E-2</v>
      </c>
      <c r="C2" s="7">
        <v>0</v>
      </c>
      <c r="D2" s="7">
        <f>-RETURNS!D2</f>
        <v>4.4447712123296401E-2</v>
      </c>
      <c r="E2" s="7">
        <f>-RETURNS!E2</f>
        <v>2.8124479946746529E-2</v>
      </c>
      <c r="F2" s="7">
        <f>-RETURNS!F2</f>
        <v>-4.3549712407559601E-2</v>
      </c>
      <c r="G2" s="7">
        <v>0</v>
      </c>
    </row>
    <row r="3" spans="1:7" x14ac:dyDescent="0.3">
      <c r="A3" s="1">
        <v>32567</v>
      </c>
      <c r="B3" s="7">
        <f>-RETURNS!B3</f>
        <v>-2.0885262737162243E-2</v>
      </c>
      <c r="C3" s="7">
        <v>0</v>
      </c>
      <c r="D3" s="7">
        <f>-RETURNS!D3</f>
        <v>-2.5662545553960584E-2</v>
      </c>
      <c r="E3" s="7">
        <f>-RETURNS!E3</f>
        <v>2.5745179930201662E-3</v>
      </c>
      <c r="F3" s="7">
        <f>-RETURNS!F3</f>
        <v>9.537246049661402E-2</v>
      </c>
      <c r="G3" s="7">
        <v>0</v>
      </c>
    </row>
    <row r="4" spans="1:7" x14ac:dyDescent="0.3">
      <c r="A4" s="1">
        <v>32598</v>
      </c>
      <c r="B4" s="7">
        <f>-RETURNS!B4</f>
        <v>6.7754323923184562E-2</v>
      </c>
      <c r="C4" s="7">
        <v>0</v>
      </c>
      <c r="D4" s="7">
        <f>-RETURNS!D4</f>
        <v>4.8472253357016104E-2</v>
      </c>
      <c r="E4" s="7">
        <f>-RETURNS!E4</f>
        <v>3.0821096647060758E-2</v>
      </c>
      <c r="F4" s="7">
        <f>-RETURNS!F4</f>
        <v>-2.7843973410259622E-2</v>
      </c>
      <c r="G4" s="7">
        <v>0</v>
      </c>
    </row>
    <row r="5" spans="1:7" x14ac:dyDescent="0.3">
      <c r="A5" s="1">
        <v>32626</v>
      </c>
      <c r="B5" s="7">
        <f>-RETURNS!B5</f>
        <v>9.5315505236909671E-3</v>
      </c>
      <c r="C5" s="7">
        <v>0</v>
      </c>
      <c r="D5" s="7">
        <f>-RETURNS!D5</f>
        <v>6.1796199069570146E-3</v>
      </c>
      <c r="E5" s="7">
        <f>-RETURNS!E5</f>
        <v>-4.8159819252036364E-3</v>
      </c>
      <c r="F5" s="7">
        <f>-RETURNS!F5</f>
        <v>2.5641025641025675E-2</v>
      </c>
      <c r="G5" s="7">
        <v>0</v>
      </c>
    </row>
    <row r="6" spans="1:7" x14ac:dyDescent="0.3">
      <c r="A6" s="1">
        <v>32659</v>
      </c>
      <c r="B6" s="7">
        <f>-RETURNS!B6</f>
        <v>2.2300405220883578E-2</v>
      </c>
      <c r="C6" s="7">
        <v>0</v>
      </c>
      <c r="D6" s="7">
        <f>-RETURNS!D6</f>
        <v>7.0709235622558778E-2</v>
      </c>
      <c r="E6" s="7">
        <f>-RETURNS!E6</f>
        <v>6.8691422470043839E-2</v>
      </c>
      <c r="F6" s="7">
        <f>-RETURNS!F6</f>
        <v>4.7106496137773991E-2</v>
      </c>
      <c r="G6" s="7">
        <v>0</v>
      </c>
    </row>
    <row r="7" spans="1:7" x14ac:dyDescent="0.3">
      <c r="A7" s="1">
        <v>32689</v>
      </c>
      <c r="B7" s="7">
        <f>-RETURNS!B7</f>
        <v>-1.2938362770385506E-2</v>
      </c>
      <c r="C7" s="7">
        <v>0</v>
      </c>
      <c r="D7" s="7">
        <f>-RETURNS!D7</f>
        <v>1.5622766921491546E-2</v>
      </c>
      <c r="E7" s="7">
        <f>-RETURNS!E7</f>
        <v>9.0787565025210373E-3</v>
      </c>
      <c r="F7" s="7">
        <f>-RETURNS!F7</f>
        <v>-1.1235955056179876E-2</v>
      </c>
      <c r="G7" s="7">
        <v>0</v>
      </c>
    </row>
    <row r="8" spans="1:7" x14ac:dyDescent="0.3">
      <c r="A8" s="1">
        <v>32720</v>
      </c>
      <c r="B8" s="7">
        <f>-RETURNS!B8</f>
        <v>-4.3546039959704519E-2</v>
      </c>
      <c r="C8" s="7">
        <v>0</v>
      </c>
      <c r="D8" s="7">
        <f>-RETURNS!D8</f>
        <v>-4.7715907939170459E-2</v>
      </c>
      <c r="E8" s="7">
        <f>-RETURNS!E8</f>
        <v>-7.9086131929614431E-2</v>
      </c>
      <c r="F8" s="7">
        <f>-RETURNS!F8</f>
        <v>-1.3729672087443317E-2</v>
      </c>
      <c r="G8" s="7">
        <v>0</v>
      </c>
    </row>
    <row r="9" spans="1:7" x14ac:dyDescent="0.3">
      <c r="A9" s="1">
        <v>32751</v>
      </c>
      <c r="B9" s="7">
        <f>-RETURNS!B9</f>
        <v>4.9359901254618421E-2</v>
      </c>
      <c r="C9" s="7">
        <v>0</v>
      </c>
      <c r="D9" s="7">
        <f>-RETURNS!D9</f>
        <v>5.5870689526157202E-2</v>
      </c>
      <c r="E9" s="7">
        <f>-RETURNS!E9</f>
        <v>5.445335584634857E-2</v>
      </c>
      <c r="F9" s="7">
        <f>-RETURNS!F9</f>
        <v>-1.4319809069212453E-2</v>
      </c>
      <c r="G9" s="7">
        <v>0</v>
      </c>
    </row>
    <row r="10" spans="1:7" x14ac:dyDescent="0.3">
      <c r="A10" s="1">
        <v>32780</v>
      </c>
      <c r="B10" s="7">
        <f>-RETURNS!B10</f>
        <v>-4.5043537056043151E-2</v>
      </c>
      <c r="C10" s="7">
        <v>0</v>
      </c>
      <c r="D10" s="7">
        <f>-RETURNS!D10</f>
        <v>-3.2860546514285667E-2</v>
      </c>
      <c r="E10" s="7">
        <f>-RETURNS!E10</f>
        <v>-3.7651277454056449E-2</v>
      </c>
      <c r="F10" s="7">
        <f>-RETURNS!F10</f>
        <v>-2.5421496311907248E-2</v>
      </c>
      <c r="G10" s="7">
        <v>0</v>
      </c>
    </row>
    <row r="11" spans="1:7" x14ac:dyDescent="0.3">
      <c r="A11" s="1">
        <v>32812</v>
      </c>
      <c r="B11" s="7">
        <f>-RETURNS!B11</f>
        <v>-3.5826791171697666E-3</v>
      </c>
      <c r="C11" s="7">
        <v>0</v>
      </c>
      <c r="D11" s="7">
        <f>-RETURNS!D11</f>
        <v>2.4841093902219901E-2</v>
      </c>
      <c r="E11" s="7">
        <f>-RETURNS!E11</f>
        <v>2.0324092405559813E-2</v>
      </c>
      <c r="F11" s="7">
        <f>-RETURNS!F11</f>
        <v>-1.2279303707076843E-2</v>
      </c>
      <c r="G11" s="7">
        <v>0</v>
      </c>
    </row>
    <row r="12" spans="1:7" x14ac:dyDescent="0.3">
      <c r="A12" s="1">
        <v>32842</v>
      </c>
      <c r="B12" s="7">
        <f>-RETURNS!B12</f>
        <v>-1.3991763945753966E-2</v>
      </c>
      <c r="C12" s="7">
        <v>0</v>
      </c>
      <c r="D12" s="7">
        <f>-RETURNS!D12</f>
        <v>3.3760164886954529E-3</v>
      </c>
      <c r="E12" s="7">
        <f>-RETURNS!E12</f>
        <v>1.1448196908986985E-3</v>
      </c>
      <c r="F12" s="7">
        <f>-RETURNS!F12</f>
        <v>-1.3443426920613847E-2</v>
      </c>
      <c r="G12" s="7">
        <v>0</v>
      </c>
    </row>
    <row r="13" spans="1:7" x14ac:dyDescent="0.3">
      <c r="A13" s="1">
        <v>32871</v>
      </c>
      <c r="B13" s="7">
        <f>-RETURNS!B13</f>
        <v>-3.1867393945901691E-2</v>
      </c>
      <c r="C13" s="7">
        <v>0</v>
      </c>
      <c r="D13" s="7">
        <f>-RETURNS!D13</f>
        <v>7.8763415246819561E-3</v>
      </c>
      <c r="E13" s="7">
        <f>-RETURNS!E13</f>
        <v>-3.180189403634507E-2</v>
      </c>
      <c r="F13" s="7">
        <f>-RETURNS!F13</f>
        <v>-1.0502049180327993E-2</v>
      </c>
      <c r="G13" s="7">
        <v>0</v>
      </c>
    </row>
    <row r="14" spans="1:7" x14ac:dyDescent="0.3">
      <c r="A14" s="1">
        <v>32904</v>
      </c>
      <c r="B14" s="7">
        <f>-RETURNS!B14</f>
        <v>-2.5853932035752876E-2</v>
      </c>
      <c r="C14" s="7">
        <v>0</v>
      </c>
      <c r="D14" s="7">
        <f>-RETURNS!D14</f>
        <v>5.7994966177740718E-3</v>
      </c>
      <c r="E14" s="7">
        <f>-RETURNS!E14</f>
        <v>-4.6721976171168342E-2</v>
      </c>
      <c r="F14" s="7">
        <f>-RETURNS!F14</f>
        <v>1.187891173840859E-2</v>
      </c>
      <c r="G14" s="7">
        <v>0</v>
      </c>
    </row>
    <row r="15" spans="1:7" x14ac:dyDescent="0.3">
      <c r="A15" s="1">
        <v>32932</v>
      </c>
      <c r="B15" s="7">
        <f>-RETURNS!B15</f>
        <v>-9.7217481457361511E-3</v>
      </c>
      <c r="C15" s="7">
        <v>0</v>
      </c>
      <c r="D15" s="7">
        <f>-RETURNS!D15</f>
        <v>2.9772124725065081E-2</v>
      </c>
      <c r="E15" s="7">
        <f>-RETURNS!E15</f>
        <v>-4.7918538484576266E-3</v>
      </c>
      <c r="F15" s="7">
        <f>-RETURNS!F15</f>
        <v>8.4734715160995309E-3</v>
      </c>
      <c r="G15" s="7">
        <v>0</v>
      </c>
    </row>
    <row r="16" spans="1:7" x14ac:dyDescent="0.3">
      <c r="A16" s="1">
        <v>32962</v>
      </c>
      <c r="B16" s="7">
        <f>-RETURNS!B16</f>
        <v>3.2622146375839278E-3</v>
      </c>
      <c r="C16" s="7">
        <v>0</v>
      </c>
      <c r="D16" s="7">
        <f>-RETURNS!D16</f>
        <v>5.8186396342857376E-2</v>
      </c>
      <c r="E16" s="7">
        <f>-RETURNS!E16</f>
        <v>1.1812083595421076E-2</v>
      </c>
      <c r="F16" s="7">
        <f>-RETURNS!F16</f>
        <v>3.9693040486911613E-4</v>
      </c>
      <c r="G16" s="7">
        <v>0</v>
      </c>
    </row>
    <row r="17" spans="1:7" x14ac:dyDescent="0.3">
      <c r="A17" s="1">
        <v>32993</v>
      </c>
      <c r="B17" s="7">
        <f>-RETURNS!B17</f>
        <v>-3.2985466077088972E-2</v>
      </c>
      <c r="C17" s="7">
        <v>0</v>
      </c>
      <c r="D17" s="7">
        <f>-RETURNS!D17</f>
        <v>7.2276185959594848E-3</v>
      </c>
      <c r="E17" s="7">
        <f>-RETURNS!E17</f>
        <v>-2.1972656250000291E-3</v>
      </c>
      <c r="F17" s="7">
        <f>-RETURNS!F17</f>
        <v>-2.5286132552568711E-3</v>
      </c>
      <c r="G17" s="7">
        <v>0</v>
      </c>
    </row>
    <row r="18" spans="1:7" x14ac:dyDescent="0.3">
      <c r="A18" s="1">
        <v>33024</v>
      </c>
      <c r="B18" s="7">
        <f>-RETURNS!B18</f>
        <v>-1.3014192468059134E-2</v>
      </c>
      <c r="C18" s="7">
        <v>0</v>
      </c>
      <c r="D18" s="7">
        <f>-RETURNS!D18</f>
        <v>-3.9543044587450213E-2</v>
      </c>
      <c r="E18" s="7">
        <f>-RETURNS!E18</f>
        <v>-2.8062176318177305E-2</v>
      </c>
      <c r="F18" s="7">
        <f>-RETURNS!F18</f>
        <v>-2.9459025174076083E-2</v>
      </c>
      <c r="G18" s="7">
        <v>0</v>
      </c>
    </row>
    <row r="19" spans="1:7" x14ac:dyDescent="0.3">
      <c r="A19" s="1">
        <v>33053</v>
      </c>
      <c r="B19" s="7">
        <f>-RETURNS!B19</f>
        <v>-1.3276698303955321E-2</v>
      </c>
      <c r="C19" s="7">
        <v>0</v>
      </c>
      <c r="D19" s="7">
        <f>-RETURNS!D19</f>
        <v>-1.2243186580368627E-3</v>
      </c>
      <c r="E19" s="7">
        <f>-RETURNS!E19</f>
        <v>-4.8247556636234222E-2</v>
      </c>
      <c r="F19" s="7">
        <f>-RETURNS!F19</f>
        <v>-4.0987406016514454E-2</v>
      </c>
      <c r="G19" s="7">
        <v>0</v>
      </c>
    </row>
    <row r="20" spans="1:7" x14ac:dyDescent="0.3">
      <c r="A20" s="1">
        <v>33085</v>
      </c>
      <c r="B20" s="7">
        <f>-RETURNS!B20</f>
        <v>-5.0753001929228596E-2</v>
      </c>
      <c r="C20" s="7">
        <v>0</v>
      </c>
      <c r="D20" s="7">
        <f>-RETURNS!D20</f>
        <v>-4.1836009283912151E-2</v>
      </c>
      <c r="E20" s="7">
        <f>-RETURNS!E20</f>
        <v>-7.134705723068703E-2</v>
      </c>
      <c r="F20" s="7">
        <f>-RETURNS!F20</f>
        <v>-1.0141987829614472E-2</v>
      </c>
      <c r="G20" s="7">
        <v>0</v>
      </c>
    </row>
    <row r="21" spans="1:7" x14ac:dyDescent="0.3">
      <c r="A21" s="1">
        <v>33116</v>
      </c>
      <c r="B21" s="7">
        <f>-RETURNS!B21</f>
        <v>-3.072460426630735E-2</v>
      </c>
      <c r="C21" s="7">
        <v>0</v>
      </c>
      <c r="D21" s="7">
        <f>-RETURNS!D21</f>
        <v>-1.5016201703814024E-2</v>
      </c>
      <c r="E21" s="7">
        <f>-RETURNS!E21</f>
        <v>-2.3108208135303007E-2</v>
      </c>
      <c r="F21" s="7">
        <f>-RETURNS!F21</f>
        <v>-2.5947852374354534E-2</v>
      </c>
      <c r="G21" s="7">
        <v>0</v>
      </c>
    </row>
    <row r="22" spans="1:7" x14ac:dyDescent="0.3">
      <c r="A22" s="1">
        <v>33144</v>
      </c>
      <c r="B22" s="7">
        <f>-RETURNS!B22</f>
        <v>-7.143891736325467E-3</v>
      </c>
      <c r="C22" s="7">
        <v>0</v>
      </c>
      <c r="D22" s="7">
        <f>-RETURNS!D22</f>
        <v>-4.109058556315482E-2</v>
      </c>
      <c r="E22" s="7">
        <f>-RETURNS!E22</f>
        <v>2.9717682020802636E-3</v>
      </c>
      <c r="F22" s="7">
        <f>-RETURNS!F22</f>
        <v>-1.9489330208461868E-2</v>
      </c>
      <c r="G22" s="7">
        <v>0</v>
      </c>
    </row>
    <row r="23" spans="1:7" x14ac:dyDescent="0.3">
      <c r="A23" s="1">
        <v>33177</v>
      </c>
      <c r="B23" s="7">
        <f>-RETURNS!B23</f>
        <v>-9.8235116939572476E-3</v>
      </c>
      <c r="C23" s="7">
        <v>0</v>
      </c>
      <c r="D23" s="7">
        <f>-RETURNS!D23</f>
        <v>-6.4035638199115105E-2</v>
      </c>
      <c r="E23" s="7">
        <f>-RETURNS!E23</f>
        <v>-4.0083484962003618E-2</v>
      </c>
      <c r="F23" s="7">
        <f>-RETURNS!F23</f>
        <v>4.4476850164053915E-2</v>
      </c>
      <c r="G23" s="7">
        <v>0</v>
      </c>
    </row>
    <row r="24" spans="1:7" x14ac:dyDescent="0.3">
      <c r="A24" s="1">
        <v>33207</v>
      </c>
      <c r="B24" s="7">
        <f>-RETURNS!B24</f>
        <v>-8.4718282368081571E-3</v>
      </c>
      <c r="C24" s="7">
        <v>0</v>
      </c>
      <c r="D24" s="7">
        <f>-RETURNS!D24</f>
        <v>2.3632188097335804E-2</v>
      </c>
      <c r="E24" s="7">
        <f>-RETURNS!E24</f>
        <v>-4.8596221190102974E-3</v>
      </c>
      <c r="F24" s="7">
        <f>-RETURNS!F24</f>
        <v>1.315117466802857E-2</v>
      </c>
      <c r="G24" s="7">
        <v>0</v>
      </c>
    </row>
    <row r="25" spans="1:7" x14ac:dyDescent="0.3">
      <c r="A25" s="1">
        <v>33238</v>
      </c>
      <c r="B25" s="7">
        <f>-RETURNS!B25</f>
        <v>7.05813224404736E-6</v>
      </c>
      <c r="C25" s="7">
        <v>0</v>
      </c>
      <c r="D25" s="7">
        <f>-RETURNS!D25</f>
        <v>1.9406979851883298E-2</v>
      </c>
      <c r="E25" s="7">
        <f>-RETURNS!E25</f>
        <v>1.9650429206743334E-3</v>
      </c>
      <c r="F25" s="7">
        <f>-RETURNS!F25</f>
        <v>-1.195205163909151E-3</v>
      </c>
      <c r="G25" s="7">
        <v>0</v>
      </c>
    </row>
    <row r="26" spans="1:7" x14ac:dyDescent="0.3">
      <c r="A26" s="1">
        <v>33269</v>
      </c>
      <c r="B26" s="7">
        <f>-RETURNS!B26</f>
        <v>-1.6018223722449272E-2</v>
      </c>
      <c r="C26" s="7">
        <v>0</v>
      </c>
      <c r="D26" s="7">
        <f>-RETURNS!D26</f>
        <v>-3.3228322721992942E-2</v>
      </c>
      <c r="E26" s="7">
        <f>-RETURNS!E26</f>
        <v>-2.4906210921217208E-2</v>
      </c>
      <c r="F26" s="7">
        <f>-RETURNS!F26</f>
        <v>-2.0681581685744053E-2</v>
      </c>
      <c r="G26" s="7">
        <v>0</v>
      </c>
    </row>
    <row r="27" spans="1:7" x14ac:dyDescent="0.3">
      <c r="A27" s="1">
        <v>33297</v>
      </c>
      <c r="B27" s="7">
        <f>-RETURNS!B27</f>
        <v>5.0799282345276212E-2</v>
      </c>
      <c r="C27" s="7">
        <v>0</v>
      </c>
      <c r="D27" s="7">
        <f>-RETURNS!D27</f>
        <v>1.0315658559037577E-2</v>
      </c>
      <c r="E27" s="7">
        <f>-RETURNS!E27</f>
        <v>2.2183602535268913E-2</v>
      </c>
      <c r="F27" s="7">
        <f>-RETURNS!F27</f>
        <v>-1.3510036026762678E-2</v>
      </c>
      <c r="G27" s="7">
        <v>0</v>
      </c>
    </row>
    <row r="28" spans="1:7" x14ac:dyDescent="0.3">
      <c r="A28" s="1">
        <v>33326</v>
      </c>
      <c r="B28" s="7">
        <f>-RETURNS!B28</f>
        <v>8.112443215651953E-2</v>
      </c>
      <c r="C28" s="7">
        <v>0</v>
      </c>
      <c r="D28" s="7">
        <f>-RETURNS!D28</f>
        <v>5.3191771311672444E-2</v>
      </c>
      <c r="E28" s="7">
        <f>-RETURNS!E28</f>
        <v>7.9929484030129658E-2</v>
      </c>
      <c r="F28" s="7">
        <f>-RETURNS!F28</f>
        <v>9.0491970430792712E-3</v>
      </c>
      <c r="G28" s="7">
        <v>0</v>
      </c>
    </row>
    <row r="29" spans="1:7" x14ac:dyDescent="0.3">
      <c r="A29" s="1">
        <v>33358</v>
      </c>
      <c r="B29" s="7">
        <f>-RETURNS!B29</f>
        <v>8.8170463988425027E-4</v>
      </c>
      <c r="C29" s="7">
        <v>0</v>
      </c>
      <c r="D29" s="7">
        <f>-RETURNS!D29</f>
        <v>-3.2961664495838108E-2</v>
      </c>
      <c r="E29" s="7">
        <f>-RETURNS!E29</f>
        <v>9.2411510482468939E-3</v>
      </c>
      <c r="F29" s="7">
        <f>-RETURNS!F29</f>
        <v>-1.2661498708010376E-2</v>
      </c>
      <c r="G29" s="7">
        <v>0</v>
      </c>
    </row>
    <row r="30" spans="1:7" x14ac:dyDescent="0.3">
      <c r="A30" s="1">
        <v>33389</v>
      </c>
      <c r="B30" s="7">
        <f>-RETURNS!B30</f>
        <v>2.0042542133850358E-2</v>
      </c>
      <c r="C30" s="7">
        <v>0</v>
      </c>
      <c r="D30" s="7">
        <f>-RETURNS!D30</f>
        <v>1.2906739434424382E-2</v>
      </c>
      <c r="E30" s="7">
        <f>-RETURNS!E30</f>
        <v>1.1296145335973031E-2</v>
      </c>
      <c r="F30" s="7">
        <f>-RETURNS!F30</f>
        <v>2.7272727272727254E-2</v>
      </c>
      <c r="G30" s="7">
        <v>0</v>
      </c>
    </row>
    <row r="31" spans="1:7" x14ac:dyDescent="0.3">
      <c r="A31" s="1">
        <v>33417</v>
      </c>
      <c r="B31" s="7">
        <f>-RETURNS!B31</f>
        <v>4.7082180524262565E-2</v>
      </c>
      <c r="C31" s="7">
        <v>0</v>
      </c>
      <c r="D31" s="7">
        <f>-RETURNS!D31</f>
        <v>-5.8881438359129562E-3</v>
      </c>
      <c r="E31" s="7">
        <f>-RETURNS!E31</f>
        <v>4.0425194577159894E-2</v>
      </c>
      <c r="F31" s="7">
        <f>-RETURNS!F31</f>
        <v>-1.3164670619148749E-2</v>
      </c>
      <c r="G31" s="7">
        <v>0</v>
      </c>
    </row>
    <row r="32" spans="1:7" x14ac:dyDescent="0.3">
      <c r="A32" s="1">
        <v>33450</v>
      </c>
      <c r="B32" s="7">
        <f>-RETURNS!B32</f>
        <v>-2.2729196015020145E-2</v>
      </c>
      <c r="C32" s="7">
        <v>0</v>
      </c>
      <c r="D32" s="7">
        <f>-RETURNS!D32</f>
        <v>-4.9514807758963318E-3</v>
      </c>
      <c r="E32" s="7">
        <f>-RETURNS!E32</f>
        <v>-4.4777413485369934E-2</v>
      </c>
      <c r="F32" s="7">
        <f>-RETURNS!F32</f>
        <v>-1.7549091936522015E-2</v>
      </c>
      <c r="G32" s="7">
        <v>0</v>
      </c>
    </row>
    <row r="33" spans="1:7" x14ac:dyDescent="0.3">
      <c r="A33" s="1">
        <v>33480</v>
      </c>
      <c r="B33" s="7">
        <f>-RETURNS!B33</f>
        <v>2.1531879169871548E-5</v>
      </c>
      <c r="C33" s="7">
        <v>0</v>
      </c>
      <c r="D33" s="7">
        <f>-RETURNS!D33</f>
        <v>-5.4129941854336007E-3</v>
      </c>
      <c r="E33" s="7">
        <f>-RETURNS!E33</f>
        <v>-1.1318177731708167E-3</v>
      </c>
      <c r="F33" s="7">
        <f>-RETURNS!F33</f>
        <v>-1.2514514256225058E-2</v>
      </c>
      <c r="G33" s="7">
        <v>0</v>
      </c>
    </row>
    <row r="34" spans="1:7" x14ac:dyDescent="0.3">
      <c r="A34" s="1">
        <v>33511</v>
      </c>
      <c r="B34" s="7">
        <f>-RETURNS!B34</f>
        <v>-5.7008593653011391E-2</v>
      </c>
      <c r="C34" s="7">
        <v>0</v>
      </c>
      <c r="D34" s="7">
        <f>-RETURNS!D34</f>
        <v>-3.1763302805679329E-2</v>
      </c>
      <c r="E34" s="7">
        <f>-RETURNS!E34</f>
        <v>-4.5810189332855522E-2</v>
      </c>
      <c r="F34" s="7">
        <f>-RETURNS!F34</f>
        <v>-1.9429886232902822E-2</v>
      </c>
      <c r="G34" s="7">
        <v>0</v>
      </c>
    </row>
    <row r="35" spans="1:7" x14ac:dyDescent="0.3">
      <c r="A35" s="1">
        <v>33542</v>
      </c>
      <c r="B35" s="7">
        <f>-RETURNS!B35</f>
        <v>8.3867391463556158E-3</v>
      </c>
      <c r="C35" s="7">
        <v>0</v>
      </c>
      <c r="D35" s="7">
        <f>-RETURNS!D35</f>
        <v>-1.864482296753002E-2</v>
      </c>
      <c r="E35" s="7">
        <f>-RETURNS!E35</f>
        <v>2.5235145675612169E-3</v>
      </c>
      <c r="F35" s="7">
        <f>-RETURNS!F35</f>
        <v>1.5955241916236852E-2</v>
      </c>
      <c r="G35" s="7">
        <v>0</v>
      </c>
    </row>
    <row r="36" spans="1:7" x14ac:dyDescent="0.3">
      <c r="A36" s="1">
        <v>33571</v>
      </c>
      <c r="B36" s="7">
        <f>-RETURNS!B36</f>
        <v>-2.2597809648637661E-2</v>
      </c>
      <c r="C36" s="7">
        <v>0</v>
      </c>
      <c r="D36" s="7">
        <f>-RETURNS!D36</f>
        <v>-5.0380285959515441E-3</v>
      </c>
      <c r="E36" s="7">
        <f>-RETURNS!E36</f>
        <v>-2.0491803278688443E-2</v>
      </c>
      <c r="F36" s="7">
        <f>-RETURNS!F36</f>
        <v>-4.7369094866214784E-3</v>
      </c>
      <c r="G36" s="7">
        <v>0</v>
      </c>
    </row>
    <row r="37" spans="1:7" x14ac:dyDescent="0.3">
      <c r="A37" s="1">
        <v>33603</v>
      </c>
      <c r="B37" s="7">
        <f>-RETURNS!B37</f>
        <v>-5.7762518817920806E-2</v>
      </c>
      <c r="C37" s="7">
        <v>0</v>
      </c>
      <c r="D37" s="7">
        <f>-RETURNS!D37</f>
        <v>-4.2953955571487824E-2</v>
      </c>
      <c r="E37" s="7">
        <f>-RETURNS!E37</f>
        <v>-6.3347233148558307E-2</v>
      </c>
      <c r="F37" s="7">
        <f>-RETURNS!F37</f>
        <v>2.5729584356453693E-2</v>
      </c>
      <c r="G37" s="7">
        <v>0</v>
      </c>
    </row>
    <row r="38" spans="1:7" x14ac:dyDescent="0.3">
      <c r="A38" s="1">
        <v>33634</v>
      </c>
      <c r="B38" s="7">
        <f>-RETURNS!B38</f>
        <v>4.4485110664261494E-2</v>
      </c>
      <c r="C38" s="7">
        <v>0</v>
      </c>
      <c r="D38" s="7">
        <f>-RETURNS!D38</f>
        <v>4.1613766306518437E-3</v>
      </c>
      <c r="E38" s="7">
        <f>-RETURNS!E38</f>
        <v>3.9237280710948216E-2</v>
      </c>
      <c r="F38" s="7">
        <f>-RETURNS!F38</f>
        <v>1.2233622730860268E-2</v>
      </c>
      <c r="G38" s="7">
        <v>0</v>
      </c>
    </row>
    <row r="39" spans="1:7" x14ac:dyDescent="0.3">
      <c r="A39" s="1">
        <v>33662</v>
      </c>
      <c r="B39" s="7">
        <f>-RETURNS!B39</f>
        <v>3.4879588362389233E-2</v>
      </c>
      <c r="C39" s="7">
        <v>0</v>
      </c>
      <c r="D39" s="7">
        <f>-RETURNS!D39</f>
        <v>2.6896321736346408E-2</v>
      </c>
      <c r="E39" s="7">
        <f>-RETURNS!E39</f>
        <v>1.1584097171455858E-2</v>
      </c>
      <c r="F39" s="7">
        <f>-RETURNS!F39</f>
        <v>-9.6633474819931616E-3</v>
      </c>
      <c r="G39" s="7">
        <v>0</v>
      </c>
    </row>
    <row r="40" spans="1:7" x14ac:dyDescent="0.3">
      <c r="A40" s="1">
        <v>33694</v>
      </c>
      <c r="B40" s="7">
        <f>-RETURNS!B40</f>
        <v>8.6114360465558773E-3</v>
      </c>
      <c r="C40" s="7">
        <v>0</v>
      </c>
      <c r="D40" s="7">
        <f>-RETURNS!D40</f>
        <v>2.7266254712178764E-2</v>
      </c>
      <c r="E40" s="7">
        <f>-RETURNS!E40</f>
        <v>7.3180492824882187E-3</v>
      </c>
      <c r="F40" s="7">
        <f>-RETURNS!F40</f>
        <v>-2.4851825446651737E-2</v>
      </c>
      <c r="G40" s="7">
        <v>0</v>
      </c>
    </row>
    <row r="41" spans="1:7" x14ac:dyDescent="0.3">
      <c r="A41" s="1">
        <v>33724</v>
      </c>
      <c r="B41" s="7">
        <f>-RETURNS!B41</f>
        <v>5.6933475527785379E-3</v>
      </c>
      <c r="C41" s="7">
        <v>0</v>
      </c>
      <c r="D41" s="7">
        <f>-RETURNS!D41</f>
        <v>2.1462675852717689E-3</v>
      </c>
      <c r="E41" s="7">
        <f>-RETURNS!E41</f>
        <v>-2.8774895785085734E-2</v>
      </c>
      <c r="F41" s="7">
        <f>-RETURNS!F41</f>
        <v>1.5740861194223871E-2</v>
      </c>
      <c r="G41" s="7">
        <v>0</v>
      </c>
    </row>
    <row r="42" spans="1:7" x14ac:dyDescent="0.3">
      <c r="A42" s="1">
        <v>33753</v>
      </c>
      <c r="B42" s="7">
        <f>-RETURNS!B42</f>
        <v>-4.6186963309708617E-2</v>
      </c>
      <c r="C42" s="7">
        <v>0</v>
      </c>
      <c r="D42" s="7">
        <f>-RETURNS!D42</f>
        <v>-4.4229267845694357E-2</v>
      </c>
      <c r="E42" s="7">
        <f>-RETURNS!E42</f>
        <v>-3.5775787403580686E-2</v>
      </c>
      <c r="F42" s="7">
        <f>-RETURNS!F42</f>
        <v>-1.8508725542040676E-3</v>
      </c>
      <c r="G42" s="7">
        <v>0</v>
      </c>
    </row>
    <row r="43" spans="1:7" x14ac:dyDescent="0.3">
      <c r="A43" s="1">
        <v>33785</v>
      </c>
      <c r="B43" s="7">
        <f>-RETURNS!B43</f>
        <v>-6.4217469725848145E-2</v>
      </c>
      <c r="C43" s="7">
        <v>0</v>
      </c>
      <c r="D43" s="7">
        <f>-RETURNS!D43</f>
        <v>-1.5578768448645943E-2</v>
      </c>
      <c r="E43" s="7">
        <f>-RETURNS!E43</f>
        <v>-4.6358343403273661E-2</v>
      </c>
      <c r="F43" s="7">
        <f>-RETURNS!F43</f>
        <v>1.216287678477009E-2</v>
      </c>
      <c r="G43" s="7">
        <v>0</v>
      </c>
    </row>
    <row r="44" spans="1:7" x14ac:dyDescent="0.3">
      <c r="A44" s="1">
        <v>33816</v>
      </c>
      <c r="B44" s="7">
        <f>-RETURNS!B44</f>
        <v>-4.9894292280945683E-2</v>
      </c>
      <c r="C44" s="7">
        <v>0</v>
      </c>
      <c r="D44" s="7">
        <f>-RETURNS!D44</f>
        <v>9.7895587005665616E-3</v>
      </c>
      <c r="E44" s="7">
        <f>-RETURNS!E44</f>
        <v>-1.7310910798062608E-2</v>
      </c>
      <c r="F44" s="7">
        <f>-RETURNS!F44</f>
        <v>1.8511563019798479E-3</v>
      </c>
      <c r="G44" s="7">
        <v>0</v>
      </c>
    </row>
    <row r="45" spans="1:7" x14ac:dyDescent="0.3">
      <c r="A45" s="1">
        <v>33847</v>
      </c>
      <c r="B45" s="7">
        <f>-RETURNS!B45</f>
        <v>-5.6589473823546461E-2</v>
      </c>
      <c r="C45" s="7">
        <v>0</v>
      </c>
      <c r="D45" s="7">
        <f>-RETURNS!D45</f>
        <v>-3.411748532498101E-2</v>
      </c>
      <c r="E45" s="7">
        <f>-RETURNS!E45</f>
        <v>-3.7515764406071239E-2</v>
      </c>
      <c r="F45" s="7">
        <f>-RETURNS!F45</f>
        <v>3.7055981048012526E-2</v>
      </c>
      <c r="G45" s="7">
        <v>0</v>
      </c>
    </row>
    <row r="46" spans="1:7" x14ac:dyDescent="0.3">
      <c r="A46" s="1">
        <v>33877</v>
      </c>
      <c r="B46" s="7">
        <f>-RETURNS!B46</f>
        <v>-1.4843693047455237E-2</v>
      </c>
      <c r="C46" s="7">
        <v>0</v>
      </c>
      <c r="D46" s="7">
        <f>-RETURNS!D46</f>
        <v>-2.5766614584615342E-2</v>
      </c>
      <c r="E46" s="7">
        <f>-RETURNS!E46</f>
        <v>0.10101208851184187</v>
      </c>
      <c r="F46" s="7">
        <f>-RETURNS!F46</f>
        <v>1.1204481792718962E-3</v>
      </c>
      <c r="G46" s="7">
        <v>0</v>
      </c>
    </row>
    <row r="47" spans="1:7" x14ac:dyDescent="0.3">
      <c r="A47" s="1">
        <v>33907</v>
      </c>
      <c r="B47" s="7">
        <f>-RETURNS!B47</f>
        <v>9.7163812118985726E-2</v>
      </c>
      <c r="C47" s="7">
        <v>0</v>
      </c>
      <c r="D47" s="7">
        <f>-RETURNS!D47</f>
        <v>2.6542411613832959E-2</v>
      </c>
      <c r="E47" s="7">
        <f>-RETURNS!E47</f>
        <v>0.11819622043679986</v>
      </c>
      <c r="F47" s="7">
        <f>-RETURNS!F47</f>
        <v>2.1902468578722172E-2</v>
      </c>
      <c r="G47" s="7">
        <v>0</v>
      </c>
    </row>
    <row r="48" spans="1:7" x14ac:dyDescent="0.3">
      <c r="A48" s="1">
        <v>33938</v>
      </c>
      <c r="B48" s="7">
        <f>-RETURNS!B48</f>
        <v>3.892902900219905E-2</v>
      </c>
      <c r="C48" s="7">
        <v>0</v>
      </c>
      <c r="D48" s="7">
        <f>-RETURNS!D48</f>
        <v>9.8052423703703529E-3</v>
      </c>
      <c r="E48" s="7">
        <f>-RETURNS!E48</f>
        <v>2.2424125265803313E-2</v>
      </c>
      <c r="F48" s="7">
        <f>-RETURNS!F48</f>
        <v>1.7343703656777235E-2</v>
      </c>
      <c r="G48" s="7">
        <v>0</v>
      </c>
    </row>
    <row r="49" spans="1:7" x14ac:dyDescent="0.3">
      <c r="A49" s="1">
        <v>33969</v>
      </c>
      <c r="B49" s="7">
        <f>-RETURNS!B49</f>
        <v>2.0685272075985764E-2</v>
      </c>
      <c r="C49" s="7">
        <v>0</v>
      </c>
      <c r="D49" s="7">
        <f>-RETURNS!D49</f>
        <v>1.1015099930138876E-3</v>
      </c>
      <c r="E49" s="7">
        <f>-RETURNS!E49</f>
        <v>7.9380829529659849E-4</v>
      </c>
      <c r="F49" s="7">
        <f>-RETURNS!F49</f>
        <v>-1.099706744868028E-2</v>
      </c>
      <c r="G49" s="7">
        <v>0</v>
      </c>
    </row>
    <row r="50" spans="1:7" x14ac:dyDescent="0.3">
      <c r="A50" s="1">
        <v>33998</v>
      </c>
      <c r="B50" s="7">
        <f>-RETURNS!B50</f>
        <v>1.1413559678309237E-2</v>
      </c>
      <c r="C50" s="7">
        <v>0</v>
      </c>
      <c r="D50" s="7">
        <f>-RETURNS!D50</f>
        <v>-1.5360152642025476E-3</v>
      </c>
      <c r="E50" s="7">
        <f>-RETURNS!E50</f>
        <v>1.3082746712710884E-2</v>
      </c>
      <c r="F50" s="7">
        <f>-RETURNS!F50</f>
        <v>1.0618181818181778E-2</v>
      </c>
      <c r="G50" s="7">
        <v>0</v>
      </c>
    </row>
    <row r="51" spans="1:7" x14ac:dyDescent="0.3">
      <c r="A51" s="1">
        <v>34026</v>
      </c>
      <c r="B51" s="7">
        <f>-RETURNS!B51</f>
        <v>2.4294151666666937E-2</v>
      </c>
      <c r="C51" s="7">
        <v>0</v>
      </c>
      <c r="D51" s="7">
        <f>-RETURNS!D51</f>
        <v>-5.5292691632730415E-2</v>
      </c>
      <c r="E51" s="7">
        <f>-RETURNS!E51</f>
        <v>3.8253297971460008E-2</v>
      </c>
      <c r="F51" s="7">
        <f>-RETURNS!F51</f>
        <v>-2.3858615611192919E-2</v>
      </c>
      <c r="G51" s="7">
        <v>0</v>
      </c>
    </row>
    <row r="52" spans="1:7" x14ac:dyDescent="0.3">
      <c r="A52" s="1">
        <v>34059</v>
      </c>
      <c r="B52" s="7">
        <f>-RETURNS!B52</f>
        <v>-2.6896617469365905E-2</v>
      </c>
      <c r="C52" s="7">
        <v>0</v>
      </c>
      <c r="D52" s="7">
        <f>-RETURNS!D52</f>
        <v>-2.9545926676008104E-2</v>
      </c>
      <c r="E52" s="7">
        <f>-RETURNS!E52</f>
        <v>-6.5273967785046072E-2</v>
      </c>
      <c r="F52" s="7">
        <f>-RETURNS!F52</f>
        <v>-1.5253993380342411E-2</v>
      </c>
      <c r="G52" s="7">
        <v>0</v>
      </c>
    </row>
    <row r="53" spans="1:7" x14ac:dyDescent="0.3">
      <c r="A53" s="1">
        <v>34089</v>
      </c>
      <c r="B53" s="7">
        <f>-RETURNS!B53</f>
        <v>-4.3610996702877727E-2</v>
      </c>
      <c r="C53" s="7">
        <v>0</v>
      </c>
      <c r="D53" s="7">
        <f>-RETURNS!D53</f>
        <v>-3.464575382624939E-2</v>
      </c>
      <c r="E53" s="7">
        <f>-RETURNS!E53</f>
        <v>-4.1970078114656507E-2</v>
      </c>
      <c r="F53" s="7">
        <f>-RETURNS!F53</f>
        <v>-4.1169789892106954E-3</v>
      </c>
      <c r="G53" s="7">
        <v>0</v>
      </c>
    </row>
    <row r="54" spans="1:7" x14ac:dyDescent="0.3">
      <c r="A54" s="1">
        <v>34120</v>
      </c>
      <c r="B54" s="7">
        <f>-RETURNS!B54</f>
        <v>-9.6228012046950129E-3</v>
      </c>
      <c r="C54" s="7">
        <v>0</v>
      </c>
      <c r="D54" s="7">
        <f>-RETURNS!D54</f>
        <v>-3.7201639374847065E-2</v>
      </c>
      <c r="E54" s="7">
        <f>-RETURNS!E54</f>
        <v>4.4585987261147242E-3</v>
      </c>
      <c r="F54" s="7">
        <f>-RETURNS!F54</f>
        <v>3.9224015859529955E-2</v>
      </c>
      <c r="G54" s="7">
        <v>0</v>
      </c>
    </row>
    <row r="55" spans="1:7" x14ac:dyDescent="0.3">
      <c r="A55" s="1">
        <v>34150</v>
      </c>
      <c r="B55" s="7">
        <f>-RETURNS!B55</f>
        <v>6.0205233227272677E-2</v>
      </c>
      <c r="C55" s="7">
        <v>0</v>
      </c>
      <c r="D55" s="7">
        <f>-RETURNS!D55</f>
        <v>1.9822870662810524E-3</v>
      </c>
      <c r="E55" s="7">
        <f>-RETURNS!E55</f>
        <v>4.3857399333162218E-2</v>
      </c>
      <c r="F55" s="7">
        <f>-RETURNS!F55</f>
        <v>1.7857142857142856E-2</v>
      </c>
      <c r="G55" s="7">
        <v>0</v>
      </c>
    </row>
    <row r="56" spans="1:7" x14ac:dyDescent="0.3">
      <c r="A56" s="1">
        <v>34180</v>
      </c>
      <c r="B56" s="7">
        <f>-RETURNS!B56</f>
        <v>4.804099530658649E-3</v>
      </c>
      <c r="C56" s="7">
        <v>0</v>
      </c>
      <c r="D56" s="7">
        <f>-RETURNS!D56</f>
        <v>-2.0977933781115728E-2</v>
      </c>
      <c r="E56" s="7">
        <f>-RETURNS!E56</f>
        <v>3.450447791894946E-3</v>
      </c>
      <c r="F56" s="7">
        <f>-RETURNS!F56</f>
        <v>-3.8531005418422574E-2</v>
      </c>
      <c r="G56" s="7">
        <v>0</v>
      </c>
    </row>
    <row r="57" spans="1:7" x14ac:dyDescent="0.3">
      <c r="A57" s="1">
        <v>34212</v>
      </c>
      <c r="B57" s="7">
        <f>-RETURNS!B57</f>
        <v>-3.216653577506861E-2</v>
      </c>
      <c r="C57" s="7">
        <v>0</v>
      </c>
      <c r="D57" s="7">
        <f>-RETURNS!D57</f>
        <v>-3.4709919775618675E-3</v>
      </c>
      <c r="E57" s="7">
        <f>-RETURNS!E57</f>
        <v>-9.060245460243024E-3</v>
      </c>
      <c r="F57" s="7">
        <f>-RETURNS!F57</f>
        <v>2.2780034822983079E-2</v>
      </c>
      <c r="G57" s="7">
        <v>0</v>
      </c>
    </row>
    <row r="58" spans="1:7" x14ac:dyDescent="0.3">
      <c r="A58" s="1">
        <v>34242</v>
      </c>
      <c r="B58" s="7">
        <f>-RETURNS!B58</f>
        <v>-3.8626203474275762E-2</v>
      </c>
      <c r="C58" s="7">
        <v>0</v>
      </c>
      <c r="D58" s="7">
        <f>-RETURNS!D58</f>
        <v>1.4827974247889312E-2</v>
      </c>
      <c r="E58" s="7">
        <f>-RETURNS!E58</f>
        <v>-4.7011417058429265E-3</v>
      </c>
      <c r="F58" s="7">
        <f>-RETURNS!F58</f>
        <v>3.9762170196952717E-2</v>
      </c>
      <c r="G58" s="7">
        <v>0</v>
      </c>
    </row>
    <row r="59" spans="1:7" x14ac:dyDescent="0.3">
      <c r="A59" s="1">
        <v>34271</v>
      </c>
      <c r="B59" s="7">
        <f>-RETURNS!B59</f>
        <v>4.3485897641859082E-2</v>
      </c>
      <c r="C59" s="7">
        <v>0</v>
      </c>
      <c r="D59" s="7">
        <f>-RETURNS!D59</f>
        <v>2.1680236245094228E-2</v>
      </c>
      <c r="E59" s="7">
        <f>-RETURNS!E59</f>
        <v>8.2708867867507616E-3</v>
      </c>
      <c r="F59" s="7">
        <f>-RETURNS!F59</f>
        <v>-3.2772913922677623E-2</v>
      </c>
      <c r="G59" s="7">
        <v>0</v>
      </c>
    </row>
    <row r="60" spans="1:7" x14ac:dyDescent="0.3">
      <c r="A60" s="1">
        <v>34303</v>
      </c>
      <c r="B60" s="7">
        <f>-RETURNS!B60</f>
        <v>3.1389189089551443E-3</v>
      </c>
      <c r="C60" s="7">
        <v>0</v>
      </c>
      <c r="D60" s="7">
        <f>-RETURNS!D60</f>
        <v>4.9133814533448023E-3</v>
      </c>
      <c r="E60" s="7">
        <f>-RETURNS!E60</f>
        <v>-6.1971396046048401E-3</v>
      </c>
      <c r="F60" s="7">
        <f>-RETURNS!F60</f>
        <v>9.6124962451185972E-3</v>
      </c>
      <c r="G60" s="7">
        <v>0</v>
      </c>
    </row>
    <row r="61" spans="1:7" x14ac:dyDescent="0.3">
      <c r="A61" s="1">
        <v>34334</v>
      </c>
      <c r="B61" s="7">
        <f>-RETURNS!B61</f>
        <v>-8.104849076690037E-3</v>
      </c>
      <c r="C61" s="7">
        <v>0</v>
      </c>
      <c r="D61" s="7">
        <f>-RETURNS!D61</f>
        <v>2.5874083504014087E-2</v>
      </c>
      <c r="E61" s="7">
        <f>-RETURNS!E61</f>
        <v>4.0062206636857847E-3</v>
      </c>
      <c r="F61" s="7">
        <f>-RETURNS!F61</f>
        <v>-3.115631285340217E-2</v>
      </c>
      <c r="G61" s="7">
        <v>0</v>
      </c>
    </row>
    <row r="62" spans="1:7" x14ac:dyDescent="0.3">
      <c r="A62" s="1">
        <v>34365</v>
      </c>
      <c r="B62" s="7">
        <f>-RETURNS!B62</f>
        <v>-2.2664789729324206E-2</v>
      </c>
      <c r="C62" s="7">
        <v>0</v>
      </c>
      <c r="D62" s="7">
        <f>-RETURNS!D62</f>
        <v>-3.0045030509808845E-2</v>
      </c>
      <c r="E62" s="7">
        <f>-RETURNS!E62</f>
        <v>-2.1834949481250275E-2</v>
      </c>
      <c r="F62" s="7">
        <f>-RETURNS!F62</f>
        <v>-4.4362564480471649E-2</v>
      </c>
      <c r="G62" s="7">
        <v>0</v>
      </c>
    </row>
    <row r="63" spans="1:7" x14ac:dyDescent="0.3">
      <c r="A63" s="1">
        <v>34393</v>
      </c>
      <c r="B63" s="7">
        <f>-RETURNS!B63</f>
        <v>-2.2211138270396214E-2</v>
      </c>
      <c r="C63" s="7">
        <v>0</v>
      </c>
      <c r="D63" s="7">
        <f>-RETURNS!D63</f>
        <v>-3.7535780931626447E-2</v>
      </c>
      <c r="E63" s="7">
        <f>-RETURNS!E63</f>
        <v>1.2234856040960151E-2</v>
      </c>
      <c r="F63" s="7">
        <f>-RETURNS!F63</f>
        <v>-8.1100938171130982E-3</v>
      </c>
      <c r="G63" s="7">
        <v>0</v>
      </c>
    </row>
    <row r="64" spans="1:7" x14ac:dyDescent="0.3">
      <c r="A64" s="1">
        <v>34424</v>
      </c>
      <c r="B64" s="7">
        <f>-RETURNS!B64</f>
        <v>-9.925490402995809E-3</v>
      </c>
      <c r="C64" s="7">
        <v>0</v>
      </c>
      <c r="D64" s="7">
        <f>-RETURNS!D64</f>
        <v>-1.5988956049827585E-2</v>
      </c>
      <c r="E64" s="7">
        <f>-RETURNS!E64</f>
        <v>-4.044762033166603E-4</v>
      </c>
      <c r="F64" s="7">
        <f>-RETURNS!F64</f>
        <v>1.1671950843130094E-2</v>
      </c>
      <c r="G64" s="7">
        <v>0</v>
      </c>
    </row>
    <row r="65" spans="1:7" x14ac:dyDescent="0.3">
      <c r="A65" s="1">
        <v>34453</v>
      </c>
      <c r="B65" s="7">
        <f>-RETURNS!B65</f>
        <v>-7.5381003091874029E-3</v>
      </c>
      <c r="C65" s="7">
        <v>0</v>
      </c>
      <c r="D65" s="7">
        <f>-RETURNS!D65</f>
        <v>-9.1470423909575591E-3</v>
      </c>
      <c r="E65" s="7">
        <f>-RETURNS!E65</f>
        <v>-2.4539008049226461E-2</v>
      </c>
      <c r="F65" s="7">
        <f>-RETURNS!F65</f>
        <v>-1.6551822121190666E-2</v>
      </c>
      <c r="G65" s="7">
        <v>0</v>
      </c>
    </row>
    <row r="66" spans="1:7" x14ac:dyDescent="0.3">
      <c r="A66" s="1">
        <v>34485</v>
      </c>
      <c r="B66" s="7">
        <f>-RETURNS!B66</f>
        <v>-6.482793859647276E-4</v>
      </c>
      <c r="C66" s="7">
        <v>0</v>
      </c>
      <c r="D66" s="7">
        <f>-RETURNS!D66</f>
        <v>3.0796658007688327E-2</v>
      </c>
      <c r="E66" s="7">
        <f>-RETURNS!E66</f>
        <v>3.7574159525377831E-3</v>
      </c>
      <c r="F66" s="7">
        <f>-RETURNS!F66</f>
        <v>-3.0909090909090761E-2</v>
      </c>
      <c r="G66" s="7">
        <v>0</v>
      </c>
    </row>
    <row r="67" spans="1:7" x14ac:dyDescent="0.3">
      <c r="A67" s="1">
        <v>34515</v>
      </c>
      <c r="B67" s="7">
        <f>-RETURNS!B67</f>
        <v>-5.1694663480224314E-2</v>
      </c>
      <c r="C67" s="7">
        <v>0</v>
      </c>
      <c r="D67" s="7">
        <f>-RETURNS!D67</f>
        <v>-6.221363814098925E-2</v>
      </c>
      <c r="E67" s="7">
        <f>-RETURNS!E67</f>
        <v>-2.2319167739650491E-2</v>
      </c>
      <c r="F67" s="7">
        <f>-RETURNS!F67</f>
        <v>1.1399104356086258E-2</v>
      </c>
      <c r="G67" s="7">
        <v>0</v>
      </c>
    </row>
    <row r="68" spans="1:7" x14ac:dyDescent="0.3">
      <c r="A68" s="1">
        <v>34544</v>
      </c>
      <c r="B68" s="7">
        <f>-RETURNS!B68</f>
        <v>5.0670691853446576E-3</v>
      </c>
      <c r="C68" s="7">
        <v>0</v>
      </c>
      <c r="D68" s="7">
        <f>-RETURNS!D68</f>
        <v>1.9085824596770874E-2</v>
      </c>
      <c r="E68" s="7">
        <f>-RETURNS!E68</f>
        <v>-1.7490105134964823E-4</v>
      </c>
      <c r="F68" s="7">
        <f>-RETURNS!F68</f>
        <v>-1.5685089550598816E-2</v>
      </c>
      <c r="G68" s="7">
        <v>0</v>
      </c>
    </row>
    <row r="69" spans="1:7" x14ac:dyDescent="0.3">
      <c r="A69" s="1">
        <v>34577</v>
      </c>
      <c r="B69" s="7">
        <f>-RETURNS!B69</f>
        <v>-5.8578135506365814E-3</v>
      </c>
      <c r="C69" s="7">
        <v>0</v>
      </c>
      <c r="D69" s="7">
        <f>-RETURNS!D69</f>
        <v>1.0374777466198508E-3</v>
      </c>
      <c r="E69" s="7">
        <f>-RETURNS!E69</f>
        <v>5.9616381544842509E-3</v>
      </c>
      <c r="F69" s="7">
        <f>-RETURNS!F69</f>
        <v>-5.0054112554111544E-3</v>
      </c>
      <c r="G69" s="7">
        <v>0</v>
      </c>
    </row>
    <row r="70" spans="1:7" x14ac:dyDescent="0.3">
      <c r="A70" s="1">
        <v>34607</v>
      </c>
      <c r="B70" s="7">
        <f>-RETURNS!B70</f>
        <v>-3.3886827527170892E-2</v>
      </c>
      <c r="C70" s="7">
        <v>0</v>
      </c>
      <c r="D70" s="7">
        <f>-RETURNS!D70</f>
        <v>-7.1034898761380165E-3</v>
      </c>
      <c r="E70" s="7">
        <f>-RETURNS!E70</f>
        <v>-2.8826713624209088E-2</v>
      </c>
      <c r="F70" s="7">
        <f>-RETURNS!F70</f>
        <v>2.983506529367103E-3</v>
      </c>
      <c r="G70" s="7">
        <v>0</v>
      </c>
    </row>
    <row r="71" spans="1:7" x14ac:dyDescent="0.3">
      <c r="A71" s="1">
        <v>34638</v>
      </c>
      <c r="B71" s="7">
        <f>-RETURNS!B71</f>
        <v>-2.3731461300038916E-2</v>
      </c>
      <c r="C71" s="7">
        <v>0</v>
      </c>
      <c r="D71" s="7">
        <f>-RETURNS!D71</f>
        <v>-2.0194178709577612E-2</v>
      </c>
      <c r="E71" s="7">
        <f>-RETURNS!E71</f>
        <v>-3.7095751426759672E-2</v>
      </c>
      <c r="F71" s="7">
        <f>-RETURNS!F71</f>
        <v>-3.8594380495982428E-3</v>
      </c>
      <c r="G71" s="7">
        <v>0</v>
      </c>
    </row>
    <row r="72" spans="1:7" x14ac:dyDescent="0.3">
      <c r="A72" s="1">
        <v>34668</v>
      </c>
      <c r="B72" s="7">
        <f>-RETURNS!B72</f>
        <v>5.3802537648812709E-2</v>
      </c>
      <c r="C72" s="7">
        <v>0</v>
      </c>
      <c r="D72" s="7">
        <f>-RETURNS!D72</f>
        <v>2.2596690010936581E-2</v>
      </c>
      <c r="E72" s="7">
        <f>-RETURNS!E72</f>
        <v>4.2972931640923646E-2</v>
      </c>
      <c r="F72" s="7">
        <f>-RETURNS!F72</f>
        <v>-3.6740363155800933E-2</v>
      </c>
      <c r="G72" s="7">
        <v>0</v>
      </c>
    </row>
    <row r="73" spans="1:7" x14ac:dyDescent="0.3">
      <c r="A73" s="1">
        <v>34698</v>
      </c>
      <c r="B73" s="7">
        <f>-RETURNS!B73</f>
        <v>-1.1702116428306215E-2</v>
      </c>
      <c r="C73" s="7">
        <v>0</v>
      </c>
      <c r="D73" s="7">
        <f>-RETURNS!D73</f>
        <v>9.4771570896277114E-3</v>
      </c>
      <c r="E73" s="7">
        <f>-RETURNS!E73</f>
        <v>1.3098999683707767E-4</v>
      </c>
      <c r="F73" s="7">
        <f>-RETURNS!F73</f>
        <v>-9.4973994440863425E-3</v>
      </c>
      <c r="G73" s="7">
        <v>0</v>
      </c>
    </row>
    <row r="74" spans="1:7" x14ac:dyDescent="0.3">
      <c r="A74" s="1">
        <v>34730</v>
      </c>
      <c r="B74" s="7">
        <f>-RETURNS!B74</f>
        <v>-1.6013610176917215E-2</v>
      </c>
      <c r="C74" s="7">
        <v>0</v>
      </c>
      <c r="D74" s="7">
        <f>-RETURNS!D74</f>
        <v>2.9628662301334962E-3</v>
      </c>
      <c r="E74" s="7">
        <f>-RETURNS!E74</f>
        <v>-9.318705081483563E-3</v>
      </c>
      <c r="F74" s="7">
        <f>-RETURNS!F74</f>
        <v>2.2755449943175909E-2</v>
      </c>
      <c r="G74" s="7">
        <v>0</v>
      </c>
    </row>
    <row r="75" spans="1:7" x14ac:dyDescent="0.3">
      <c r="A75" s="1">
        <v>34758</v>
      </c>
      <c r="B75" s="7">
        <f>-RETURNS!B75</f>
        <v>-3.6988083754595683E-2</v>
      </c>
      <c r="C75" s="7">
        <v>0</v>
      </c>
      <c r="D75" s="7">
        <f>-RETURNS!D75</f>
        <v>-2.6627727346640016E-2</v>
      </c>
      <c r="E75" s="7">
        <f>-RETURNS!E75</f>
        <v>-3.2290306194191986E-3</v>
      </c>
      <c r="F75" s="7">
        <f>-RETURNS!F75</f>
        <v>2.2044363984765676E-2</v>
      </c>
      <c r="G75" s="7">
        <v>0</v>
      </c>
    </row>
    <row r="76" spans="1:7" x14ac:dyDescent="0.3">
      <c r="A76" s="1">
        <v>34789</v>
      </c>
      <c r="B76" s="7">
        <f>-RETURNS!B76</f>
        <v>-9.4099224085694808E-2</v>
      </c>
      <c r="C76" s="7">
        <v>0</v>
      </c>
      <c r="D76" s="7">
        <f>-RETURNS!D76</f>
        <v>-0.11338096117654452</v>
      </c>
      <c r="E76" s="7">
        <f>-RETURNS!E76</f>
        <v>-2.4029808329912479E-2</v>
      </c>
      <c r="F76" s="7">
        <f>-RETURNS!F76</f>
        <v>4.6886010081846003E-3</v>
      </c>
      <c r="G76" s="7">
        <v>0</v>
      </c>
    </row>
    <row r="77" spans="1:7" x14ac:dyDescent="0.3">
      <c r="A77" s="1">
        <v>34817</v>
      </c>
      <c r="B77" s="7">
        <f>-RETURNS!B77</f>
        <v>1.5689279160997743E-2</v>
      </c>
      <c r="C77" s="7">
        <v>0</v>
      </c>
      <c r="D77" s="7">
        <f>-RETURNS!D77</f>
        <v>-2.2113862192089242E-2</v>
      </c>
      <c r="E77" s="7">
        <f>-RETURNS!E77</f>
        <v>5.3786654494762214E-3</v>
      </c>
      <c r="F77" s="7">
        <f>-RETURNS!F77</f>
        <v>7.3447221055961374E-3</v>
      </c>
      <c r="G77" s="7">
        <v>0</v>
      </c>
    </row>
    <row r="78" spans="1:7" x14ac:dyDescent="0.3">
      <c r="A78" s="1">
        <v>34850</v>
      </c>
      <c r="B78" s="7">
        <f>-RETURNS!B78</f>
        <v>2.2207961836860721E-2</v>
      </c>
      <c r="C78" s="7">
        <v>0</v>
      </c>
      <c r="D78" s="7">
        <f>-RETURNS!D78</f>
        <v>7.2375900553765709E-3</v>
      </c>
      <c r="E78" s="7">
        <f>-RETURNS!E78</f>
        <v>1.5741435901890519E-2</v>
      </c>
      <c r="F78" s="7">
        <f>-RETURNS!F78</f>
        <v>1.2910004015467737E-2</v>
      </c>
      <c r="G78" s="7">
        <v>0</v>
      </c>
    </row>
    <row r="79" spans="1:7" x14ac:dyDescent="0.3">
      <c r="A79" s="1">
        <v>34880</v>
      </c>
      <c r="B79" s="7">
        <f>-RETURNS!B79</f>
        <v>-1.4240476137068187E-2</v>
      </c>
      <c r="C79" s="7">
        <v>0</v>
      </c>
      <c r="D79" s="7">
        <f>-RETURNS!D79</f>
        <v>4.1532097864106967E-3</v>
      </c>
      <c r="E79" s="7">
        <f>-RETURNS!E79</f>
        <v>-5.9899117276165457E-3</v>
      </c>
      <c r="F79" s="7">
        <f>-RETURNS!F79</f>
        <v>9.2297992654658545E-3</v>
      </c>
      <c r="G79" s="7">
        <v>0</v>
      </c>
    </row>
    <row r="80" spans="1:7" x14ac:dyDescent="0.3">
      <c r="A80" s="1">
        <v>34911</v>
      </c>
      <c r="B80" s="7">
        <f>-RETURNS!B80</f>
        <v>6.4628260090690412E-3</v>
      </c>
      <c r="C80" s="7">
        <v>0</v>
      </c>
      <c r="D80" s="7">
        <f>-RETURNS!D80</f>
        <v>4.7187449217043265E-2</v>
      </c>
      <c r="E80" s="7">
        <f>-RETURNS!E80</f>
        <v>-1.473677609506835E-3</v>
      </c>
      <c r="F80" s="7">
        <f>-RETURNS!F80</f>
        <v>-4.1121919520965514E-2</v>
      </c>
      <c r="G80" s="7">
        <v>0</v>
      </c>
    </row>
    <row r="81" spans="1:7" x14ac:dyDescent="0.3">
      <c r="A81" s="1">
        <v>34942</v>
      </c>
      <c r="B81" s="7">
        <f>-RETURNS!B81</f>
        <v>4.5047996328684996E-2</v>
      </c>
      <c r="C81" s="7">
        <v>0</v>
      </c>
      <c r="D81" s="7">
        <f>-RETURNS!D81</f>
        <v>9.6566034067857937E-2</v>
      </c>
      <c r="E81" s="7">
        <f>-RETURNS!E81</f>
        <v>2.88597123429323E-2</v>
      </c>
      <c r="F81" s="7">
        <f>-RETURNS!F81</f>
        <v>-1.8295419568898977E-2</v>
      </c>
      <c r="G81" s="7">
        <v>0</v>
      </c>
    </row>
    <row r="82" spans="1:7" x14ac:dyDescent="0.3">
      <c r="A82" s="1">
        <v>34971</v>
      </c>
      <c r="B82" s="7">
        <f>-RETURNS!B82</f>
        <v>-3.98852388348978E-2</v>
      </c>
      <c r="C82" s="7">
        <v>0</v>
      </c>
      <c r="D82" s="7">
        <f>-RETURNS!D82</f>
        <v>2.6734583266036453E-2</v>
      </c>
      <c r="E82" s="7">
        <f>-RETURNS!E82</f>
        <v>-2.3408995511930444E-2</v>
      </c>
      <c r="F82" s="7">
        <f>-RETURNS!F82</f>
        <v>-7.6147783500824968E-3</v>
      </c>
      <c r="G82" s="7">
        <v>0</v>
      </c>
    </row>
    <row r="83" spans="1:7" x14ac:dyDescent="0.3">
      <c r="A83" s="1">
        <v>35003</v>
      </c>
      <c r="B83" s="7">
        <f>-RETURNS!B83</f>
        <v>-1.2849663008195789E-2</v>
      </c>
      <c r="C83" s="7">
        <v>0</v>
      </c>
      <c r="D83" s="7">
        <f>-RETURNS!D83</f>
        <v>2.6905343198404458E-2</v>
      </c>
      <c r="E83" s="7">
        <f>-RETURNS!E83</f>
        <v>2.4940805051301643E-3</v>
      </c>
      <c r="F83" s="7">
        <f>-RETURNS!F83</f>
        <v>-6.5926784826901607E-3</v>
      </c>
      <c r="G83" s="7">
        <v>0</v>
      </c>
    </row>
    <row r="84" spans="1:7" x14ac:dyDescent="0.3">
      <c r="A84" s="1">
        <v>35033</v>
      </c>
      <c r="B84" s="7">
        <f>-RETURNS!B84</f>
        <v>3.7024505299999975E-2</v>
      </c>
      <c r="C84" s="7">
        <v>0</v>
      </c>
      <c r="D84" s="7">
        <f>-RETURNS!D84</f>
        <v>5.4524865995107218E-3</v>
      </c>
      <c r="E84" s="7">
        <f>-RETURNS!E84</f>
        <v>2.8537041142748572E-2</v>
      </c>
      <c r="F84" s="7">
        <f>-RETURNS!F84</f>
        <v>1.9315709671039686E-2</v>
      </c>
      <c r="G84" s="7">
        <v>0</v>
      </c>
    </row>
    <row r="85" spans="1:7" x14ac:dyDescent="0.3">
      <c r="A85" s="1">
        <v>35062</v>
      </c>
      <c r="B85" s="7">
        <f>-RETURNS!B85</f>
        <v>-1.561850855712105E-2</v>
      </c>
      <c r="C85" s="7">
        <v>0</v>
      </c>
      <c r="D85" s="7">
        <f>-RETURNS!D85</f>
        <v>1.9010529113560052E-2</v>
      </c>
      <c r="E85" s="7">
        <f>-RETURNS!E85</f>
        <v>-1.1079067218227606E-2</v>
      </c>
      <c r="F85" s="7">
        <f>-RETURNS!F85</f>
        <v>1.480861215030909E-5</v>
      </c>
      <c r="G85" s="7">
        <v>0</v>
      </c>
    </row>
    <row r="86" spans="1:7" x14ac:dyDescent="0.3">
      <c r="A86" s="1">
        <v>35095</v>
      </c>
      <c r="B86" s="7">
        <f>-RETURNS!B86</f>
        <v>5.0247488814129167E-2</v>
      </c>
      <c r="C86" s="7">
        <v>0</v>
      </c>
      <c r="D86" s="7">
        <f>-RETURNS!D86</f>
        <v>3.7269824058385033E-2</v>
      </c>
      <c r="E86" s="7">
        <f>-RETURNS!E86</f>
        <v>2.2473361317403902E-2</v>
      </c>
      <c r="F86" s="7">
        <f>-RETURNS!F86</f>
        <v>-6.4209223367733756E-3</v>
      </c>
      <c r="G86" s="7">
        <v>0</v>
      </c>
    </row>
    <row r="87" spans="1:7" x14ac:dyDescent="0.3">
      <c r="A87" s="1">
        <v>35124</v>
      </c>
      <c r="B87" s="7">
        <f>-RETURNS!B87</f>
        <v>-4.9425824775193904E-3</v>
      </c>
      <c r="C87" s="7">
        <v>0</v>
      </c>
      <c r="D87" s="7">
        <f>-RETURNS!D87</f>
        <v>-1.2942442202783195E-2</v>
      </c>
      <c r="E87" s="7">
        <f>-RETURNS!E87</f>
        <v>-1.2806357559849976E-2</v>
      </c>
      <c r="F87" s="7">
        <f>-RETURNS!F87</f>
        <v>-2.6314835866126835E-2</v>
      </c>
      <c r="G87" s="7">
        <v>0</v>
      </c>
    </row>
    <row r="88" spans="1:7" x14ac:dyDescent="0.3">
      <c r="A88" s="1">
        <v>35153</v>
      </c>
      <c r="B88" s="7">
        <f>-RETURNS!B88</f>
        <v>-6.6196537487684054E-3</v>
      </c>
      <c r="C88" s="7">
        <v>0</v>
      </c>
      <c r="D88" s="7">
        <f>-RETURNS!D88</f>
        <v>2.2594661403051476E-2</v>
      </c>
      <c r="E88" s="7">
        <f>-RETURNS!E88</f>
        <v>2.4367458663515007E-3</v>
      </c>
      <c r="F88" s="7">
        <f>-RETURNS!F88</f>
        <v>-2.5719634886258908E-2</v>
      </c>
      <c r="G88" s="7">
        <v>0</v>
      </c>
    </row>
    <row r="89" spans="1:7" x14ac:dyDescent="0.3">
      <c r="A89" s="1">
        <v>35185</v>
      </c>
      <c r="B89" s="7">
        <f>-RETURNS!B89</f>
        <v>4.6933299823914504E-2</v>
      </c>
      <c r="C89" s="7">
        <v>0</v>
      </c>
      <c r="D89" s="7">
        <f>-RETURNS!D89</f>
        <v>-1.6063348163020061E-2</v>
      </c>
      <c r="E89" s="7">
        <f>-RETURNS!E89</f>
        <v>1.2975781380523599E-2</v>
      </c>
      <c r="F89" s="7">
        <f>-RETURNS!F89</f>
        <v>-7.6491768625834297E-3</v>
      </c>
      <c r="G89" s="7">
        <v>0</v>
      </c>
    </row>
    <row r="90" spans="1:7" x14ac:dyDescent="0.3">
      <c r="A90" s="1">
        <v>35216</v>
      </c>
      <c r="B90" s="7">
        <f>-RETURNS!B90</f>
        <v>6.2792631860610635E-3</v>
      </c>
      <c r="C90" s="7">
        <v>0</v>
      </c>
      <c r="D90" s="7">
        <f>-RETURNS!D90</f>
        <v>3.143425216694682E-2</v>
      </c>
      <c r="E90" s="7">
        <f>-RETURNS!E90</f>
        <v>-3.0138405546848004E-2</v>
      </c>
      <c r="F90" s="7">
        <f>-RETURNS!F90</f>
        <v>-1.6128026788020118E-2</v>
      </c>
      <c r="G90" s="7">
        <v>0</v>
      </c>
    </row>
    <row r="91" spans="1:7" x14ac:dyDescent="0.3">
      <c r="A91" s="1">
        <v>35244</v>
      </c>
      <c r="B91" s="7">
        <f>-RETURNS!B91</f>
        <v>7.0020494549629941E-3</v>
      </c>
      <c r="C91" s="7">
        <v>0</v>
      </c>
      <c r="D91" s="7">
        <f>-RETURNS!D91</f>
        <v>1.9046897376764311E-2</v>
      </c>
      <c r="E91" s="7">
        <f>-RETURNS!E91</f>
        <v>-1.5480874669418548E-3</v>
      </c>
      <c r="F91" s="7">
        <f>-RETURNS!F91</f>
        <v>1.1532745094350214E-2</v>
      </c>
      <c r="G91" s="7">
        <v>0</v>
      </c>
    </row>
    <row r="92" spans="1:7" x14ac:dyDescent="0.3">
      <c r="A92" s="1">
        <v>35277</v>
      </c>
      <c r="B92" s="7">
        <f>-RETURNS!B92</f>
        <v>-4.4732691503462492E-2</v>
      </c>
      <c r="C92" s="7">
        <v>0</v>
      </c>
      <c r="D92" s="7">
        <f>-RETURNS!D92</f>
        <v>-2.2833213153741542E-2</v>
      </c>
      <c r="E92" s="7">
        <f>-RETURNS!E92</f>
        <v>-2.7862331094683042E-3</v>
      </c>
      <c r="F92" s="7">
        <f>-RETURNS!F92</f>
        <v>1.7804595611835144E-2</v>
      </c>
      <c r="G92" s="7">
        <v>0</v>
      </c>
    </row>
    <row r="93" spans="1:7" x14ac:dyDescent="0.3">
      <c r="A93" s="1">
        <v>35307</v>
      </c>
      <c r="B93" s="7">
        <f>-RETURNS!B93</f>
        <v>5.7671370299677092E-3</v>
      </c>
      <c r="C93" s="7">
        <v>0</v>
      </c>
      <c r="D93" s="7">
        <f>-RETURNS!D93</f>
        <v>2.3287091586712275E-2</v>
      </c>
      <c r="E93" s="7">
        <f>-RETURNS!E93</f>
        <v>-5.5266371055844362E-3</v>
      </c>
      <c r="F93" s="7">
        <f>-RETURNS!F93</f>
        <v>-2.3271124081991137E-2</v>
      </c>
      <c r="G93" s="7">
        <v>0</v>
      </c>
    </row>
    <row r="94" spans="1:7" x14ac:dyDescent="0.3">
      <c r="A94" s="1">
        <v>35338</v>
      </c>
      <c r="B94" s="7">
        <f>-RETURNS!B94</f>
        <v>4.5055427055755749E-2</v>
      </c>
      <c r="C94" s="7">
        <v>0</v>
      </c>
      <c r="D94" s="7">
        <f>-RETURNS!D94</f>
        <v>2.6440088979897605E-2</v>
      </c>
      <c r="E94" s="7">
        <f>-RETURNS!E94</f>
        <v>-6.7124820201374172E-4</v>
      </c>
      <c r="F94" s="7">
        <f>-RETURNS!F94</f>
        <v>-3.526417699801848E-3</v>
      </c>
      <c r="G94" s="7">
        <v>0</v>
      </c>
    </row>
    <row r="95" spans="1:7" x14ac:dyDescent="0.3">
      <c r="A95" s="1">
        <v>35369</v>
      </c>
      <c r="B95" s="7">
        <f>-RETURNS!B95</f>
        <v>1.4564305955151163E-2</v>
      </c>
      <c r="C95" s="7">
        <v>0</v>
      </c>
      <c r="D95" s="7">
        <f>-RETURNS!D95</f>
        <v>2.7934421740225125E-2</v>
      </c>
      <c r="E95" s="7">
        <f>-RETURNS!E95</f>
        <v>-3.9803427242198056E-2</v>
      </c>
      <c r="F95" s="7">
        <f>-RETURNS!F95</f>
        <v>-1.6510731975784268E-3</v>
      </c>
      <c r="G95" s="7">
        <v>0</v>
      </c>
    </row>
    <row r="96" spans="1:7" x14ac:dyDescent="0.3">
      <c r="A96" s="1">
        <v>35398</v>
      </c>
      <c r="B96" s="7">
        <f>-RETURNS!B96</f>
        <v>3.076496688624724E-2</v>
      </c>
      <c r="C96" s="7">
        <v>0</v>
      </c>
      <c r="D96" s="7">
        <f>-RETURNS!D96</f>
        <v>2.2265722355767023E-3</v>
      </c>
      <c r="E96" s="7">
        <f>-RETURNS!E96</f>
        <v>-3.4413417303194825E-2</v>
      </c>
      <c r="F96" s="7">
        <f>-RETURNS!F96</f>
        <v>-3.2102550093839097E-2</v>
      </c>
      <c r="G96" s="7">
        <v>0</v>
      </c>
    </row>
    <row r="97" spans="1:20" x14ac:dyDescent="0.3">
      <c r="A97" s="1">
        <v>35430</v>
      </c>
      <c r="B97" s="7">
        <f>-RETURNS!B97</f>
        <v>3.0139231210857258E-2</v>
      </c>
      <c r="C97" s="7">
        <v>0</v>
      </c>
      <c r="D97" s="7">
        <f>-RETURNS!D97</f>
        <v>2.0638218666560366E-2</v>
      </c>
      <c r="E97" s="7">
        <f>-RETURNS!E97</f>
        <v>-1.9449235710462115E-2</v>
      </c>
      <c r="F97" s="7">
        <f>-RETURNS!F97</f>
        <v>2.5987564233066435E-2</v>
      </c>
      <c r="G97" s="7">
        <v>0</v>
      </c>
    </row>
    <row r="98" spans="1:20" x14ac:dyDescent="0.3">
      <c r="A98" s="1">
        <v>35461</v>
      </c>
      <c r="B98" s="7">
        <f>-RETURNS!B98</f>
        <v>5.986293089348E-2</v>
      </c>
      <c r="C98" s="7">
        <v>0</v>
      </c>
      <c r="D98" s="7">
        <f>-RETURNS!D98</f>
        <v>5.0270862606178419E-2</v>
      </c>
      <c r="E98" s="7">
        <f>-RETURNS!E98</f>
        <v>6.4510479304104057E-2</v>
      </c>
      <c r="F98" s="7">
        <f>-RETURNS!F98</f>
        <v>3.9577131757067473E-2</v>
      </c>
      <c r="G98" s="7">
        <v>0</v>
      </c>
    </row>
    <row r="99" spans="1:20" x14ac:dyDescent="0.3">
      <c r="A99" s="1">
        <v>35489</v>
      </c>
      <c r="B99" s="7">
        <f>-RETURNS!B99</f>
        <v>4.1040646969843365E-2</v>
      </c>
      <c r="C99" s="7">
        <v>0</v>
      </c>
      <c r="D99" s="7">
        <f>-RETURNS!D99</f>
        <v>-3.7376313973798772E-3</v>
      </c>
      <c r="E99" s="7">
        <f>-RETURNS!E99</f>
        <v>-1.6927985813211425E-2</v>
      </c>
      <c r="F99" s="7">
        <f>-RETURNS!F99</f>
        <v>-2.1475254319128053E-2</v>
      </c>
      <c r="G99" s="7">
        <v>0</v>
      </c>
    </row>
    <row r="100" spans="1:20" x14ac:dyDescent="0.3">
      <c r="A100" s="1">
        <v>35520</v>
      </c>
      <c r="B100" s="7">
        <f>-RETURNS!B100</f>
        <v>-1.762890832083994E-2</v>
      </c>
      <c r="C100" s="7">
        <v>0</v>
      </c>
      <c r="D100" s="7">
        <f>-RETURNS!D100</f>
        <v>3.1711126074154376E-2</v>
      </c>
      <c r="E100" s="7">
        <f>-RETURNS!E100</f>
        <v>-5.9593291147016156E-3</v>
      </c>
      <c r="F100" s="7">
        <f>-RETURNS!F100</f>
        <v>-9.7621911723881852E-3</v>
      </c>
      <c r="G100" s="7">
        <v>0</v>
      </c>
    </row>
    <row r="101" spans="1:20" x14ac:dyDescent="0.3">
      <c r="A101" s="1">
        <v>35550</v>
      </c>
      <c r="B101" s="7">
        <f>-RETURNS!B101</f>
        <v>1.9749922148652774E-2</v>
      </c>
      <c r="C101" s="7">
        <v>0</v>
      </c>
      <c r="D101" s="7">
        <f>-RETURNS!D101</f>
        <v>3.026256339549387E-2</v>
      </c>
      <c r="E101" s="7">
        <f>-RETURNS!E101</f>
        <v>8.0978461745237155E-3</v>
      </c>
      <c r="F101" s="7">
        <f>-RETURNS!F101</f>
        <v>6.0545867792271705E-3</v>
      </c>
      <c r="G101" s="7">
        <v>0</v>
      </c>
    </row>
    <row r="102" spans="1:20" x14ac:dyDescent="0.3">
      <c r="A102" s="1">
        <v>35580</v>
      </c>
      <c r="B102" s="7">
        <f>-RETURNS!B102</f>
        <v>-3.8315567008884603E-2</v>
      </c>
      <c r="C102" s="7">
        <v>0</v>
      </c>
      <c r="D102" s="7">
        <f>-RETURNS!D102</f>
        <v>-8.784806449364535E-2</v>
      </c>
      <c r="E102" s="7">
        <f>-RETURNS!E102</f>
        <v>-9.8321054755985474E-3</v>
      </c>
      <c r="F102" s="7">
        <f>-RETURNS!F102</f>
        <v>2.5820498264238146E-2</v>
      </c>
      <c r="G102" s="7">
        <v>0</v>
      </c>
    </row>
    <row r="103" spans="1:20" x14ac:dyDescent="0.3">
      <c r="A103" s="1">
        <v>35611</v>
      </c>
      <c r="B103" s="7">
        <f>-RETURNS!B103</f>
        <v>3.629798307215374E-2</v>
      </c>
      <c r="C103" s="7">
        <v>0</v>
      </c>
      <c r="D103" s="7">
        <f>-RETURNS!D103</f>
        <v>-1.091751367686399E-2</v>
      </c>
      <c r="E103" s="7">
        <f>-RETURNS!E103</f>
        <v>-1.7076454765561324E-2</v>
      </c>
      <c r="F103" s="7">
        <f>-RETURNS!F103</f>
        <v>8.2966376784145111E-3</v>
      </c>
      <c r="G103" s="7">
        <v>0</v>
      </c>
    </row>
    <row r="104" spans="1:20" x14ac:dyDescent="0.3">
      <c r="A104" s="1">
        <v>35642</v>
      </c>
      <c r="B104" s="7">
        <f>-RETURNS!B104</f>
        <v>3.7275877010787897E-2</v>
      </c>
      <c r="C104" s="7">
        <v>0</v>
      </c>
      <c r="D104" s="7">
        <f>-RETURNS!D104</f>
        <v>3.7956319156736931E-2</v>
      </c>
      <c r="E104" s="7">
        <f>-RETURNS!E104</f>
        <v>1.4031187092509679E-2</v>
      </c>
      <c r="F104" s="7">
        <f>-RETURNS!F104</f>
        <v>8.4555747523458891E-3</v>
      </c>
      <c r="G104" s="7">
        <v>0</v>
      </c>
    </row>
    <row r="105" spans="1:20" x14ac:dyDescent="0.3">
      <c r="A105" s="1">
        <v>35671</v>
      </c>
      <c r="B105" s="7">
        <f>-RETURNS!B105</f>
        <v>-9.7407149062311797E-3</v>
      </c>
      <c r="C105" s="7">
        <v>0</v>
      </c>
      <c r="D105" s="7">
        <f>-RETURNS!D105</f>
        <v>2.4015138802608218E-2</v>
      </c>
      <c r="E105" s="7">
        <f>-RETURNS!E105</f>
        <v>1.439990237354327E-2</v>
      </c>
      <c r="F105" s="7">
        <f>-RETURNS!F105</f>
        <v>2.1199982356738742E-2</v>
      </c>
      <c r="G105" s="7">
        <v>0</v>
      </c>
    </row>
    <row r="106" spans="1:20" x14ac:dyDescent="0.3">
      <c r="A106" s="1">
        <v>35703</v>
      </c>
      <c r="B106" s="7">
        <f>-RETURNS!B106</f>
        <v>-2.7279916119402847E-2</v>
      </c>
      <c r="C106" s="7">
        <v>0</v>
      </c>
      <c r="D106" s="7">
        <f>-RETURNS!D106</f>
        <v>5.7863897532651185E-4</v>
      </c>
      <c r="E106" s="7">
        <f>-RETURNS!E106</f>
        <v>-1.4504791540111382E-3</v>
      </c>
      <c r="F106" s="7">
        <f>-RETURNS!F106</f>
        <v>1.0422566350545974E-2</v>
      </c>
      <c r="G106" s="7">
        <v>0</v>
      </c>
    </row>
    <row r="107" spans="1:20" x14ac:dyDescent="0.3">
      <c r="A107" s="1">
        <v>35734</v>
      </c>
      <c r="B107" s="7">
        <f>-RETURNS!B107</f>
        <v>-3.0402591639258854E-2</v>
      </c>
      <c r="C107" s="7">
        <v>0</v>
      </c>
      <c r="D107" s="7">
        <f>-RETURNS!D107</f>
        <v>4.2824780670039954E-3</v>
      </c>
      <c r="E107" s="7">
        <f>-RETURNS!E107</f>
        <v>-3.6626177491323846E-2</v>
      </c>
      <c r="F107" s="7">
        <f>-RETURNS!F107</f>
        <v>3.3641992748180444E-2</v>
      </c>
      <c r="G107" s="7">
        <v>0</v>
      </c>
    </row>
    <row r="108" spans="1:20" x14ac:dyDescent="0.3">
      <c r="A108" s="1">
        <v>35762</v>
      </c>
      <c r="B108" s="7">
        <f>-RETURNS!B108</f>
        <v>2.2205862213086E-2</v>
      </c>
      <c r="C108" s="7">
        <v>0</v>
      </c>
      <c r="D108" s="7">
        <f>-RETURNS!D108</f>
        <v>6.1614780445783085E-2</v>
      </c>
      <c r="E108" s="7">
        <f>-RETURNS!E108</f>
        <v>-1.1062423676460055E-2</v>
      </c>
      <c r="F108" s="7">
        <f>-RETURNS!F108</f>
        <v>2.8953242096081397E-2</v>
      </c>
      <c r="G108" s="7">
        <v>0</v>
      </c>
    </row>
    <row r="109" spans="1:20" x14ac:dyDescent="0.3">
      <c r="A109" s="1">
        <v>35795</v>
      </c>
      <c r="B109" s="7">
        <f>-RETURNS!B109</f>
        <v>2.7864280184904978E-2</v>
      </c>
      <c r="C109" s="7">
        <v>0</v>
      </c>
      <c r="D109" s="7">
        <f>-RETURNS!D109</f>
        <v>2.6388368730248194E-2</v>
      </c>
      <c r="E109" s="7">
        <f>-RETURNS!E109</f>
        <v>2.4640109274456087E-2</v>
      </c>
      <c r="F109" s="7">
        <f>-RETURNS!F109</f>
        <v>4.6146896897630907E-2</v>
      </c>
      <c r="G109" s="7">
        <v>0</v>
      </c>
    </row>
    <row r="110" spans="1:20" x14ac:dyDescent="0.3">
      <c r="A110" s="1">
        <v>35825</v>
      </c>
      <c r="B110" s="7">
        <f>-RETURNS!B110</f>
        <v>1.3441208007017598E-2</v>
      </c>
      <c r="C110" s="7">
        <v>0</v>
      </c>
      <c r="D110" s="7">
        <f>-RETURNS!D110</f>
        <v>-2.3209515665970026E-2</v>
      </c>
      <c r="E110" s="7">
        <f>-RETURNS!E110</f>
        <v>6.5378574820118785E-3</v>
      </c>
      <c r="F110" s="7">
        <f>-RETURNS!F110</f>
        <v>-4.9880461437289962E-2</v>
      </c>
      <c r="G110" s="7">
        <v>0</v>
      </c>
    </row>
    <row r="111" spans="1:20" x14ac:dyDescent="0.3">
      <c r="A111" s="1">
        <v>35853</v>
      </c>
      <c r="B111" s="7">
        <f>-RETURNS!B111</f>
        <v>-3.9900240367582102E-3</v>
      </c>
      <c r="C111" s="7">
        <v>0</v>
      </c>
      <c r="D111" s="7">
        <f>-RETURNS!D111</f>
        <v>-3.5308709185617056E-3</v>
      </c>
      <c r="E111" s="7">
        <f>-RETURNS!E111</f>
        <v>-8.1826633081032597E-3</v>
      </c>
      <c r="F111" s="7">
        <f>-RETURNS!F111</f>
        <v>5.2414995691817999E-3</v>
      </c>
      <c r="G111" s="7">
        <v>0</v>
      </c>
    </row>
    <row r="112" spans="1:20" x14ac:dyDescent="0.3">
      <c r="A112" s="1">
        <v>35885</v>
      </c>
      <c r="B112" s="7">
        <f>-RETURNS!B112</f>
        <v>4.1478804209157567E-2</v>
      </c>
      <c r="C112" s="7">
        <v>0</v>
      </c>
      <c r="D112" s="7">
        <f>-RETURNS!D112</f>
        <v>5.6458647988650738E-2</v>
      </c>
      <c r="E112" s="7">
        <f>-RETURNS!E112</f>
        <v>-1.9549752199118548E-2</v>
      </c>
      <c r="F112" s="7">
        <f>-RETURNS!F112</f>
        <v>2.6351994920097443E-2</v>
      </c>
      <c r="G112" s="7">
        <v>0</v>
      </c>
      <c r="P112" s="4"/>
      <c r="Q112" s="4"/>
      <c r="R112" s="4"/>
      <c r="S112" s="4"/>
      <c r="T112" s="4"/>
    </row>
    <row r="113" spans="1:20" x14ac:dyDescent="0.3">
      <c r="A113" s="1">
        <v>35915</v>
      </c>
      <c r="B113" s="7">
        <f>-RETURNS!B113</f>
        <v>-1.0193751625848639E-2</v>
      </c>
      <c r="C113" s="7">
        <v>0</v>
      </c>
      <c r="D113" s="7">
        <f>-RETURNS!D113</f>
        <v>3.20238081170994E-3</v>
      </c>
      <c r="E113" s="7">
        <f>-RETURNS!E113</f>
        <v>-7.6355306693810126E-4</v>
      </c>
      <c r="F113" s="7">
        <f>-RETURNS!F113</f>
        <v>2.0317879915384886E-2</v>
      </c>
      <c r="G113" s="7">
        <v>0</v>
      </c>
      <c r="P113" s="4"/>
      <c r="Q113" s="4"/>
      <c r="R113" s="4"/>
      <c r="S113" s="4"/>
      <c r="T113" s="4"/>
    </row>
    <row r="114" spans="1:20" x14ac:dyDescent="0.3">
      <c r="A114" s="1">
        <v>35944</v>
      </c>
      <c r="B114" s="7">
        <f>-RETURNS!B114</f>
        <v>-8.6847527943100574E-3</v>
      </c>
      <c r="C114" s="7">
        <v>0</v>
      </c>
      <c r="D114" s="7">
        <f>-RETURNS!D114</f>
        <v>4.7047189250598122E-2</v>
      </c>
      <c r="E114" s="7">
        <f>-RETURNS!E114</f>
        <v>2.2533860721563031E-2</v>
      </c>
      <c r="F114" s="7">
        <f>-RETURNS!F114</f>
        <v>4.104423048802066E-2</v>
      </c>
      <c r="G114" s="7">
        <v>0</v>
      </c>
      <c r="P114" s="4"/>
      <c r="Q114" s="4"/>
      <c r="R114" s="4"/>
      <c r="S114" s="4"/>
      <c r="T114" s="4"/>
    </row>
    <row r="115" spans="1:20" x14ac:dyDescent="0.3">
      <c r="A115" s="1">
        <v>35976</v>
      </c>
      <c r="B115" s="7">
        <f>-RETURNS!B115</f>
        <v>2.7681200154649237E-2</v>
      </c>
      <c r="C115" s="7">
        <v>0</v>
      </c>
      <c r="D115" s="7">
        <f>-RETURNS!D115</f>
        <v>4.1127474947951787E-3</v>
      </c>
      <c r="E115" s="7">
        <f>-RETURNS!E115</f>
        <v>-2.4112290698316937E-2</v>
      </c>
      <c r="F115" s="7">
        <f>-RETURNS!F115</f>
        <v>4.0220950510742315E-3</v>
      </c>
      <c r="G115" s="7">
        <v>0</v>
      </c>
      <c r="P115" s="4"/>
      <c r="Q115" s="4"/>
      <c r="R115" s="4"/>
      <c r="S115" s="4"/>
      <c r="T115" s="4"/>
    </row>
    <row r="116" spans="1:20" x14ac:dyDescent="0.3">
      <c r="A116" s="1">
        <v>36007</v>
      </c>
      <c r="B116" s="7">
        <f>-RETURNS!B116</f>
        <v>-1.615475967634512E-2</v>
      </c>
      <c r="C116" s="7">
        <v>0</v>
      </c>
      <c r="D116" s="7">
        <f>-RETURNS!D116</f>
        <v>4.4936376399389369E-2</v>
      </c>
      <c r="E116" s="7">
        <f>-RETURNS!E116</f>
        <v>1.9524235636083995E-2</v>
      </c>
      <c r="F116" s="7">
        <f>-RETURNS!F116</f>
        <v>2.4863092774873214E-2</v>
      </c>
      <c r="G116" s="7">
        <v>0</v>
      </c>
      <c r="P116" s="4"/>
      <c r="Q116" s="4"/>
      <c r="R116" s="4"/>
      <c r="S116" s="4"/>
      <c r="T116" s="4"/>
    </row>
    <row r="117" spans="1:20" x14ac:dyDescent="0.3">
      <c r="A117" s="1">
        <v>36038</v>
      </c>
      <c r="B117" s="7">
        <f>-RETURNS!B117</f>
        <v>-3.8207435055033621E-2</v>
      </c>
      <c r="C117" s="7">
        <v>0</v>
      </c>
      <c r="D117" s="7">
        <f>-RETURNS!D117</f>
        <v>-3.376936508388767E-2</v>
      </c>
      <c r="E117" s="7">
        <f>-RETURNS!E117</f>
        <v>-3.0648889128856827E-2</v>
      </c>
      <c r="F117" s="7">
        <f>-RETURNS!F117</f>
        <v>6.2892490101616266E-2</v>
      </c>
      <c r="G117" s="7">
        <v>0</v>
      </c>
      <c r="P117" s="4"/>
      <c r="Q117" s="4"/>
      <c r="R117" s="4"/>
      <c r="S117" s="4"/>
      <c r="T117" s="4"/>
    </row>
    <row r="118" spans="1:20" x14ac:dyDescent="0.3">
      <c r="A118" s="1">
        <v>36068</v>
      </c>
      <c r="B118" s="7">
        <f>-RETURNS!B118</f>
        <v>-3.5105333814433218E-2</v>
      </c>
      <c r="C118" s="7">
        <v>0</v>
      </c>
      <c r="D118" s="7">
        <f>-RETURNS!D118</f>
        <v>-1.6306883802200946E-2</v>
      </c>
      <c r="E118" s="7">
        <f>-RETURNS!E118</f>
        <v>-1.3028830386691004E-2</v>
      </c>
      <c r="F118" s="7">
        <f>-RETURNS!F118</f>
        <v>-4.489436619718324E-2</v>
      </c>
      <c r="G118" s="7">
        <v>0</v>
      </c>
      <c r="P118" s="4"/>
      <c r="Q118" s="4"/>
      <c r="R118" s="4"/>
      <c r="S118" s="4"/>
      <c r="T118" s="4"/>
    </row>
    <row r="119" spans="1:20" x14ac:dyDescent="0.3">
      <c r="A119" s="1">
        <v>36098</v>
      </c>
      <c r="B119" s="7">
        <f>-RETURNS!B119</f>
        <v>-1.6492204201874718E-2</v>
      </c>
      <c r="C119" s="7">
        <v>0</v>
      </c>
      <c r="D119" s="7">
        <f>-RETURNS!D119</f>
        <v>-0.17159737031441066</v>
      </c>
      <c r="E119" s="7">
        <f>-RETURNS!E119</f>
        <v>1.2145510288308573E-2</v>
      </c>
      <c r="F119" s="7">
        <f>-RETURNS!F119</f>
        <v>-5.2679448160168965E-2</v>
      </c>
      <c r="G119" s="7">
        <v>0</v>
      </c>
      <c r="P119" s="4"/>
      <c r="Q119" s="4"/>
      <c r="R119" s="4"/>
      <c r="S119" s="4"/>
      <c r="T119" s="4"/>
    </row>
    <row r="120" spans="1:20" x14ac:dyDescent="0.3">
      <c r="A120" s="1">
        <v>36129</v>
      </c>
      <c r="B120" s="7">
        <f>-RETURNS!B120</f>
        <v>3.3819316999297161E-2</v>
      </c>
      <c r="C120" s="7">
        <v>0</v>
      </c>
      <c r="D120" s="7">
        <f>-RETURNS!D120</f>
        <v>6.1897995244346533E-2</v>
      </c>
      <c r="E120" s="7">
        <f>-RETURNS!E120</f>
        <v>1.4957673729016239E-2</v>
      </c>
      <c r="F120" s="7">
        <f>-RETURNS!F120</f>
        <v>-5.9004080222517736E-3</v>
      </c>
      <c r="G120" s="7">
        <v>0</v>
      </c>
      <c r="P120" s="4"/>
      <c r="Q120" s="4"/>
      <c r="R120" s="4"/>
      <c r="S120" s="4"/>
      <c r="T120" s="4"/>
    </row>
    <row r="121" spans="1:20" x14ac:dyDescent="0.3">
      <c r="A121" s="1">
        <v>36160</v>
      </c>
      <c r="B121" s="7">
        <f>-RETURNS!B121</f>
        <v>-1.0001157129718365E-2</v>
      </c>
      <c r="C121" s="7">
        <v>0</v>
      </c>
      <c r="D121" s="7">
        <f>-RETURNS!D121</f>
        <v>-7.5401802730182307E-2</v>
      </c>
      <c r="E121" s="7">
        <f>-RETURNS!E121</f>
        <v>-8.7812585457750138E-3</v>
      </c>
      <c r="F121" s="7">
        <f>-RETURNS!F121</f>
        <v>3.0184571623801386E-2</v>
      </c>
      <c r="G121" s="7">
        <v>0</v>
      </c>
      <c r="P121" s="4"/>
      <c r="Q121" s="4"/>
      <c r="R121" s="4"/>
      <c r="S121" s="4"/>
      <c r="T121" s="4"/>
    </row>
    <row r="122" spans="1:20" x14ac:dyDescent="0.3">
      <c r="A122" s="1">
        <v>36189</v>
      </c>
      <c r="B122" s="7">
        <f>-RETURNS!B122</f>
        <v>3.1920108177609624E-2</v>
      </c>
      <c r="C122" s="7">
        <v>0</v>
      </c>
      <c r="D122" s="7">
        <f>-RETURNS!D122</f>
        <v>2.4842338769791666E-2</v>
      </c>
      <c r="E122" s="7">
        <f>-RETURNS!E122</f>
        <v>8.1104712515451885E-3</v>
      </c>
      <c r="F122" s="7">
        <f>-RETURNS!F122</f>
        <v>-3.2518687064767189E-2</v>
      </c>
      <c r="G122" s="7">
        <v>0</v>
      </c>
      <c r="P122" s="4"/>
      <c r="Q122" s="4"/>
      <c r="R122" s="4"/>
      <c r="S122" s="4"/>
      <c r="T122" s="4"/>
    </row>
    <row r="123" spans="1:20" x14ac:dyDescent="0.3">
      <c r="A123" s="1">
        <v>36217</v>
      </c>
      <c r="B123" s="7">
        <f>-RETURNS!B123</f>
        <v>2.3791975910506847E-2</v>
      </c>
      <c r="C123" s="7">
        <v>0</v>
      </c>
      <c r="D123" s="7">
        <f>-RETURNS!D123</f>
        <v>2.7520457892042681E-2</v>
      </c>
      <c r="E123" s="7">
        <f>-RETURNS!E123</f>
        <v>2.50357436193837E-2</v>
      </c>
      <c r="F123" s="7">
        <f>-RETURNS!F123</f>
        <v>1.8363643285911776E-2</v>
      </c>
      <c r="G123" s="7">
        <v>0</v>
      </c>
      <c r="P123" s="4"/>
      <c r="Q123" s="4"/>
      <c r="R123" s="4"/>
      <c r="S123" s="4"/>
      <c r="T123" s="4"/>
    </row>
    <row r="124" spans="1:20" x14ac:dyDescent="0.3">
      <c r="A124" s="1">
        <v>36250</v>
      </c>
      <c r="B124" s="7">
        <f>-RETURNS!B124</f>
        <v>2.761172815663876E-2</v>
      </c>
      <c r="C124" s="7">
        <v>0</v>
      </c>
      <c r="D124" s="7">
        <f>-RETURNS!D124</f>
        <v>1.1647312402551045E-3</v>
      </c>
      <c r="E124" s="7">
        <f>-RETURNS!E124</f>
        <v>-6.0065685135928032E-3</v>
      </c>
      <c r="F124" s="7">
        <f>-RETURNS!F124</f>
        <v>-2.4889480623561912E-2</v>
      </c>
      <c r="G124" s="7">
        <v>0</v>
      </c>
      <c r="P124" s="4"/>
      <c r="Q124" s="4"/>
      <c r="R124" s="4"/>
      <c r="S124" s="4"/>
      <c r="T124" s="4"/>
    </row>
    <row r="125" spans="1:20" x14ac:dyDescent="0.3">
      <c r="A125" s="1">
        <v>36280</v>
      </c>
      <c r="B125" s="7">
        <f>-RETURNS!B125</f>
        <v>3.1478947040907139E-2</v>
      </c>
      <c r="C125" s="7">
        <v>0</v>
      </c>
      <c r="D125" s="7">
        <f>-RETURNS!D125</f>
        <v>7.611968911209E-3</v>
      </c>
      <c r="E125" s="7">
        <f>-RETURNS!E125</f>
        <v>7.4501769417029237E-4</v>
      </c>
      <c r="F125" s="7">
        <f>-RETURNS!F125</f>
        <v>-4.2463069252147413E-2</v>
      </c>
      <c r="G125" s="7">
        <v>0</v>
      </c>
      <c r="P125" s="4"/>
      <c r="Q125" s="4"/>
      <c r="R125" s="4"/>
      <c r="S125" s="4"/>
      <c r="T125" s="4"/>
    </row>
    <row r="126" spans="1:20" x14ac:dyDescent="0.3">
      <c r="A126" s="1">
        <v>36311</v>
      </c>
      <c r="B126" s="7">
        <f>-RETURNS!B126</f>
        <v>3.8857212051868007E-3</v>
      </c>
      <c r="C126" s="7">
        <v>0</v>
      </c>
      <c r="D126" s="7">
        <f>-RETURNS!D126</f>
        <v>2.2495798762818851E-2</v>
      </c>
      <c r="E126" s="7">
        <f>-RETURNS!E126</f>
        <v>3.9342917342581381E-3</v>
      </c>
      <c r="F126" s="7">
        <f>-RETURNS!F126</f>
        <v>1.8813261519758238E-2</v>
      </c>
      <c r="G126" s="7">
        <v>0</v>
      </c>
      <c r="P126" s="4"/>
      <c r="Q126" s="4"/>
      <c r="R126" s="4"/>
      <c r="S126" s="4"/>
      <c r="T126" s="4"/>
    </row>
    <row r="127" spans="1:20" x14ac:dyDescent="0.3">
      <c r="A127" s="1">
        <v>36341</v>
      </c>
      <c r="B127" s="7">
        <f>-RETURNS!B127</f>
        <v>1.6752092105021987E-2</v>
      </c>
      <c r="C127" s="7">
        <v>0</v>
      </c>
      <c r="D127" s="7">
        <f>-RETURNS!D127</f>
        <v>7.8265413874388685E-4</v>
      </c>
      <c r="E127" s="7">
        <f>-RETURNS!E127</f>
        <v>1.517066609242217E-2</v>
      </c>
      <c r="F127" s="7">
        <f>-RETURNS!F127</f>
        <v>-2.8433711175625643E-2</v>
      </c>
      <c r="G127" s="7">
        <v>0</v>
      </c>
      <c r="P127" s="4"/>
      <c r="Q127" s="4"/>
      <c r="R127" s="4"/>
      <c r="S127" s="4"/>
      <c r="T127" s="4"/>
    </row>
    <row r="128" spans="1:20" x14ac:dyDescent="0.3">
      <c r="A128" s="1">
        <v>36371</v>
      </c>
      <c r="B128" s="7">
        <f>-RETURNS!B128</f>
        <v>-3.4446389377901385E-2</v>
      </c>
      <c r="C128" s="7">
        <v>0</v>
      </c>
      <c r="D128" s="7">
        <f>-RETURNS!D128</f>
        <v>-5.27709259287963E-2</v>
      </c>
      <c r="E128" s="7">
        <f>-RETURNS!E128</f>
        <v>-2.7613630962754026E-2</v>
      </c>
      <c r="F128" s="7">
        <f>-RETURNS!F128</f>
        <v>2.3064778504429347E-2</v>
      </c>
      <c r="G128" s="7">
        <v>0</v>
      </c>
      <c r="P128" s="4"/>
      <c r="Q128" s="4"/>
      <c r="R128" s="4"/>
      <c r="S128" s="4"/>
      <c r="T128" s="4"/>
    </row>
    <row r="129" spans="1:20" x14ac:dyDescent="0.3">
      <c r="A129" s="1">
        <v>36403</v>
      </c>
      <c r="B129" s="7">
        <f>-RETURNS!B129</f>
        <v>1.9188858199463272E-2</v>
      </c>
      <c r="C129" s="7">
        <v>0</v>
      </c>
      <c r="D129" s="7">
        <f>-RETURNS!D129</f>
        <v>-3.9260406268437735E-2</v>
      </c>
      <c r="E129" s="7">
        <f>-RETURNS!E129</f>
        <v>1.1013406016057613E-2</v>
      </c>
      <c r="F129" s="7">
        <f>-RETURNS!F129</f>
        <v>1.8012052993936694E-2</v>
      </c>
      <c r="G129" s="7">
        <v>0</v>
      </c>
      <c r="P129" s="4"/>
      <c r="Q129" s="4"/>
      <c r="R129" s="4"/>
      <c r="S129" s="4"/>
      <c r="T129" s="4"/>
    </row>
    <row r="130" spans="1:20" x14ac:dyDescent="0.3">
      <c r="A130" s="1">
        <v>36433</v>
      </c>
      <c r="B130" s="7">
        <f>-RETURNS!B130</f>
        <v>-8.8882261439950754E-3</v>
      </c>
      <c r="C130" s="7">
        <v>0</v>
      </c>
      <c r="D130" s="7">
        <f>-RETURNS!D130</f>
        <v>-2.6925088425672122E-2</v>
      </c>
      <c r="E130" s="7">
        <f>-RETURNS!E130</f>
        <v>-2.6774166404358216E-2</v>
      </c>
      <c r="F130" s="7">
        <f>-RETURNS!F130</f>
        <v>-1.7121017121017053E-2</v>
      </c>
      <c r="G130" s="7">
        <v>0</v>
      </c>
      <c r="P130" s="4"/>
      <c r="Q130" s="4"/>
      <c r="R130" s="4"/>
      <c r="S130" s="4"/>
      <c r="T130" s="4"/>
    </row>
    <row r="131" spans="1:20" x14ac:dyDescent="0.3">
      <c r="A131" s="1">
        <v>36462</v>
      </c>
      <c r="B131" s="7">
        <f>-RETURNS!B131</f>
        <v>2.0436570514354012E-2</v>
      </c>
      <c r="C131" s="7">
        <v>0</v>
      </c>
      <c r="D131" s="7">
        <f>-RETURNS!D131</f>
        <v>-1.6784917767410829E-2</v>
      </c>
      <c r="E131" s="7">
        <f>-RETURNS!E131</f>
        <v>1.5661231774089929E-3</v>
      </c>
      <c r="F131" s="7">
        <f>-RETURNS!F131</f>
        <v>2.0398401976986322E-2</v>
      </c>
      <c r="G131" s="7">
        <v>0</v>
      </c>
      <c r="P131" s="4"/>
      <c r="Q131" s="4"/>
      <c r="R131" s="4"/>
      <c r="S131" s="4"/>
      <c r="T131" s="4"/>
    </row>
    <row r="132" spans="1:20" x14ac:dyDescent="0.3">
      <c r="A132" s="1">
        <v>36494</v>
      </c>
      <c r="B132" s="7">
        <f>-RETURNS!B132</f>
        <v>4.4543981238022654E-2</v>
      </c>
      <c r="C132" s="7">
        <v>0</v>
      </c>
      <c r="D132" s="7">
        <f>-RETURNS!D132</f>
        <v>-1.4059808621109888E-2</v>
      </c>
      <c r="E132" s="7">
        <f>-RETURNS!E132</f>
        <v>2.8438583287027964E-2</v>
      </c>
      <c r="F132" s="7">
        <f>-RETURNS!F132</f>
        <v>5.7082607872675798E-3</v>
      </c>
      <c r="G132" s="7">
        <v>0</v>
      </c>
      <c r="P132" s="4"/>
      <c r="Q132" s="4"/>
      <c r="R132" s="4"/>
      <c r="S132" s="4"/>
      <c r="T132" s="4"/>
    </row>
    <row r="133" spans="1:20" x14ac:dyDescent="0.3">
      <c r="A133" s="1">
        <v>36525</v>
      </c>
      <c r="B133" s="7">
        <f>-RETURNS!B133</f>
        <v>6.6575105076141011E-3</v>
      </c>
      <c r="C133" s="7">
        <v>0</v>
      </c>
      <c r="D133" s="7">
        <f>-RETURNS!D133</f>
        <v>8.1556863418123741E-3</v>
      </c>
      <c r="E133" s="7">
        <f>-RETURNS!E133</f>
        <v>-1.2020162853819318E-2</v>
      </c>
      <c r="F133" s="7">
        <f>-RETURNS!F133</f>
        <v>-3.2175521706806674E-2</v>
      </c>
      <c r="G133" s="7">
        <v>0</v>
      </c>
      <c r="P133" s="4"/>
      <c r="Q133" s="4"/>
      <c r="R133" s="4"/>
      <c r="S133" s="4"/>
      <c r="T133" s="4"/>
    </row>
    <row r="134" spans="1:20" x14ac:dyDescent="0.3">
      <c r="A134" s="1">
        <v>36556</v>
      </c>
      <c r="B134" s="7">
        <f>-RETURNS!B134</f>
        <v>4.4132237603547342E-2</v>
      </c>
      <c r="C134" s="7">
        <v>0</v>
      </c>
      <c r="D134" s="7">
        <f>-RETURNS!D134</f>
        <v>5.0292552385955813E-2</v>
      </c>
      <c r="E134" s="7">
        <f>-RETURNS!E134</f>
        <v>1.3439406812389204E-3</v>
      </c>
      <c r="F134" s="7">
        <f>-RETURNS!F134</f>
        <v>3.0478292302423743E-2</v>
      </c>
      <c r="G134" s="7">
        <v>0</v>
      </c>
      <c r="P134" s="4"/>
      <c r="Q134" s="4"/>
      <c r="R134" s="4"/>
      <c r="S134" s="4"/>
      <c r="T134" s="4"/>
    </row>
    <row r="135" spans="1:20" x14ac:dyDescent="0.3">
      <c r="A135" s="1">
        <v>36585</v>
      </c>
      <c r="B135" s="7">
        <f>-RETURNS!B135</f>
        <v>7.6496453944968068E-3</v>
      </c>
      <c r="C135" s="7">
        <f>-RETURNS!C135</f>
        <v>8.7823813689742077E-3</v>
      </c>
      <c r="D135" s="7">
        <f>-RETURNS!D135</f>
        <v>3.0948189144206873E-2</v>
      </c>
      <c r="E135" s="7">
        <f>-RETURNS!E135</f>
        <v>2.2843024360241299E-2</v>
      </c>
      <c r="F135" s="7">
        <f>-RETURNS!F135</f>
        <v>3.0590229014820513E-2</v>
      </c>
      <c r="G135" s="7">
        <v>0</v>
      </c>
      <c r="P135" s="4"/>
      <c r="Q135" s="4"/>
      <c r="R135" s="4"/>
      <c r="S135" s="4"/>
      <c r="T135" s="4"/>
    </row>
    <row r="136" spans="1:20" x14ac:dyDescent="0.3">
      <c r="A136" s="1">
        <v>36616</v>
      </c>
      <c r="B136" s="7">
        <f>-RETURNS!B136</f>
        <v>3.3207649999999625E-3</v>
      </c>
      <c r="C136" s="7">
        <f>-RETURNS!C136</f>
        <v>1.1099899091826421E-2</v>
      </c>
      <c r="D136" s="7">
        <f>-RETURNS!D136</f>
        <v>-6.7599971553987045E-2</v>
      </c>
      <c r="E136" s="7">
        <f>-RETURNS!E136</f>
        <v>-7.642657020250361E-3</v>
      </c>
      <c r="F136" s="7">
        <f>-RETURNS!F136</f>
        <v>1.762959247243099E-2</v>
      </c>
      <c r="G136" s="7">
        <v>0</v>
      </c>
      <c r="P136" s="4"/>
      <c r="Q136" s="4"/>
      <c r="R136" s="4"/>
      <c r="S136" s="4"/>
      <c r="T136" s="4"/>
    </row>
    <row r="137" spans="1:20" x14ac:dyDescent="0.3">
      <c r="A137" s="1">
        <v>36644</v>
      </c>
      <c r="B137" s="7">
        <f>-RETURNS!B137</f>
        <v>3.248262752914241E-2</v>
      </c>
      <c r="C137" s="7">
        <f>-RETURNS!C137</f>
        <v>4.7574285863491543E-2</v>
      </c>
      <c r="D137" s="7">
        <f>-RETURNS!D137</f>
        <v>5.52216470263159E-2</v>
      </c>
      <c r="E137" s="7">
        <f>-RETURNS!E137</f>
        <v>2.5170373675264132E-2</v>
      </c>
      <c r="F137" s="7">
        <f>-RETURNS!F137</f>
        <v>3.855020154385224E-2</v>
      </c>
      <c r="G137" s="7">
        <v>0</v>
      </c>
      <c r="P137" s="4"/>
      <c r="Q137" s="4"/>
      <c r="R137" s="4"/>
      <c r="S137" s="4"/>
      <c r="T137" s="4"/>
    </row>
    <row r="138" spans="1:20" x14ac:dyDescent="0.3">
      <c r="A138" s="1">
        <v>36677</v>
      </c>
      <c r="B138" s="7">
        <f>-RETURNS!B138</f>
        <v>-1.8407414021623429E-2</v>
      </c>
      <c r="C138" s="7">
        <f>-RETURNS!C138</f>
        <v>-2.6381730842880272E-2</v>
      </c>
      <c r="D138" s="7">
        <f>-RETURNS!D138</f>
        <v>3.644358460455075E-4</v>
      </c>
      <c r="E138" s="7">
        <f>-RETURNS!E138</f>
        <v>3.2344344654015041E-2</v>
      </c>
      <c r="F138" s="7">
        <f>-RETURNS!F138</f>
        <v>1.9760598999042728E-2</v>
      </c>
      <c r="G138" s="7">
        <v>0</v>
      </c>
      <c r="P138" s="4"/>
      <c r="Q138" s="4"/>
      <c r="R138" s="4"/>
      <c r="S138" s="4"/>
      <c r="T138" s="4"/>
    </row>
    <row r="139" spans="1:20" x14ac:dyDescent="0.3">
      <c r="A139" s="1">
        <v>36707</v>
      </c>
      <c r="B139" s="7">
        <f>-RETURNS!B139</f>
        <v>-2.5739985215053846E-2</v>
      </c>
      <c r="C139" s="7">
        <f>-RETURNS!C139</f>
        <v>-1.3461751261906296E-2</v>
      </c>
      <c r="D139" s="7">
        <f>-RETURNS!D139</f>
        <v>-1.028151955538807E-2</v>
      </c>
      <c r="E139" s="7">
        <f>-RETURNS!E139</f>
        <v>-7.9384891906734995E-3</v>
      </c>
      <c r="F139" s="7">
        <f>-RETURNS!F139</f>
        <v>-4.2988807162298873E-2</v>
      </c>
      <c r="G139" s="7">
        <v>0</v>
      </c>
      <c r="P139" s="4"/>
      <c r="Q139" s="4"/>
      <c r="R139" s="4"/>
      <c r="S139" s="4"/>
      <c r="T139" s="4"/>
    </row>
    <row r="140" spans="1:20" x14ac:dyDescent="0.3">
      <c r="A140" s="1">
        <v>36738</v>
      </c>
      <c r="B140" s="7">
        <f>-RETURNS!B140</f>
        <v>2.5258471632653254E-2</v>
      </c>
      <c r="C140" s="7">
        <f>-RETURNS!C140</f>
        <v>2.9187245536210129E-2</v>
      </c>
      <c r="D140" s="7">
        <f>-RETURNS!D140</f>
        <v>3.7086294247562393E-2</v>
      </c>
      <c r="E140" s="7">
        <f>-RETURNS!E140</f>
        <v>1.0115344631276732E-2</v>
      </c>
      <c r="F140" s="7">
        <f>-RETURNS!F140</f>
        <v>2.827180281680728E-2</v>
      </c>
      <c r="G140" s="7">
        <v>0</v>
      </c>
      <c r="P140" s="4"/>
      <c r="Q140" s="4"/>
      <c r="R140" s="4"/>
      <c r="S140" s="4"/>
      <c r="T140" s="4"/>
    </row>
    <row r="141" spans="1:20" x14ac:dyDescent="0.3">
      <c r="A141" s="1">
        <v>36769</v>
      </c>
      <c r="B141" s="7">
        <f>-RETURNS!B141</f>
        <v>4.4753301359074994E-2</v>
      </c>
      <c r="C141" s="7">
        <f>-RETURNS!C141</f>
        <v>4.3847528252162329E-2</v>
      </c>
      <c r="D141" s="7">
        <f>-RETURNS!D141</f>
        <v>-1.9113064166301933E-2</v>
      </c>
      <c r="E141" s="7">
        <f>-RETURNS!E141</f>
        <v>3.5490201958608684E-2</v>
      </c>
      <c r="F141" s="7">
        <f>-RETURNS!F141</f>
        <v>8.0488472267873819E-3</v>
      </c>
      <c r="G141" s="7">
        <v>0</v>
      </c>
      <c r="P141" s="4"/>
      <c r="Q141" s="4"/>
      <c r="R141" s="4"/>
      <c r="S141" s="4"/>
      <c r="T141" s="4"/>
    </row>
    <row r="142" spans="1:20" x14ac:dyDescent="0.3">
      <c r="A142" s="1">
        <v>36798</v>
      </c>
      <c r="B142" s="7">
        <f>-RETURNS!B142</f>
        <v>-7.4627086788639843E-3</v>
      </c>
      <c r="C142" s="7">
        <f>-RETURNS!C142</f>
        <v>7.2030634105746073E-3</v>
      </c>
      <c r="D142" s="7">
        <f>-RETURNS!D142</f>
        <v>1.8395710365770361E-2</v>
      </c>
      <c r="E142" s="7">
        <f>-RETURNS!E142</f>
        <v>-1.8901542095122421E-2</v>
      </c>
      <c r="F142" s="7">
        <f>-RETURNS!F142</f>
        <v>5.8524790908554884E-2</v>
      </c>
      <c r="G142" s="7">
        <v>0</v>
      </c>
      <c r="P142" s="4"/>
      <c r="Q142" s="4"/>
      <c r="R142" s="4"/>
      <c r="S142" s="4"/>
      <c r="T142" s="4"/>
    </row>
    <row r="143" spans="1:20" x14ac:dyDescent="0.3">
      <c r="A143" s="1">
        <v>36830</v>
      </c>
      <c r="B143" s="7">
        <f>-RETURNS!B143</f>
        <v>4.2932598627975112E-2</v>
      </c>
      <c r="C143" s="7">
        <f>-RETURNS!C143</f>
        <v>3.9890518791635118E-2</v>
      </c>
      <c r="D143" s="7">
        <f>-RETURNS!D143</f>
        <v>1.3807269836357777E-2</v>
      </c>
      <c r="E143" s="7">
        <f>-RETURNS!E143</f>
        <v>1.9286396553242508E-2</v>
      </c>
      <c r="F143" s="7">
        <f>-RETURNS!F143</f>
        <v>4.4936783472340883E-2</v>
      </c>
      <c r="G143" s="7">
        <v>0</v>
      </c>
      <c r="P143" s="4"/>
      <c r="Q143" s="4"/>
      <c r="R143" s="4"/>
      <c r="S143" s="4"/>
      <c r="T143" s="4"/>
    </row>
    <row r="144" spans="1:20" x14ac:dyDescent="0.3">
      <c r="A144" s="1">
        <v>36860</v>
      </c>
      <c r="B144" s="7">
        <f>-RETURNS!B144</f>
        <v>-3.587143069182392E-2</v>
      </c>
      <c r="C144" s="7">
        <f>-RETURNS!C144</f>
        <v>-2.6808295397066233E-2</v>
      </c>
      <c r="D144" s="7">
        <f>-RETURNS!D144</f>
        <v>1.7881295172135731E-2</v>
      </c>
      <c r="E144" s="7">
        <f>-RETURNS!E144</f>
        <v>1.6154642733862523E-2</v>
      </c>
      <c r="F144" s="7">
        <f>-RETURNS!F144</f>
        <v>-1.7628220577376039E-2</v>
      </c>
      <c r="G144" s="7">
        <v>0</v>
      </c>
      <c r="P144" s="4"/>
      <c r="Q144" s="4"/>
      <c r="R144" s="4"/>
      <c r="S144" s="4"/>
      <c r="T144" s="4"/>
    </row>
    <row r="145" spans="1:20" x14ac:dyDescent="0.3">
      <c r="A145" s="1">
        <v>36889</v>
      </c>
      <c r="B145" s="7">
        <f>-RETURNS!B145</f>
        <v>-7.0440823362331401E-2</v>
      </c>
      <c r="C145" s="7">
        <f>-RETURNS!C145</f>
        <v>-7.8375858656920441E-2</v>
      </c>
      <c r="D145" s="7">
        <f>-RETURNS!D145</f>
        <v>4.0089952775085397E-2</v>
      </c>
      <c r="E145" s="7">
        <f>-RETURNS!E145</f>
        <v>-4.6868579778678143E-2</v>
      </c>
      <c r="F145" s="7">
        <f>-RETURNS!F145</f>
        <v>-5.820706998975482E-2</v>
      </c>
      <c r="G145" s="7">
        <v>0</v>
      </c>
      <c r="P145" s="4"/>
      <c r="Q145" s="4"/>
      <c r="R145" s="4"/>
      <c r="S145" s="4"/>
      <c r="T145" s="4"/>
    </row>
    <row r="146" spans="1:20" x14ac:dyDescent="0.3">
      <c r="A146" s="1">
        <v>36922</v>
      </c>
      <c r="B146" s="7">
        <f>-RETURNS!B146</f>
        <v>1.7598185189302503E-2</v>
      </c>
      <c r="C146" s="7">
        <f>-RETURNS!C146</f>
        <v>7.9440737210040805E-3</v>
      </c>
      <c r="D146" s="7">
        <f>-RETURNS!D146</f>
        <v>2.3616406087118139E-2</v>
      </c>
      <c r="E146" s="7">
        <f>-RETURNS!E146</f>
        <v>1.9649186220468649E-2</v>
      </c>
      <c r="F146" s="7">
        <f>-RETURNS!F146</f>
        <v>1.4991591827972278E-2</v>
      </c>
      <c r="G146" s="7">
        <v>0</v>
      </c>
      <c r="P146" s="4"/>
      <c r="Q146" s="4"/>
      <c r="R146" s="4"/>
      <c r="S146" s="4"/>
      <c r="T146" s="4"/>
    </row>
    <row r="147" spans="1:20" x14ac:dyDescent="0.3">
      <c r="A147" s="1">
        <v>36950</v>
      </c>
      <c r="B147" s="7">
        <f>-RETURNS!B147</f>
        <v>2.1387806013082555E-2</v>
      </c>
      <c r="C147" s="7">
        <f>-RETURNS!C147</f>
        <v>1.4501846475264936E-2</v>
      </c>
      <c r="D147" s="7">
        <f>-RETURNS!D147</f>
        <v>1.052590201760099E-2</v>
      </c>
      <c r="E147" s="7">
        <f>-RETURNS!E147</f>
        <v>1.2852381993006883E-2</v>
      </c>
      <c r="F147" s="7">
        <f>-RETURNS!F147</f>
        <v>4.390272259735814E-2</v>
      </c>
      <c r="G147" s="7">
        <v>0</v>
      </c>
      <c r="P147" s="4"/>
      <c r="Q147" s="4"/>
      <c r="R147" s="4"/>
      <c r="S147" s="4"/>
      <c r="T147" s="4"/>
    </row>
    <row r="148" spans="1:20" x14ac:dyDescent="0.3">
      <c r="A148" s="1">
        <v>36980</v>
      </c>
      <c r="B148" s="7">
        <f>-RETURNS!B148</f>
        <v>4.4229946042709405E-2</v>
      </c>
      <c r="C148" s="7">
        <f>-RETURNS!C148</f>
        <v>5.1139130905351923E-2</v>
      </c>
      <c r="D148" s="7">
        <f>-RETURNS!D148</f>
        <v>7.5032446059141139E-2</v>
      </c>
      <c r="E148" s="7">
        <f>-RETURNS!E148</f>
        <v>2.0040690351957772E-2</v>
      </c>
      <c r="F148" s="7">
        <f>-RETURNS!F148</f>
        <v>7.70569978123819E-2</v>
      </c>
      <c r="G148" s="7">
        <v>0</v>
      </c>
      <c r="P148" s="4"/>
      <c r="Q148" s="4"/>
      <c r="R148" s="4"/>
      <c r="S148" s="4"/>
      <c r="T148" s="4"/>
    </row>
    <row r="149" spans="1:20" x14ac:dyDescent="0.3">
      <c r="A149" s="1">
        <v>37011</v>
      </c>
      <c r="B149" s="7">
        <f>-RETURNS!B149</f>
        <v>-4.3430087988846266E-3</v>
      </c>
      <c r="C149" s="7">
        <f>-RETURNS!C149</f>
        <v>-1.392420942193427E-2</v>
      </c>
      <c r="D149" s="7">
        <f>-RETURNS!D149</f>
        <v>-1.7957805520464991E-2</v>
      </c>
      <c r="E149" s="7">
        <f>-RETURNS!E149</f>
        <v>-1.1620924728904015E-2</v>
      </c>
      <c r="F149" s="7">
        <f>-RETURNS!F149</f>
        <v>-5.5232917335969384E-2</v>
      </c>
      <c r="G149" s="7">
        <v>0</v>
      </c>
      <c r="P149" s="4"/>
      <c r="Q149" s="4"/>
      <c r="R149" s="4"/>
      <c r="S149" s="4"/>
      <c r="T149" s="4"/>
    </row>
    <row r="150" spans="1:20" x14ac:dyDescent="0.3">
      <c r="A150" s="1">
        <v>37042</v>
      </c>
      <c r="B150" s="7">
        <f>-RETURNS!B150</f>
        <v>3.6641205785132532E-2</v>
      </c>
      <c r="C150" s="7">
        <f>-RETURNS!C150</f>
        <v>4.8894239694853937E-2</v>
      </c>
      <c r="D150" s="7">
        <f>-RETURNS!D150</f>
        <v>-3.2489136756331083E-2</v>
      </c>
      <c r="E150" s="7">
        <f>-RETURNS!E150</f>
        <v>8.6907295390452107E-3</v>
      </c>
      <c r="F150" s="7">
        <f>-RETURNS!F150</f>
        <v>1.1107227995915677E-2</v>
      </c>
      <c r="G150" s="7">
        <v>0</v>
      </c>
      <c r="P150" s="4"/>
      <c r="Q150" s="4"/>
      <c r="R150" s="4"/>
      <c r="S150" s="4"/>
      <c r="T150" s="4"/>
    </row>
    <row r="151" spans="1:20" x14ac:dyDescent="0.3">
      <c r="A151" s="1">
        <v>37071</v>
      </c>
      <c r="B151" s="7">
        <f>-RETURNS!B151</f>
        <v>-1.5200548199783516E-3</v>
      </c>
      <c r="C151" s="7">
        <f>-RETURNS!C151</f>
        <v>-4.852645283465358E-3</v>
      </c>
      <c r="D151" s="7">
        <f>-RETURNS!D151</f>
        <v>4.7155578649421832E-2</v>
      </c>
      <c r="E151" s="7">
        <f>-RETURNS!E151</f>
        <v>1.2561041013916749E-3</v>
      </c>
      <c r="F151" s="7">
        <f>-RETURNS!F151</f>
        <v>-1.1446196160100628E-2</v>
      </c>
      <c r="G151" s="7">
        <v>0</v>
      </c>
      <c r="P151" s="4"/>
      <c r="Q151" s="4"/>
      <c r="R151" s="4"/>
      <c r="S151" s="4"/>
      <c r="T151" s="4"/>
    </row>
    <row r="152" spans="1:20" x14ac:dyDescent="0.3">
      <c r="A152" s="1">
        <v>37103</v>
      </c>
      <c r="B152" s="7">
        <f>-RETURNS!B152</f>
        <v>-3.8040290104338549E-2</v>
      </c>
      <c r="C152" s="7">
        <f>-RETURNS!C152</f>
        <v>-3.2869382800438378E-2</v>
      </c>
      <c r="D152" s="7">
        <f>-RETURNS!D152</f>
        <v>6.1066628836803881E-3</v>
      </c>
      <c r="E152" s="7">
        <f>-RETURNS!E152</f>
        <v>-8.0776358415029104E-3</v>
      </c>
      <c r="F152" s="7">
        <f>-RETURNS!F152</f>
        <v>2.7531833682694932E-3</v>
      </c>
      <c r="G152" s="7">
        <v>0</v>
      </c>
      <c r="P152" s="4"/>
      <c r="Q152" s="4"/>
      <c r="R152" s="4"/>
      <c r="S152" s="4"/>
      <c r="T152" s="4"/>
    </row>
    <row r="153" spans="1:20" x14ac:dyDescent="0.3">
      <c r="A153" s="1">
        <v>37134</v>
      </c>
      <c r="B153" s="7">
        <f>-RETURNS!B153</f>
        <v>-3.8561176415501386E-2</v>
      </c>
      <c r="C153" s="7">
        <f>-RETURNS!C153</f>
        <v>-4.1670234812543956E-2</v>
      </c>
      <c r="D153" s="7">
        <f>-RETURNS!D153</f>
        <v>-4.9087002282070573E-2</v>
      </c>
      <c r="E153" s="7">
        <f>-RETURNS!E153</f>
        <v>-2.1398864722081669E-2</v>
      </c>
      <c r="F153" s="7">
        <f>-RETURNS!F153</f>
        <v>-3.9611637525739901E-2</v>
      </c>
      <c r="G153" s="7">
        <v>0</v>
      </c>
      <c r="P153" s="4"/>
      <c r="Q153" s="4"/>
      <c r="R153" s="4"/>
      <c r="S153" s="4"/>
      <c r="T153" s="4"/>
    </row>
    <row r="154" spans="1:20" x14ac:dyDescent="0.3">
      <c r="A154" s="1">
        <v>37162</v>
      </c>
      <c r="B154" s="7">
        <f>-RETURNS!B154</f>
        <v>-2.5206570901146395E-2</v>
      </c>
      <c r="C154" s="7">
        <f>-RETURNS!C154</f>
        <v>3.6743132598833457E-4</v>
      </c>
      <c r="D154" s="7">
        <f>-RETURNS!D154</f>
        <v>9.3505893741981511E-3</v>
      </c>
      <c r="E154" s="7">
        <f>-RETURNS!E154</f>
        <v>-1.5122879853487429E-2</v>
      </c>
      <c r="F154" s="7">
        <f>-RETURNS!F154</f>
        <v>7.1378887998427343E-2</v>
      </c>
      <c r="G154" s="7">
        <v>0</v>
      </c>
      <c r="P154" s="4"/>
      <c r="Q154" s="4"/>
      <c r="R154" s="4"/>
      <c r="S154" s="4"/>
      <c r="T154" s="4"/>
    </row>
    <row r="155" spans="1:20" x14ac:dyDescent="0.3">
      <c r="A155" s="1">
        <v>37195</v>
      </c>
      <c r="B155" s="7">
        <f>-RETURNS!B155</f>
        <v>8.743385819831655E-3</v>
      </c>
      <c r="C155" s="7">
        <f>-RETURNS!C155</f>
        <v>1.10264238803348E-2</v>
      </c>
      <c r="D155" s="7">
        <f>-RETURNS!D155</f>
        <v>2.5758413768531611E-2</v>
      </c>
      <c r="E155" s="7">
        <f>-RETURNS!E155</f>
        <v>1.1844952392598919E-2</v>
      </c>
      <c r="F155" s="7">
        <f>-RETURNS!F155</f>
        <v>-2.5575166036766597E-2</v>
      </c>
      <c r="G155" s="7">
        <v>0</v>
      </c>
      <c r="P155" s="4"/>
      <c r="Q155" s="4"/>
      <c r="R155" s="4"/>
      <c r="S155" s="4"/>
      <c r="T155" s="4"/>
    </row>
    <row r="156" spans="1:20" x14ac:dyDescent="0.3">
      <c r="A156" s="1">
        <v>37225</v>
      </c>
      <c r="B156" s="7">
        <f>-RETURNS!B156</f>
        <v>4.6726353986927937E-3</v>
      </c>
      <c r="C156" s="7">
        <f>-RETURNS!C156</f>
        <v>3.4574379384330872E-3</v>
      </c>
      <c r="D156" s="7">
        <f>-RETURNS!D156</f>
        <v>1.0258537749602246E-2</v>
      </c>
      <c r="E156" s="7">
        <f>-RETURNS!E156</f>
        <v>1.9319562994308419E-2</v>
      </c>
      <c r="F156" s="7">
        <f>-RETURNS!F156</f>
        <v>-3.9198429354817058E-2</v>
      </c>
      <c r="G156" s="7">
        <v>0</v>
      </c>
      <c r="P156" s="4"/>
      <c r="Q156" s="4"/>
      <c r="R156" s="4"/>
      <c r="S156" s="4"/>
      <c r="T156" s="4"/>
    </row>
    <row r="157" spans="1:20" x14ac:dyDescent="0.3">
      <c r="A157" s="1">
        <v>37256</v>
      </c>
      <c r="B157" s="7">
        <f>-RETURNS!B157</f>
        <v>1.1296214612606662E-2</v>
      </c>
      <c r="C157" s="7">
        <f>-RETURNS!C157</f>
        <v>6.5637156192308059E-3</v>
      </c>
      <c r="D157" s="7">
        <f>-RETURNS!D157</f>
        <v>6.3769812247468374E-2</v>
      </c>
      <c r="E157" s="7">
        <f>-RETURNS!E157</f>
        <v>-2.3096692695401849E-2</v>
      </c>
      <c r="F157" s="7">
        <f>-RETURNS!F157</f>
        <v>2.1956547612191967E-2</v>
      </c>
      <c r="G157" s="7">
        <v>0</v>
      </c>
      <c r="P157" s="4"/>
      <c r="Q157" s="4"/>
      <c r="R157" s="4"/>
      <c r="S157" s="4"/>
      <c r="T157" s="4"/>
    </row>
    <row r="158" spans="1:20" x14ac:dyDescent="0.3">
      <c r="A158" s="1">
        <v>37287</v>
      </c>
      <c r="B158" s="7">
        <f>-RETURNS!B158</f>
        <v>3.4123464587414866E-2</v>
      </c>
      <c r="C158" s="7">
        <f>-RETURNS!C158</f>
        <v>3.2610286254601058E-2</v>
      </c>
      <c r="D158" s="7">
        <f>-RETURNS!D158</f>
        <v>2.3905271807109957E-2</v>
      </c>
      <c r="E158" s="7">
        <f>-RETURNS!E158</f>
        <v>2.8291003013344643E-2</v>
      </c>
      <c r="F158" s="7">
        <f>-RETURNS!F158</f>
        <v>1.4338285188293129E-3</v>
      </c>
      <c r="G158" s="7">
        <v>0</v>
      </c>
      <c r="P158" s="4"/>
      <c r="Q158" s="4"/>
      <c r="R158" s="4"/>
      <c r="S158" s="4"/>
      <c r="T158" s="4"/>
    </row>
    <row r="159" spans="1:20" x14ac:dyDescent="0.3">
      <c r="A159" s="1">
        <v>37315</v>
      </c>
      <c r="B159" s="7">
        <f>-RETURNS!B159</f>
        <v>-1.2533549473358441E-2</v>
      </c>
      <c r="C159" s="7">
        <f>-RETURNS!C159</f>
        <v>-1.2826337678677352E-2</v>
      </c>
      <c r="D159" s="7">
        <f>-RETURNS!D159</f>
        <v>-8.2612941969696721E-3</v>
      </c>
      <c r="E159" s="7">
        <f>-RETURNS!E159</f>
        <v>-6.2973454594505854E-3</v>
      </c>
      <c r="F159" s="7">
        <f>-RETURNS!F159</f>
        <v>-2.2389561799216123E-2</v>
      </c>
      <c r="G159" s="7">
        <v>0</v>
      </c>
      <c r="P159" s="4"/>
      <c r="Q159" s="4"/>
      <c r="R159" s="4"/>
      <c r="S159" s="4"/>
      <c r="T159" s="4"/>
    </row>
    <row r="160" spans="1:20" x14ac:dyDescent="0.3">
      <c r="A160" s="1">
        <v>37344</v>
      </c>
      <c r="B160" s="7">
        <f>-RETURNS!B160</f>
        <v>-9.3854527630687495E-3</v>
      </c>
      <c r="C160" s="7">
        <f>-RETURNS!C160</f>
        <v>-3.9735099337749082E-3</v>
      </c>
      <c r="D160" s="7">
        <f>-RETURNS!D160</f>
        <v>-3.3456334563156179E-3</v>
      </c>
      <c r="E160" s="7">
        <f>-RETURNS!E160</f>
        <v>-7.795769222614002E-3</v>
      </c>
      <c r="F160" s="7">
        <f>-RETURNS!F160</f>
        <v>-3.0477214616994461E-2</v>
      </c>
      <c r="G160" s="7">
        <v>0</v>
      </c>
      <c r="P160" s="4"/>
      <c r="Q160" s="4"/>
      <c r="R160" s="4"/>
      <c r="S160" s="4"/>
      <c r="T160" s="4"/>
    </row>
    <row r="161" spans="1:20" x14ac:dyDescent="0.3">
      <c r="A161" s="1">
        <v>37376</v>
      </c>
      <c r="B161" s="7">
        <f>-RETURNS!B161</f>
        <v>-3.953607616005389E-2</v>
      </c>
      <c r="C161" s="7">
        <f>-RETURNS!C161</f>
        <v>-3.4284729799574948E-2</v>
      </c>
      <c r="D161" s="7">
        <f>-RETURNS!D161</f>
        <v>-3.0827025467746117E-2</v>
      </c>
      <c r="E161" s="7">
        <f>-RETURNS!E161</f>
        <v>-2.4333182282829754E-2</v>
      </c>
      <c r="F161" s="7">
        <f>-RETURNS!F161</f>
        <v>-1.2449194159655751E-2</v>
      </c>
      <c r="G161" s="7">
        <v>0</v>
      </c>
      <c r="P161" s="4"/>
      <c r="Q161" s="4"/>
      <c r="R161" s="4"/>
      <c r="S161" s="4"/>
      <c r="T161" s="4"/>
    </row>
    <row r="162" spans="1:20" x14ac:dyDescent="0.3">
      <c r="A162" s="1">
        <v>37407</v>
      </c>
      <c r="B162" s="7">
        <f>-RETURNS!B162</f>
        <v>-3.0882438081649134E-2</v>
      </c>
      <c r="C162" s="7">
        <f>-RETURNS!C162</f>
        <v>-3.8750208483905098E-2</v>
      </c>
      <c r="D162" s="7">
        <f>-RETURNS!D162</f>
        <v>-3.3364454416302418E-2</v>
      </c>
      <c r="E162" s="7">
        <f>-RETURNS!E162</f>
        <v>-5.1538421893554089E-5</v>
      </c>
      <c r="F162" s="7">
        <f>-RETURNS!F162</f>
        <v>-5.6457348839460852E-2</v>
      </c>
      <c r="G162" s="7">
        <v>0</v>
      </c>
      <c r="P162" s="4"/>
      <c r="Q162" s="4"/>
      <c r="R162" s="4"/>
      <c r="S162" s="4"/>
      <c r="T162" s="4"/>
    </row>
    <row r="163" spans="1:20" x14ac:dyDescent="0.3">
      <c r="A163" s="1">
        <v>37435</v>
      </c>
      <c r="B163" s="7">
        <f>-RETURNS!B163</f>
        <v>-5.8198220271401702E-2</v>
      </c>
      <c r="C163" s="7">
        <f>-RETURNS!C163</f>
        <v>-6.2757918430784057E-2</v>
      </c>
      <c r="D163" s="7">
        <f>-RETURNS!D163</f>
        <v>-3.7251202577639933E-2</v>
      </c>
      <c r="E163" s="7">
        <f>-RETURNS!E163</f>
        <v>-5.5735393537674011E-2</v>
      </c>
      <c r="F163" s="7">
        <f>-RETURNS!F163</f>
        <v>4.5690176082093499E-3</v>
      </c>
      <c r="G163" s="7">
        <v>0</v>
      </c>
      <c r="P163" s="4"/>
      <c r="Q163" s="4"/>
      <c r="R163" s="4"/>
      <c r="S163" s="4"/>
      <c r="T163" s="4"/>
    </row>
    <row r="164" spans="1:20" x14ac:dyDescent="0.3">
      <c r="A164" s="1">
        <v>37468</v>
      </c>
      <c r="B164" s="7">
        <f>-RETURNS!B164</f>
        <v>3.6920470093291546E-3</v>
      </c>
      <c r="C164" s="7">
        <f>-RETURNS!C164</f>
        <v>1.2694789783572488E-2</v>
      </c>
      <c r="D164" s="7">
        <f>-RETURNS!D164</f>
        <v>4.077688224177858E-3</v>
      </c>
      <c r="E164" s="7">
        <f>-RETURNS!E164</f>
        <v>-2.1524061376369245E-2</v>
      </c>
      <c r="F164" s="7">
        <f>-RETURNS!F164</f>
        <v>3.4301345677760088E-2</v>
      </c>
      <c r="G164" s="7">
        <v>0</v>
      </c>
      <c r="P164" s="4"/>
      <c r="Q164" s="4"/>
      <c r="R164" s="4"/>
      <c r="S164" s="4"/>
      <c r="T164" s="4"/>
    </row>
    <row r="165" spans="1:20" x14ac:dyDescent="0.3">
      <c r="A165" s="1">
        <v>37498</v>
      </c>
      <c r="B165" s="7">
        <f>-RETURNS!B165</f>
        <v>9.4965354390968253E-3</v>
      </c>
      <c r="C165" s="7">
        <f>-RETURNS!C165</f>
        <v>-6.1404991268097292E-3</v>
      </c>
      <c r="D165" s="7">
        <f>-RETURNS!D165</f>
        <v>-1.0417320965715475E-2</v>
      </c>
      <c r="E165" s="7">
        <f>-RETURNS!E165</f>
        <v>6.7423647923640665E-3</v>
      </c>
      <c r="F165" s="7">
        <f>-RETURNS!F165</f>
        <v>-1.7268619896332934E-2</v>
      </c>
      <c r="G165" s="7">
        <v>0</v>
      </c>
      <c r="P165" s="4"/>
      <c r="Q165" s="4"/>
      <c r="R165" s="4"/>
      <c r="S165" s="4"/>
      <c r="T165" s="4"/>
    </row>
    <row r="166" spans="1:20" x14ac:dyDescent="0.3">
      <c r="A166" s="1">
        <v>37529</v>
      </c>
      <c r="B166" s="7">
        <f>-RETURNS!B166</f>
        <v>-1.5236110580461478E-2</v>
      </c>
      <c r="C166" s="7">
        <f>-RETURNS!C166</f>
        <v>-5.6520786296386377E-3</v>
      </c>
      <c r="D166" s="7">
        <f>-RETURNS!D166</f>
        <v>2.8357383210258231E-2</v>
      </c>
      <c r="E166" s="7">
        <f>-RETURNS!E166</f>
        <v>-1.3325580268449946E-2</v>
      </c>
      <c r="F166" s="7">
        <f>-RETURNS!F166</f>
        <v>1.1860946653967383E-2</v>
      </c>
      <c r="G166" s="7">
        <v>0</v>
      </c>
      <c r="P166" s="4"/>
      <c r="Q166" s="4"/>
      <c r="R166" s="4"/>
      <c r="S166" s="4"/>
      <c r="T166" s="4"/>
    </row>
    <row r="167" spans="1:20" x14ac:dyDescent="0.3">
      <c r="A167" s="1">
        <v>37560</v>
      </c>
      <c r="B167" s="7">
        <f>-RETURNS!B167</f>
        <v>2.754424560601515E-3</v>
      </c>
      <c r="C167" s="7">
        <f>-RETURNS!C167</f>
        <v>-5.1051995899600916E-3</v>
      </c>
      <c r="D167" s="7">
        <f>-RETURNS!D167</f>
        <v>8.0758509032256582E-3</v>
      </c>
      <c r="E167" s="7">
        <f>-RETURNS!E167</f>
        <v>2.5870246342233895E-4</v>
      </c>
      <c r="F167" s="7">
        <f>-RETURNS!F167</f>
        <v>-2.5077153364256224E-2</v>
      </c>
      <c r="G167" s="7">
        <v>0</v>
      </c>
      <c r="P167" s="4"/>
      <c r="Q167" s="4"/>
      <c r="R167" s="4"/>
      <c r="S167" s="4"/>
      <c r="T167" s="4"/>
    </row>
    <row r="168" spans="1:20" x14ac:dyDescent="0.3">
      <c r="A168" s="1">
        <v>37589</v>
      </c>
      <c r="B168" s="7">
        <f>-RETURNS!B168</f>
        <v>4.6767286735597971E-3</v>
      </c>
      <c r="C168" s="7">
        <f>-RETURNS!C168</f>
        <v>-5.3823294171653803E-3</v>
      </c>
      <c r="D168" s="7">
        <f>-RETURNS!D168</f>
        <v>1.6265259808870302E-3</v>
      </c>
      <c r="E168" s="7">
        <f>-RETURNS!E168</f>
        <v>3.0117686219156498E-3</v>
      </c>
      <c r="F168" s="7">
        <f>-RETURNS!F168</f>
        <v>-1.3960482652419523E-2</v>
      </c>
      <c r="G168" s="7">
        <v>0</v>
      </c>
      <c r="P168" s="4"/>
      <c r="Q168" s="4"/>
      <c r="R168" s="4"/>
      <c r="S168" s="4"/>
      <c r="T168" s="4"/>
    </row>
    <row r="169" spans="1:20" x14ac:dyDescent="0.3">
      <c r="A169" s="1">
        <v>37621</v>
      </c>
      <c r="B169" s="7">
        <f>-RETURNS!B169</f>
        <v>-7.1398896939501841E-2</v>
      </c>
      <c r="C169" s="7">
        <f>-RETURNS!C169</f>
        <v>-5.6777091747831875E-2</v>
      </c>
      <c r="D169" s="7">
        <f>-RETURNS!D169</f>
        <v>-2.985766901960786E-2</v>
      </c>
      <c r="E169" s="7">
        <f>-RETURNS!E169</f>
        <v>-3.5939375026139767E-2</v>
      </c>
      <c r="F169" s="7">
        <f>-RETURNS!F169</f>
        <v>-3.9453479038886055E-3</v>
      </c>
      <c r="G169" s="7">
        <v>0</v>
      </c>
      <c r="P169" s="4"/>
      <c r="Q169" s="4"/>
      <c r="R169" s="4"/>
      <c r="S169" s="4"/>
      <c r="T169" s="4"/>
    </row>
    <row r="170" spans="1:20" x14ac:dyDescent="0.3">
      <c r="A170" s="1">
        <v>37652</v>
      </c>
      <c r="B170" s="7">
        <f>-RETURNS!B170</f>
        <v>-1.3567893903872592E-2</v>
      </c>
      <c r="C170" s="7">
        <f>-RETURNS!C170</f>
        <v>-2.7667229745850942E-2</v>
      </c>
      <c r="D170" s="7">
        <f>-RETURNS!D170</f>
        <v>1.0081839258175006E-2</v>
      </c>
      <c r="E170" s="7">
        <f>-RETURNS!E170</f>
        <v>-2.4809439476608269E-2</v>
      </c>
      <c r="F170" s="7">
        <f>-RETURNS!F170</f>
        <v>-4.8464002914483481E-2</v>
      </c>
      <c r="G170" s="7">
        <v>0</v>
      </c>
      <c r="P170" s="4"/>
      <c r="Q170" s="4"/>
      <c r="R170" s="4"/>
      <c r="S170" s="4"/>
      <c r="T170" s="4"/>
    </row>
    <row r="171" spans="1:20" x14ac:dyDescent="0.3">
      <c r="A171" s="1">
        <v>37680</v>
      </c>
      <c r="B171" s="7">
        <f>-RETURNS!B171</f>
        <v>-7.8781197695351034E-3</v>
      </c>
      <c r="C171" s="7">
        <f>-RETURNS!C171</f>
        <v>-4.8237490609123563E-3</v>
      </c>
      <c r="D171" s="7">
        <f>-RETURNS!D171</f>
        <v>-1.3927116084330464E-2</v>
      </c>
      <c r="E171" s="7">
        <f>-RETURNS!E171</f>
        <v>4.2946876369479581E-2</v>
      </c>
      <c r="F171" s="7">
        <f>-RETURNS!F171</f>
        <v>-3.9213442657107592E-2</v>
      </c>
      <c r="G171" s="7">
        <v>0</v>
      </c>
      <c r="P171" s="4"/>
      <c r="Q171" s="4"/>
      <c r="R171" s="4"/>
      <c r="S171" s="4"/>
      <c r="T171" s="4"/>
    </row>
    <row r="172" spans="1:20" x14ac:dyDescent="0.3">
      <c r="A172" s="1">
        <v>37711</v>
      </c>
      <c r="B172" s="7">
        <f>-RETURNS!B172</f>
        <v>-6.193252197422944E-5</v>
      </c>
      <c r="C172" s="7">
        <f>-RETURNS!C172</f>
        <v>-1.1141547773774806E-2</v>
      </c>
      <c r="D172" s="7">
        <f>-RETURNS!D172</f>
        <v>1.1259780000000925E-3</v>
      </c>
      <c r="E172" s="7">
        <f>-RETURNS!E172</f>
        <v>-8.5741869497752074E-3</v>
      </c>
      <c r="F172" s="7">
        <f>-RETURNS!F172</f>
        <v>3.6721562215688208E-3</v>
      </c>
      <c r="G172" s="7">
        <v>0</v>
      </c>
      <c r="P172" s="4"/>
      <c r="Q172" s="4"/>
      <c r="R172" s="4"/>
      <c r="S172" s="4"/>
      <c r="T172" s="4"/>
    </row>
    <row r="173" spans="1:20" x14ac:dyDescent="0.3">
      <c r="A173" s="1">
        <v>37741</v>
      </c>
      <c r="B173" s="7">
        <f>-RETURNS!B173</f>
        <v>3.3293454324324094E-3</v>
      </c>
      <c r="C173" s="7">
        <f>-RETURNS!C173</f>
        <v>-2.5815061614026157E-2</v>
      </c>
      <c r="D173" s="7">
        <f>-RETURNS!D173</f>
        <v>7.5308989964565053E-3</v>
      </c>
      <c r="E173" s="7">
        <f>-RETURNS!E173</f>
        <v>-1.2099608076535852E-2</v>
      </c>
      <c r="F173" s="7">
        <f>-RETURNS!F173</f>
        <v>-3.9684527828607111E-2</v>
      </c>
      <c r="G173" s="7">
        <v>0</v>
      </c>
      <c r="P173" s="4"/>
      <c r="Q173" s="4"/>
      <c r="R173" s="4"/>
      <c r="S173" s="4"/>
      <c r="T173" s="4"/>
    </row>
    <row r="174" spans="1:20" x14ac:dyDescent="0.3">
      <c r="A174" s="1">
        <v>37771</v>
      </c>
      <c r="B174" s="7">
        <f>-RETURNS!B174</f>
        <v>-4.2954265567867841E-2</v>
      </c>
      <c r="C174" s="7">
        <f>-RETURNS!C174</f>
        <v>-5.4798689557636039E-2</v>
      </c>
      <c r="D174" s="7">
        <f>-RETURNS!D174</f>
        <v>4.5875440152162994E-3</v>
      </c>
      <c r="E174" s="7">
        <f>-RETURNS!E174</f>
        <v>-2.5644239839296534E-2</v>
      </c>
      <c r="F174" s="7">
        <f>-RETURNS!F174</f>
        <v>-4.4702312652132349E-2</v>
      </c>
      <c r="G174" s="7">
        <v>0</v>
      </c>
      <c r="P174" s="4"/>
      <c r="Q174" s="4"/>
      <c r="R174" s="4"/>
      <c r="S174" s="4"/>
      <c r="T174" s="4"/>
    </row>
    <row r="175" spans="1:20" x14ac:dyDescent="0.3">
      <c r="A175" s="1">
        <v>37802</v>
      </c>
      <c r="B175" s="7">
        <f>-RETURNS!B175</f>
        <v>4.0304710392680965E-2</v>
      </c>
      <c r="C175" s="7">
        <f>-RETURNS!C175</f>
        <v>2.2223354694593429E-2</v>
      </c>
      <c r="D175" s="7">
        <f>-RETURNS!D175</f>
        <v>5.3087747068115395E-3</v>
      </c>
      <c r="E175" s="7">
        <f>-RETURNS!E175</f>
        <v>-1.305348746081505E-2</v>
      </c>
      <c r="F175" s="7">
        <f>-RETURNS!F175</f>
        <v>-3.4793709511161237E-2</v>
      </c>
      <c r="G175" s="7">
        <v>0</v>
      </c>
      <c r="P175" s="4"/>
      <c r="Q175" s="4"/>
      <c r="R175" s="4"/>
      <c r="S175" s="4"/>
      <c r="T175" s="4"/>
    </row>
    <row r="176" spans="1:20" x14ac:dyDescent="0.3">
      <c r="A176" s="1">
        <v>37833</v>
      </c>
      <c r="B176" s="7">
        <f>-RETURNS!B176</f>
        <v>1.5092370731369828E-2</v>
      </c>
      <c r="C176" s="7">
        <f>-RETURNS!C176</f>
        <v>2.3427480882845204E-2</v>
      </c>
      <c r="D176" s="7">
        <f>-RETURNS!D176</f>
        <v>7.3531448950646099E-3</v>
      </c>
      <c r="E176" s="7">
        <f>-RETURNS!E176</f>
        <v>2.4245453031060214E-2</v>
      </c>
      <c r="F176" s="7">
        <f>-RETURNS!F176</f>
        <v>3.3636538309727695E-2</v>
      </c>
      <c r="G176" s="7">
        <v>0</v>
      </c>
      <c r="P176" s="4"/>
      <c r="Q176" s="4"/>
      <c r="R176" s="4"/>
      <c r="S176" s="4"/>
      <c r="T176" s="4"/>
    </row>
    <row r="177" spans="1:20" x14ac:dyDescent="0.3">
      <c r="A177" s="1">
        <v>37862</v>
      </c>
      <c r="B177" s="7">
        <f>-RETURNS!B177</f>
        <v>2.1702552236842192E-2</v>
      </c>
      <c r="C177" s="7">
        <f>-RETURNS!C177</f>
        <v>2.1203107484089091E-2</v>
      </c>
      <c r="D177" s="7">
        <f>-RETURNS!D177</f>
        <v>-3.045207473375133E-2</v>
      </c>
      <c r="E177" s="7">
        <f>-RETURNS!E177</f>
        <v>1.862967685752491E-2</v>
      </c>
      <c r="F177" s="7">
        <f>-RETURNS!F177</f>
        <v>-1.113206963727918E-3</v>
      </c>
      <c r="G177" s="7">
        <v>0</v>
      </c>
      <c r="P177" s="4"/>
      <c r="Q177" s="4"/>
      <c r="R177" s="4"/>
      <c r="S177" s="4"/>
      <c r="T177" s="4"/>
    </row>
    <row r="178" spans="1:20" x14ac:dyDescent="0.3">
      <c r="A178" s="1">
        <v>37894</v>
      </c>
      <c r="B178" s="7">
        <f>-RETURNS!B178</f>
        <v>-6.0545511624527343E-2</v>
      </c>
      <c r="C178" s="7">
        <f>-RETURNS!C178</f>
        <v>-6.2191557139837129E-2</v>
      </c>
      <c r="D178" s="7">
        <f>-RETURNS!D178</f>
        <v>-4.7021951934089007E-2</v>
      </c>
      <c r="E178" s="7">
        <f>-RETURNS!E178</f>
        <v>-5.5456228544571592E-2</v>
      </c>
      <c r="F178" s="7">
        <f>-RETURNS!F178</f>
        <v>-5.3551262449053685E-2</v>
      </c>
      <c r="G178" s="7">
        <v>0</v>
      </c>
      <c r="P178" s="4"/>
      <c r="Q178" s="4"/>
      <c r="R178" s="4"/>
      <c r="S178" s="4"/>
      <c r="T178" s="4"/>
    </row>
    <row r="179" spans="1:20" x14ac:dyDescent="0.3">
      <c r="A179" s="1">
        <v>37925</v>
      </c>
      <c r="B179" s="7">
        <f>-RETURNS!B179</f>
        <v>1.5697293265796181E-2</v>
      </c>
      <c r="C179" s="7">
        <f>-RETURNS!C179</f>
        <v>4.6013468319910742E-3</v>
      </c>
      <c r="D179" s="7">
        <f>-RETURNS!D179</f>
        <v>-1.3223292161998192E-2</v>
      </c>
      <c r="E179" s="7">
        <f>-RETURNS!E179</f>
        <v>-2.2642635941754502E-2</v>
      </c>
      <c r="F179" s="7">
        <f>-RETURNS!F179</f>
        <v>-4.5323923549439676E-2</v>
      </c>
      <c r="G179" s="7">
        <v>0</v>
      </c>
      <c r="P179" s="4"/>
      <c r="Q179" s="4"/>
      <c r="R179" s="4"/>
      <c r="S179" s="4"/>
      <c r="T179" s="4"/>
    </row>
    <row r="180" spans="1:20" x14ac:dyDescent="0.3">
      <c r="A180" s="1">
        <v>37953</v>
      </c>
      <c r="B180" s="7">
        <f>-RETURNS!B180</f>
        <v>-3.6454768447241402E-2</v>
      </c>
      <c r="C180" s="7">
        <f>-RETURNS!C180</f>
        <v>-3.5645867128948877E-2</v>
      </c>
      <c r="D180" s="7">
        <f>-RETURNS!D180</f>
        <v>-1.9370772963940468E-3</v>
      </c>
      <c r="E180" s="7">
        <f>-RETURNS!E180</f>
        <v>-1.7845691945354757E-2</v>
      </c>
      <c r="F180" s="7">
        <f>-RETURNS!F180</f>
        <v>-2.5349911451557426E-2</v>
      </c>
      <c r="G180" s="7">
        <v>0</v>
      </c>
      <c r="P180" s="4"/>
      <c r="Q180" s="4"/>
      <c r="R180" s="4"/>
      <c r="S180" s="4"/>
      <c r="T180" s="4"/>
    </row>
    <row r="181" spans="1:20" x14ac:dyDescent="0.3">
      <c r="A181" s="1">
        <v>37986</v>
      </c>
      <c r="B181" s="7">
        <f>-RETURNS!B181</f>
        <v>-4.0823454889103931E-2</v>
      </c>
      <c r="C181" s="7">
        <f>-RETURNS!C181</f>
        <v>-5.0869773080546146E-2</v>
      </c>
      <c r="D181" s="7">
        <f>-RETURNS!D181</f>
        <v>-2.1302603354856415E-2</v>
      </c>
      <c r="E181" s="7">
        <f>-RETURNS!E181</f>
        <v>-3.92618435869607E-2</v>
      </c>
      <c r="F181" s="7">
        <f>-RETURNS!F181</f>
        <v>-4.1912019397298231E-2</v>
      </c>
      <c r="G181" s="7">
        <v>0</v>
      </c>
      <c r="P181" s="4"/>
      <c r="Q181" s="4"/>
      <c r="R181" s="4"/>
      <c r="S181" s="4"/>
      <c r="T181" s="4"/>
    </row>
    <row r="182" spans="1:20" x14ac:dyDescent="0.3">
      <c r="A182" s="1">
        <v>38016</v>
      </c>
      <c r="B182" s="7">
        <f>-RETURNS!B182</f>
        <v>1.4496445468583584E-2</v>
      </c>
      <c r="C182" s="7">
        <f>-RETURNS!C182</f>
        <v>8.4328502906838663E-3</v>
      </c>
      <c r="D182" s="7">
        <f>-RETURNS!D182</f>
        <v>-1.3399031519449005E-2</v>
      </c>
      <c r="E182" s="7">
        <f>-RETURNS!E182</f>
        <v>-2.3686573866187704E-2</v>
      </c>
      <c r="F182" s="7">
        <f>-RETURNS!F182</f>
        <v>-1.9949202739261696E-2</v>
      </c>
      <c r="G182" s="7">
        <v>0</v>
      </c>
      <c r="P182" s="4"/>
      <c r="Q182" s="4"/>
      <c r="R182" s="4"/>
      <c r="S182" s="4"/>
      <c r="T182" s="4"/>
    </row>
    <row r="183" spans="1:20" x14ac:dyDescent="0.3">
      <c r="A183" s="1">
        <v>38044</v>
      </c>
      <c r="B183" s="7">
        <f>-RETURNS!B183</f>
        <v>5.3464573993464541E-3</v>
      </c>
      <c r="C183" s="7">
        <f>-RETURNS!C183</f>
        <v>-2.031654671642832E-3</v>
      </c>
      <c r="D183" s="7">
        <f>-RETURNS!D183</f>
        <v>3.2140511368565668E-2</v>
      </c>
      <c r="E183" s="7">
        <f>-RETURNS!E183</f>
        <v>-2.6879681686533784E-2</v>
      </c>
      <c r="F183" s="7">
        <f>-RETURNS!F183</f>
        <v>-1.6172347452674807E-2</v>
      </c>
      <c r="G183" s="7">
        <v>0</v>
      </c>
      <c r="P183" s="4"/>
      <c r="Q183" s="4"/>
      <c r="R183" s="4"/>
      <c r="S183" s="4"/>
      <c r="T183" s="4"/>
    </row>
    <row r="184" spans="1:20" x14ac:dyDescent="0.3">
      <c r="A184" s="1">
        <v>38077</v>
      </c>
      <c r="B184" s="7">
        <f>-RETURNS!B184</f>
        <v>3.4253804065143604E-3</v>
      </c>
      <c r="C184" s="7">
        <f>-RETURNS!C184</f>
        <v>1.3326027010961115E-2</v>
      </c>
      <c r="D184" s="7">
        <f>-RETURNS!D184</f>
        <v>-4.5493305396072201E-2</v>
      </c>
      <c r="E184" s="7">
        <f>-RETURNS!E184</f>
        <v>9.2304389825050345E-3</v>
      </c>
      <c r="F184" s="7">
        <f>-RETURNS!F184</f>
        <v>5.3339421360674164E-3</v>
      </c>
      <c r="G184" s="7">
        <v>0</v>
      </c>
      <c r="P184" s="4"/>
      <c r="Q184" s="4"/>
      <c r="R184" s="4"/>
      <c r="S184" s="4"/>
      <c r="T184" s="4"/>
    </row>
    <row r="185" spans="1:20" x14ac:dyDescent="0.3">
      <c r="A185" s="1">
        <v>38107</v>
      </c>
      <c r="B185" s="7">
        <f>-RETURNS!B185</f>
        <v>2.3755748683544485E-2</v>
      </c>
      <c r="C185" s="7">
        <f>-RETURNS!C185</f>
        <v>2.6496680093644885E-2</v>
      </c>
      <c r="D185" s="7">
        <f>-RETURNS!D185</f>
        <v>5.7398114688979263E-2</v>
      </c>
      <c r="E185" s="7">
        <f>-RETURNS!E185</f>
        <v>3.4362908152874877E-2</v>
      </c>
      <c r="F185" s="7">
        <f>-RETURNS!F185</f>
        <v>5.6649462877906412E-2</v>
      </c>
      <c r="G185" s="7">
        <v>0</v>
      </c>
      <c r="P185" s="4"/>
      <c r="Q185" s="4"/>
      <c r="R185" s="4"/>
      <c r="S185" s="4"/>
      <c r="T185" s="4"/>
    </row>
    <row r="186" spans="1:20" x14ac:dyDescent="0.3">
      <c r="A186" s="1">
        <v>38138</v>
      </c>
      <c r="B186" s="7">
        <f>-RETURNS!B186</f>
        <v>-3.2274239577092273E-2</v>
      </c>
      <c r="C186" s="7">
        <f>-RETURNS!C186</f>
        <v>-1.822665818979902E-2</v>
      </c>
      <c r="D186" s="7">
        <f>-RETURNS!D186</f>
        <v>-8.3210887788596911E-3</v>
      </c>
      <c r="E186" s="7">
        <f>-RETURNS!E186</f>
        <v>-3.3475281310809672E-2</v>
      </c>
      <c r="F186" s="7">
        <f>-RETURNS!F186</f>
        <v>3.8941721123794851E-3</v>
      </c>
      <c r="G186" s="7">
        <v>0</v>
      </c>
      <c r="P186" s="4"/>
      <c r="Q186" s="4"/>
      <c r="R186" s="4"/>
      <c r="S186" s="4"/>
      <c r="T186" s="4"/>
    </row>
    <row r="187" spans="1:20" x14ac:dyDescent="0.3">
      <c r="A187" s="1">
        <v>38168</v>
      </c>
      <c r="B187" s="7">
        <f>-RETURNS!B187</f>
        <v>-3.891727235043347E-3</v>
      </c>
      <c r="C187" s="7">
        <f>-RETURNS!C187</f>
        <v>-1.8114722194393553E-3</v>
      </c>
      <c r="D187" s="7">
        <f>-RETURNS!D187</f>
        <v>-5.6603806786817935E-3</v>
      </c>
      <c r="E187" s="7">
        <f>-RETURNS!E187</f>
        <v>3.610843367558876E-3</v>
      </c>
      <c r="F187" s="7">
        <f>-RETURNS!F187</f>
        <v>1.8726013653361687E-2</v>
      </c>
      <c r="G187" s="7">
        <v>0</v>
      </c>
      <c r="P187" s="4"/>
      <c r="Q187" s="4"/>
      <c r="R187" s="4"/>
      <c r="S187" s="4"/>
      <c r="T187" s="4"/>
    </row>
    <row r="188" spans="1:20" x14ac:dyDescent="0.3">
      <c r="A188" s="1">
        <v>38198</v>
      </c>
      <c r="B188" s="7">
        <f>-RETURNS!B188</f>
        <v>2.6644845029213611E-2</v>
      </c>
      <c r="C188" s="7">
        <f>-RETURNS!C188</f>
        <v>1.421308056156795E-2</v>
      </c>
      <c r="D188" s="7">
        <f>-RETURNS!D188</f>
        <v>2.4341997810659235E-2</v>
      </c>
      <c r="E188" s="7">
        <f>-RETURNS!E188</f>
        <v>-2.4749271100089842E-3</v>
      </c>
      <c r="F188" s="7">
        <f>-RETURNS!F188</f>
        <v>-8.460042623115482E-3</v>
      </c>
      <c r="G188" s="7">
        <v>0</v>
      </c>
      <c r="P188" s="4"/>
      <c r="Q188" s="4"/>
      <c r="R188" s="4"/>
      <c r="S188" s="4"/>
      <c r="T188" s="4"/>
    </row>
    <row r="189" spans="1:20" x14ac:dyDescent="0.3">
      <c r="A189" s="1">
        <v>38230</v>
      </c>
      <c r="B189" s="7">
        <f>-RETURNS!B189</f>
        <v>-1.123889156234781E-2</v>
      </c>
      <c r="C189" s="7">
        <f>-RETURNS!C189</f>
        <v>-1.4155557127932719E-2</v>
      </c>
      <c r="D189" s="7">
        <f>-RETURNS!D189</f>
        <v>-1.8608261371339512E-2</v>
      </c>
      <c r="E189" s="7">
        <f>-RETURNS!E189</f>
        <v>6.8764877016662517E-3</v>
      </c>
      <c r="F189" s="7">
        <f>-RETURNS!F189</f>
        <v>-5.7672367252151607E-3</v>
      </c>
      <c r="G189" s="7">
        <v>0</v>
      </c>
      <c r="P189" s="4"/>
      <c r="Q189" s="4"/>
      <c r="R189" s="4"/>
      <c r="S189" s="4"/>
      <c r="T189" s="4"/>
    </row>
    <row r="190" spans="1:20" x14ac:dyDescent="0.3">
      <c r="A190" s="1">
        <v>38260</v>
      </c>
      <c r="B190" s="7">
        <f>-RETURNS!B190</f>
        <v>-1.5107072591035674E-2</v>
      </c>
      <c r="C190" s="7">
        <f>-RETURNS!C190</f>
        <v>-2.1171489640890308E-2</v>
      </c>
      <c r="D190" s="7">
        <f>-RETURNS!D190</f>
        <v>9.419717514410347E-3</v>
      </c>
      <c r="E190" s="7">
        <f>-RETURNS!E190</f>
        <v>-8.1004094712480695E-3</v>
      </c>
      <c r="F190" s="7">
        <f>-RETURNS!F190</f>
        <v>-3.6823845381168487E-2</v>
      </c>
      <c r="G190" s="7">
        <v>0</v>
      </c>
      <c r="P190" s="4"/>
      <c r="Q190" s="4"/>
      <c r="R190" s="4"/>
      <c r="S190" s="4"/>
      <c r="T190" s="4"/>
    </row>
    <row r="191" spans="1:20" x14ac:dyDescent="0.3">
      <c r="A191" s="1">
        <v>38289</v>
      </c>
      <c r="B191" s="7">
        <f>-RETURNS!B191</f>
        <v>-4.1888696782207774E-2</v>
      </c>
      <c r="C191" s="7">
        <f>-RETURNS!C191</f>
        <v>-2.9344936721587129E-2</v>
      </c>
      <c r="D191" s="7">
        <f>-RETURNS!D191</f>
        <v>-3.8543418326928501E-2</v>
      </c>
      <c r="E191" s="7">
        <f>-RETURNS!E191</f>
        <v>-1.6484048453531134E-2</v>
      </c>
      <c r="F191" s="7">
        <f>-RETURNS!F191</f>
        <v>-3.1534579977698762E-2</v>
      </c>
      <c r="G191" s="7">
        <v>0</v>
      </c>
      <c r="P191" s="4"/>
      <c r="Q191" s="4"/>
      <c r="R191" s="4"/>
      <c r="S191" s="4"/>
      <c r="T191" s="4"/>
    </row>
    <row r="192" spans="1:20" x14ac:dyDescent="0.3">
      <c r="A192" s="1">
        <v>38321</v>
      </c>
      <c r="B192" s="7">
        <f>-RETURNS!B192</f>
        <v>-4.5521624881017866E-2</v>
      </c>
      <c r="C192" s="7">
        <f>-RETURNS!C192</f>
        <v>-3.7683728003238416E-2</v>
      </c>
      <c r="D192" s="7">
        <f>-RETURNS!D192</f>
        <v>-2.4844587507109498E-2</v>
      </c>
      <c r="E192" s="7">
        <f>-RETURNS!E192</f>
        <v>-4.1669507914124403E-2</v>
      </c>
      <c r="F192" s="7">
        <f>-RETURNS!F192</f>
        <v>-3.5585610330934672E-2</v>
      </c>
      <c r="G192" s="7">
        <v>0</v>
      </c>
      <c r="P192" s="4"/>
      <c r="Q192" s="4"/>
      <c r="R192" s="4"/>
      <c r="S192" s="4"/>
      <c r="T192" s="4"/>
    </row>
    <row r="193" spans="1:20" x14ac:dyDescent="0.3">
      <c r="A193" s="1">
        <v>38352</v>
      </c>
      <c r="B193" s="7">
        <f>-RETURNS!B193</f>
        <v>-6.6517025222544824E-5</v>
      </c>
      <c r="C193" s="7">
        <f>-RETURNS!C193</f>
        <v>-2.0595641121405113E-2</v>
      </c>
      <c r="D193" s="7">
        <f>-RETURNS!D193</f>
        <v>-2.1052028688858006E-3</v>
      </c>
      <c r="E193" s="7">
        <f>-RETURNS!E193</f>
        <v>-6.7283166612433377E-3</v>
      </c>
      <c r="F193" s="7">
        <f>-RETURNS!F193</f>
        <v>-1.2278892369962373E-2</v>
      </c>
      <c r="G193" s="7">
        <v>0</v>
      </c>
      <c r="P193" s="4"/>
      <c r="Q193" s="4"/>
      <c r="R193" s="4"/>
      <c r="S193" s="4"/>
      <c r="T193" s="4"/>
    </row>
    <row r="194" spans="1:20" x14ac:dyDescent="0.3">
      <c r="A194" s="1">
        <v>38383</v>
      </c>
      <c r="B194" s="7">
        <f>-RETURNS!B194</f>
        <v>4.2886118481481529E-2</v>
      </c>
      <c r="C194" s="7">
        <f>-RETURNS!C194</f>
        <v>3.8197692087536504E-2</v>
      </c>
      <c r="D194" s="7">
        <f>-RETURNS!D194</f>
        <v>1.2411408979967203E-2</v>
      </c>
      <c r="E194" s="7">
        <f>-RETURNS!E194</f>
        <v>1.626411289269232E-2</v>
      </c>
      <c r="F194" s="7">
        <f>-RETURNS!F194</f>
        <v>3.2253504838025884E-3</v>
      </c>
      <c r="G194" s="7">
        <v>0</v>
      </c>
      <c r="P194" s="4"/>
      <c r="Q194" s="4"/>
      <c r="R194" s="4"/>
      <c r="S194" s="4"/>
      <c r="T194" s="4"/>
    </row>
    <row r="195" spans="1:20" x14ac:dyDescent="0.3">
      <c r="A195" s="1">
        <v>38411</v>
      </c>
      <c r="B195" s="7">
        <f>-RETURNS!B195</f>
        <v>-2.0512196539056001E-2</v>
      </c>
      <c r="C195" s="7">
        <f>-RETURNS!C195</f>
        <v>-1.4136423888785291E-2</v>
      </c>
      <c r="D195" s="7">
        <f>-RETURNS!D195</f>
        <v>1.0887365434176699E-2</v>
      </c>
      <c r="E195" s="7">
        <f>-RETURNS!E195</f>
        <v>-2.2007392543192367E-2</v>
      </c>
      <c r="F195" s="7">
        <f>-RETURNS!F195</f>
        <v>-2.2944550669216059E-2</v>
      </c>
      <c r="G195" s="7">
        <v>0</v>
      </c>
      <c r="P195" s="4"/>
      <c r="Q195" s="4"/>
      <c r="R195" s="4"/>
      <c r="S195" s="4"/>
      <c r="T195" s="4"/>
    </row>
    <row r="196" spans="1:20" x14ac:dyDescent="0.3">
      <c r="A196" s="1">
        <v>38442</v>
      </c>
      <c r="B196" s="7">
        <f>-RETURNS!B196</f>
        <v>2.9409044416938149E-2</v>
      </c>
      <c r="C196" s="7">
        <f>-RETURNS!C196</f>
        <v>2.0481931352133807E-2</v>
      </c>
      <c r="D196" s="7">
        <f>-RETURNS!D196</f>
        <v>2.5931604242184703E-2</v>
      </c>
      <c r="E196" s="7">
        <f>-RETURNS!E196</f>
        <v>1.4127107463013499E-2</v>
      </c>
      <c r="F196" s="7">
        <f>-RETURNS!F196</f>
        <v>2.1289795711653885E-2</v>
      </c>
      <c r="G196" s="7">
        <v>0</v>
      </c>
      <c r="P196" s="4"/>
      <c r="Q196" s="4"/>
      <c r="R196" s="4"/>
      <c r="S196" s="4"/>
      <c r="T196" s="4"/>
    </row>
    <row r="197" spans="1:20" x14ac:dyDescent="0.3">
      <c r="A197" s="1">
        <v>38471</v>
      </c>
      <c r="B197" s="7">
        <f>-RETURNS!B197</f>
        <v>6.8025736539844824E-4</v>
      </c>
      <c r="C197" s="7">
        <f>-RETURNS!C197</f>
        <v>7.6371774127027437E-3</v>
      </c>
      <c r="D197" s="7">
        <f>-RETURNS!D197</f>
        <v>-2.0139855967748855E-2</v>
      </c>
      <c r="E197" s="7">
        <f>-RETURNS!E197</f>
        <v>-1.1303520859989393E-2</v>
      </c>
      <c r="F197" s="7">
        <f>-RETURNS!F197</f>
        <v>-1.3146394661562656E-2</v>
      </c>
      <c r="G197" s="7">
        <v>0</v>
      </c>
      <c r="P197" s="4"/>
      <c r="Q197" s="4"/>
      <c r="R197" s="4"/>
      <c r="S197" s="4"/>
      <c r="T197" s="4"/>
    </row>
    <row r="198" spans="1:20" x14ac:dyDescent="0.3">
      <c r="A198" s="1">
        <v>38503</v>
      </c>
      <c r="B198" s="7">
        <f>-RETURNS!B198</f>
        <v>4.4513203953161183E-2</v>
      </c>
      <c r="C198" s="7">
        <f>-RETURNS!C198</f>
        <v>4.4983719549347961E-2</v>
      </c>
      <c r="D198" s="7">
        <f>-RETURNS!D198</f>
        <v>3.7642553376636981E-2</v>
      </c>
      <c r="E198" s="7">
        <f>-RETURNS!E198</f>
        <v>4.6554641690606517E-2</v>
      </c>
      <c r="F198" s="7">
        <f>-RETURNS!F198</f>
        <v>3.0443733285447614E-2</v>
      </c>
      <c r="G198" s="7">
        <v>0</v>
      </c>
      <c r="P198" s="4"/>
      <c r="Q198" s="4"/>
      <c r="R198" s="4"/>
      <c r="S198" s="4"/>
      <c r="T198" s="4"/>
    </row>
    <row r="199" spans="1:20" x14ac:dyDescent="0.3">
      <c r="A199" s="1">
        <v>38533</v>
      </c>
      <c r="B199" s="7">
        <f>-RETURNS!B199</f>
        <v>2.7958256727749365E-2</v>
      </c>
      <c r="C199" s="7">
        <f>-RETURNS!C199</f>
        <v>1.6836711908309505E-2</v>
      </c>
      <c r="D199" s="7">
        <f>-RETURNS!D199</f>
        <v>2.3951962936481924E-2</v>
      </c>
      <c r="E199" s="7">
        <f>-RETURNS!E199</f>
        <v>1.2604926227836629E-2</v>
      </c>
      <c r="F199" s="7">
        <f>-RETURNS!F199</f>
        <v>-1.0994314565743093E-2</v>
      </c>
      <c r="G199" s="7">
        <v>0</v>
      </c>
      <c r="P199" s="4"/>
      <c r="Q199" s="4"/>
      <c r="R199" s="4"/>
      <c r="S199" s="4"/>
      <c r="T199" s="4"/>
    </row>
    <row r="200" spans="1:20" x14ac:dyDescent="0.3">
      <c r="A200" s="1">
        <v>38562</v>
      </c>
      <c r="B200" s="7">
        <f>-RETURNS!B200</f>
        <v>8.4890063685290652E-3</v>
      </c>
      <c r="C200" s="7">
        <f>-RETURNS!C200</f>
        <v>-2.037864680833975E-4</v>
      </c>
      <c r="D200" s="7">
        <f>-RETURNS!D200</f>
        <v>1.6884685324902886E-2</v>
      </c>
      <c r="E200" s="7">
        <f>-RETURNS!E200</f>
        <v>1.760641106960141E-2</v>
      </c>
      <c r="F200" s="7">
        <f>-RETURNS!F200</f>
        <v>5.8471848104591738E-3</v>
      </c>
      <c r="G200" s="7">
        <v>0</v>
      </c>
      <c r="P200" s="4"/>
      <c r="Q200" s="4"/>
      <c r="R200" s="4"/>
      <c r="S200" s="4"/>
      <c r="T200" s="4"/>
    </row>
    <row r="201" spans="1:20" x14ac:dyDescent="0.3">
      <c r="A201" s="1">
        <v>38595</v>
      </c>
      <c r="B201" s="7">
        <f>-RETURNS!B201</f>
        <v>-2.6410592416956934E-2</v>
      </c>
      <c r="C201" s="7">
        <f>-RETURNS!C201</f>
        <v>-1.717732879313788E-2</v>
      </c>
      <c r="D201" s="7">
        <f>-RETURNS!D201</f>
        <v>-1.4154747022142389E-2</v>
      </c>
      <c r="E201" s="7">
        <f>-RETURNS!E201</f>
        <v>-2.719349738290839E-2</v>
      </c>
      <c r="F201" s="7">
        <f>-RETURNS!F201</f>
        <v>-1.6817338543602221E-4</v>
      </c>
      <c r="G201" s="7">
        <v>0</v>
      </c>
      <c r="P201" s="4"/>
      <c r="Q201" s="4"/>
      <c r="R201" s="4"/>
      <c r="S201" s="4"/>
      <c r="T201" s="4"/>
    </row>
    <row r="202" spans="1:20" x14ac:dyDescent="0.3">
      <c r="A202" s="1">
        <v>38625</v>
      </c>
      <c r="B202" s="7">
        <f>-RETURNS!B202</f>
        <v>3.4152382584438028E-2</v>
      </c>
      <c r="C202" s="7">
        <f>-RETURNS!C202</f>
        <v>2.7224134807030363E-2</v>
      </c>
      <c r="D202" s="7">
        <f>-RETURNS!D202</f>
        <v>2.8389464120296564E-2</v>
      </c>
      <c r="E202" s="7">
        <f>-RETURNS!E202</f>
        <v>2.139095273356572E-2</v>
      </c>
      <c r="F202" s="7">
        <f>-RETURNS!F202</f>
        <v>-1.0513584909663861E-2</v>
      </c>
      <c r="G202" s="7">
        <v>0</v>
      </c>
      <c r="P202" s="4"/>
      <c r="Q202" s="4"/>
      <c r="R202" s="4"/>
      <c r="S202" s="4"/>
      <c r="T202" s="4"/>
    </row>
    <row r="203" spans="1:20" x14ac:dyDescent="0.3">
      <c r="A203" s="1">
        <v>38656</v>
      </c>
      <c r="B203" s="7">
        <f>-RETURNS!B203</f>
        <v>-1.59264133540386E-3</v>
      </c>
      <c r="C203" s="7">
        <f>-RETURNS!C203</f>
        <v>4.3009681329810702E-3</v>
      </c>
      <c r="D203" s="7">
        <f>-RETURNS!D203</f>
        <v>2.8286457431184912E-2</v>
      </c>
      <c r="E203" s="7">
        <f>-RETURNS!E203</f>
        <v>-3.7996937560255931E-3</v>
      </c>
      <c r="F203" s="7">
        <f>-RETURNS!F203</f>
        <v>1.6602876850605765E-2</v>
      </c>
      <c r="G203" s="7">
        <v>0</v>
      </c>
      <c r="P203" s="4"/>
      <c r="Q203" s="4"/>
      <c r="R203" s="4"/>
      <c r="S203" s="4"/>
      <c r="T203" s="4"/>
    </row>
    <row r="204" spans="1:20" x14ac:dyDescent="0.3">
      <c r="A204" s="1">
        <v>38686</v>
      </c>
      <c r="B204" s="7">
        <f>-RETURNS!B204</f>
        <v>2.3072472262724002E-2</v>
      </c>
      <c r="C204" s="7">
        <f>-RETURNS!C204</f>
        <v>1.8598180560284769E-2</v>
      </c>
      <c r="D204" s="7">
        <f>-RETURNS!D204</f>
        <v>3.1683856253800373E-2</v>
      </c>
      <c r="E204" s="7">
        <f>-RETURNS!E204</f>
        <v>2.2654764225988083E-2</v>
      </c>
      <c r="F204" s="7">
        <f>-RETURNS!F204</f>
        <v>1.2384008650338419E-2</v>
      </c>
      <c r="G204" s="7">
        <v>0</v>
      </c>
      <c r="P204" s="4"/>
      <c r="Q204" s="4"/>
      <c r="R204" s="4"/>
      <c r="S204" s="4"/>
      <c r="T204" s="4"/>
    </row>
    <row r="205" spans="1:20" x14ac:dyDescent="0.3">
      <c r="A205" s="1">
        <v>38716</v>
      </c>
      <c r="B205" s="7">
        <f>-RETURNS!B205</f>
        <v>1.3551546831513126E-3</v>
      </c>
      <c r="C205" s="7">
        <f>-RETURNS!C205</f>
        <v>-3.4705225770281E-3</v>
      </c>
      <c r="D205" s="7">
        <f>-RETURNS!D205</f>
        <v>-1.361044376686237E-2</v>
      </c>
      <c r="E205" s="7">
        <f>-RETURNS!E205</f>
        <v>3.4471589857486382E-3</v>
      </c>
      <c r="F205" s="7">
        <f>-RETURNS!F205</f>
        <v>5.9887549764993213E-3</v>
      </c>
      <c r="G205" s="7">
        <v>0</v>
      </c>
      <c r="P205" s="4"/>
      <c r="Q205" s="4"/>
      <c r="R205" s="4"/>
      <c r="S205" s="4"/>
      <c r="T205" s="4"/>
    </row>
    <row r="206" spans="1:20" x14ac:dyDescent="0.3">
      <c r="A206" s="1">
        <v>38748</v>
      </c>
      <c r="B206" s="7">
        <f>-RETURNS!B206</f>
        <v>-2.4445171772392929E-2</v>
      </c>
      <c r="C206" s="7">
        <f>-RETURNS!C206</f>
        <v>-2.4211704121112333E-2</v>
      </c>
      <c r="D206" s="7">
        <f>-RETURNS!D206</f>
        <v>-8.4330449870502087E-4</v>
      </c>
      <c r="E206" s="7">
        <f>-RETURNS!E206</f>
        <v>-3.2822426868591333E-2</v>
      </c>
      <c r="F206" s="7">
        <f>-RETURNS!F206</f>
        <v>-3.5742826504197196E-2</v>
      </c>
      <c r="G206" s="7">
        <v>0</v>
      </c>
      <c r="P206" s="4"/>
      <c r="Q206" s="4"/>
      <c r="R206" s="4"/>
      <c r="S206" s="4"/>
      <c r="T206" s="4"/>
    </row>
    <row r="207" spans="1:20" x14ac:dyDescent="0.3">
      <c r="A207" s="1">
        <v>38776</v>
      </c>
      <c r="B207" s="7">
        <f>-RETURNS!B207</f>
        <v>2.8578033985623051E-2</v>
      </c>
      <c r="C207" s="7">
        <f>-RETURNS!C207</f>
        <v>2.0983041103765598E-2</v>
      </c>
      <c r="D207" s="7">
        <f>-RETURNS!D207</f>
        <v>-8.7522333713851604E-3</v>
      </c>
      <c r="E207" s="7">
        <f>-RETURNS!E207</f>
        <v>1.4500377092978484E-2</v>
      </c>
      <c r="F207" s="7">
        <f>-RETURNS!F207</f>
        <v>2.0235444431392042E-2</v>
      </c>
      <c r="G207" s="7">
        <v>0</v>
      </c>
      <c r="P207" s="4"/>
      <c r="Q207" s="4"/>
      <c r="R207" s="4"/>
      <c r="S207" s="4"/>
      <c r="T207" s="4"/>
    </row>
    <row r="208" spans="1:20" x14ac:dyDescent="0.3">
      <c r="A208" s="1">
        <v>38807</v>
      </c>
      <c r="B208" s="7">
        <f>-RETURNS!B208</f>
        <v>-2.6826277213696154E-3</v>
      </c>
      <c r="C208" s="7">
        <f>-RETURNS!C208</f>
        <v>-1.4691167296766726E-2</v>
      </c>
      <c r="D208" s="7">
        <f>-RETURNS!D208</f>
        <v>2.1115589655145262E-2</v>
      </c>
      <c r="E208" s="7">
        <f>-RETURNS!E208</f>
        <v>9.4860582824971822E-3</v>
      </c>
      <c r="F208" s="7">
        <f>-RETURNS!F208</f>
        <v>3.403590986671972E-2</v>
      </c>
      <c r="G208" s="7">
        <v>0</v>
      </c>
      <c r="P208" s="4"/>
      <c r="Q208" s="4"/>
      <c r="R208" s="4"/>
      <c r="S208" s="4"/>
      <c r="T208" s="4"/>
    </row>
    <row r="209" spans="1:20" x14ac:dyDescent="0.3">
      <c r="A209" s="1">
        <v>38835</v>
      </c>
      <c r="B209" s="7">
        <f>-RETURNS!B209</f>
        <v>-4.9583664908450537E-2</v>
      </c>
      <c r="C209" s="7">
        <f>-RETURNS!C209</f>
        <v>-4.0785444984172109E-2</v>
      </c>
      <c r="D209" s="7">
        <f>-RETURNS!D209</f>
        <v>-2.9874443591379148E-2</v>
      </c>
      <c r="E209" s="7">
        <f>-RETURNS!E209</f>
        <v>-5.0759166160248941E-2</v>
      </c>
      <c r="F209" s="7">
        <f>-RETURNS!F209</f>
        <v>-6.074866847833682E-2</v>
      </c>
      <c r="G209" s="7">
        <v>0</v>
      </c>
      <c r="P209" s="4"/>
      <c r="Q209" s="4"/>
      <c r="R209" s="4"/>
      <c r="S209" s="4"/>
      <c r="T209" s="4"/>
    </row>
    <row r="210" spans="1:20" x14ac:dyDescent="0.3">
      <c r="A210" s="1">
        <v>38868</v>
      </c>
      <c r="B210" s="7">
        <f>-RETURNS!B210</f>
        <v>-1.2386713892233227E-2</v>
      </c>
      <c r="C210" s="7">
        <f>-RETURNS!C210</f>
        <v>-1.1660552740999829E-2</v>
      </c>
      <c r="D210" s="7">
        <f>-RETURNS!D210</f>
        <v>-6.375913445537334E-3</v>
      </c>
      <c r="E210" s="7">
        <f>-RETURNS!E210</f>
        <v>-2.3597261721305267E-2</v>
      </c>
      <c r="F210" s="7">
        <f>-RETURNS!F210</f>
        <v>9.2202318229717018E-3</v>
      </c>
      <c r="G210" s="7">
        <v>0</v>
      </c>
      <c r="P210" s="4"/>
      <c r="Q210" s="4"/>
      <c r="R210" s="4"/>
      <c r="S210" s="4"/>
      <c r="T210" s="4"/>
    </row>
    <row r="211" spans="1:20" x14ac:dyDescent="0.3">
      <c r="A211" s="1">
        <v>38898</v>
      </c>
      <c r="B211" s="7">
        <f>-RETURNS!B211</f>
        <v>6.6670535118264389E-3</v>
      </c>
      <c r="C211" s="7">
        <f>-RETURNS!C211</f>
        <v>3.4646179688005889E-3</v>
      </c>
      <c r="D211" s="7">
        <f>-RETURNS!D211</f>
        <v>1.9870625232304696E-2</v>
      </c>
      <c r="E211" s="7">
        <f>-RETURNS!E211</f>
        <v>1.1947718707401103E-2</v>
      </c>
      <c r="F211" s="7">
        <f>-RETURNS!F211</f>
        <v>1.2885298628467906E-2</v>
      </c>
      <c r="G211" s="7">
        <v>0</v>
      </c>
      <c r="P211" s="4"/>
      <c r="Q211" s="4"/>
      <c r="R211" s="4"/>
      <c r="S211" s="4"/>
      <c r="T211" s="4"/>
    </row>
    <row r="212" spans="1:20" x14ac:dyDescent="0.3">
      <c r="A212" s="1">
        <v>38929</v>
      </c>
      <c r="B212" s="7">
        <f>-RETURNS!B212</f>
        <v>9.913385050697195E-3</v>
      </c>
      <c r="C212" s="7">
        <f>-RETURNS!C212</f>
        <v>4.0922160527821477E-3</v>
      </c>
      <c r="D212" s="7">
        <f>-RETURNS!D212</f>
        <v>6.8341298034100906E-3</v>
      </c>
      <c r="E212" s="7">
        <f>-RETURNS!E212</f>
        <v>-9.8050082046317859E-3</v>
      </c>
      <c r="F212" s="7">
        <f>-RETURNS!F212</f>
        <v>-3.3360071721794955E-2</v>
      </c>
      <c r="G212" s="7">
        <v>0</v>
      </c>
      <c r="P212" s="4"/>
      <c r="Q212" s="4"/>
      <c r="R212" s="4"/>
      <c r="S212" s="4"/>
      <c r="T212" s="4"/>
    </row>
    <row r="213" spans="1:20" x14ac:dyDescent="0.3">
      <c r="A213" s="1">
        <v>38960</v>
      </c>
      <c r="B213" s="7">
        <f>-RETURNS!B213</f>
        <v>3.0171570817533813E-3</v>
      </c>
      <c r="C213" s="7">
        <f>-RETURNS!C213</f>
        <v>-1.3637553680772671E-3</v>
      </c>
      <c r="D213" s="7">
        <f>-RETURNS!D213</f>
        <v>2.7792967014678979E-2</v>
      </c>
      <c r="E213" s="7">
        <f>-RETURNS!E213</f>
        <v>-1.9071134878320944E-2</v>
      </c>
      <c r="F213" s="7">
        <f>-RETURNS!F213</f>
        <v>2.9527636144331339E-3</v>
      </c>
      <c r="G213" s="7">
        <v>0</v>
      </c>
      <c r="P213" s="4"/>
      <c r="Q213" s="4"/>
      <c r="R213" s="4"/>
      <c r="S213" s="4"/>
      <c r="T213" s="4"/>
    </row>
    <row r="214" spans="1:20" x14ac:dyDescent="0.3">
      <c r="A214" s="1">
        <v>38989</v>
      </c>
      <c r="B214" s="7">
        <f>-RETURNS!B214</f>
        <v>1.9191971942365039E-2</v>
      </c>
      <c r="C214" s="7">
        <f>-RETURNS!C214</f>
        <v>1.268075015697084E-2</v>
      </c>
      <c r="D214" s="7">
        <f>-RETURNS!D214</f>
        <v>1.0674998419065407E-2</v>
      </c>
      <c r="E214" s="7">
        <f>-RETURNS!E214</f>
        <v>1.7528723417096086E-2</v>
      </c>
      <c r="F214" s="7">
        <f>-RETURNS!F214</f>
        <v>2.2610563823097951E-2</v>
      </c>
      <c r="G214" s="7">
        <v>0</v>
      </c>
      <c r="P214" s="4"/>
      <c r="Q214" s="4"/>
      <c r="R214" s="4"/>
      <c r="S214" s="4"/>
      <c r="T214" s="4"/>
    </row>
    <row r="215" spans="1:20" x14ac:dyDescent="0.3">
      <c r="A215" s="1">
        <v>39021</v>
      </c>
      <c r="B215" s="7">
        <f>-RETURNS!B215</f>
        <v>-2.041355781890887E-3</v>
      </c>
      <c r="C215" s="7">
        <f>-RETURNS!C215</f>
        <v>-5.1929455335389995E-3</v>
      </c>
      <c r="D215" s="7">
        <f>-RETURNS!D215</f>
        <v>-5.5835818859607204E-3</v>
      </c>
      <c r="E215" s="7">
        <f>-RETURNS!E215</f>
        <v>-1.843966329660706E-2</v>
      </c>
      <c r="F215" s="7">
        <f>-RETURNS!F215</f>
        <v>-3.7828848101180985E-2</v>
      </c>
      <c r="G215" s="7">
        <v>0</v>
      </c>
      <c r="P215" s="4"/>
      <c r="Q215" s="4"/>
      <c r="R215" s="4"/>
      <c r="S215" s="4"/>
      <c r="T215" s="4"/>
    </row>
    <row r="216" spans="1:20" x14ac:dyDescent="0.3">
      <c r="A216" s="1">
        <v>39051</v>
      </c>
      <c r="B216" s="7">
        <f>-RETURNS!B216</f>
        <v>-3.5398570857285247E-2</v>
      </c>
      <c r="C216" s="7">
        <f>-RETURNS!C216</f>
        <v>-3.5826842793212431E-2</v>
      </c>
      <c r="D216" s="7">
        <f>-RETURNS!D216</f>
        <v>-5.6359456001287955E-3</v>
      </c>
      <c r="E216" s="7">
        <f>-RETURNS!E216</f>
        <v>-3.0385874504566722E-2</v>
      </c>
      <c r="F216" s="7">
        <f>-RETURNS!F216</f>
        <v>-2.0301266290999855E-2</v>
      </c>
      <c r="G216" s="7">
        <v>0</v>
      </c>
      <c r="P216" s="4"/>
      <c r="Q216" s="4"/>
      <c r="R216" s="4"/>
      <c r="S216" s="4"/>
      <c r="T216" s="4"/>
    </row>
    <row r="217" spans="1:20" x14ac:dyDescent="0.3">
      <c r="A217" s="1">
        <v>39080</v>
      </c>
      <c r="B217" s="7">
        <f>-RETURNS!B217</f>
        <v>2.1101142000958382E-2</v>
      </c>
      <c r="C217" s="7">
        <f>-RETURNS!C217</f>
        <v>4.8847138166972937E-3</v>
      </c>
      <c r="D217" s="7">
        <f>-RETURNS!D217</f>
        <v>3.1440261852287162E-2</v>
      </c>
      <c r="E217" s="7">
        <f>-RETURNS!E217</f>
        <v>3.7869117089112153E-3</v>
      </c>
      <c r="F217" s="7">
        <f>-RETURNS!F217</f>
        <v>-2.7655077751355536E-4</v>
      </c>
      <c r="G217" s="7">
        <v>0</v>
      </c>
      <c r="P217" s="4"/>
      <c r="Q217" s="4"/>
      <c r="R217" s="4"/>
      <c r="S217" s="4"/>
      <c r="T217" s="4"/>
    </row>
    <row r="218" spans="1:20" x14ac:dyDescent="0.3">
      <c r="A218" s="1">
        <v>39113</v>
      </c>
      <c r="B218" s="7">
        <f>-RETURNS!B218</f>
        <v>2.2103053437286507E-2</v>
      </c>
      <c r="C218" s="7">
        <f>-RETURNS!C218</f>
        <v>1.4013536885971595E-2</v>
      </c>
      <c r="D218" s="7">
        <f>-RETURNS!D218</f>
        <v>1.7668319910048715E-2</v>
      </c>
      <c r="E218" s="7">
        <f>-RETURNS!E218</f>
        <v>-3.2115017905194163E-3</v>
      </c>
      <c r="F218" s="7">
        <f>-RETURNS!F218</f>
        <v>1.3861034246401375E-2</v>
      </c>
      <c r="G218" s="7">
        <v>0</v>
      </c>
      <c r="P218" s="4"/>
      <c r="Q218" s="4"/>
      <c r="R218" s="4"/>
      <c r="S218" s="4"/>
      <c r="T218" s="4"/>
    </row>
    <row r="219" spans="1:20" x14ac:dyDescent="0.3">
      <c r="A219" s="1">
        <v>39141</v>
      </c>
      <c r="B219" s="7">
        <f>-RETURNS!B219</f>
        <v>-1.7488168173674972E-2</v>
      </c>
      <c r="C219" s="7">
        <f>-RETURNS!C219</f>
        <v>-1.3782506906580231E-2</v>
      </c>
      <c r="D219" s="7">
        <f>-RETURNS!D219</f>
        <v>-1.4238405052504472E-2</v>
      </c>
      <c r="E219" s="7">
        <f>-RETURNS!E219</f>
        <v>7.93707325511588E-4</v>
      </c>
      <c r="F219" s="7">
        <f>-RETURNS!F219</f>
        <v>-1.4894304921702803E-2</v>
      </c>
      <c r="G219" s="7">
        <v>0</v>
      </c>
      <c r="P219" s="4"/>
      <c r="Q219" s="4"/>
      <c r="R219" s="4"/>
      <c r="S219" s="4"/>
      <c r="T219" s="4"/>
    </row>
    <row r="220" spans="1:20" x14ac:dyDescent="0.3">
      <c r="A220" s="1">
        <v>39171</v>
      </c>
      <c r="B220" s="7">
        <f>-RETURNS!B220</f>
        <v>-6.7957311592884665E-4</v>
      </c>
      <c r="C220" s="7">
        <f>-RETURNS!C220</f>
        <v>-8.1069798235171523E-3</v>
      </c>
      <c r="D220" s="7">
        <f>-RETURNS!D220</f>
        <v>-2.2013605672791614E-3</v>
      </c>
      <c r="E220" s="7">
        <f>-RETURNS!E220</f>
        <v>-2.0154370870975901E-3</v>
      </c>
      <c r="F220" s="7">
        <f>-RETURNS!F220</f>
        <v>-2.7100150521107879E-2</v>
      </c>
      <c r="G220" s="7">
        <v>0</v>
      </c>
      <c r="P220" s="4"/>
      <c r="Q220" s="4"/>
      <c r="R220" s="4"/>
      <c r="S220" s="4"/>
      <c r="T220" s="4"/>
    </row>
    <row r="221" spans="1:20" x14ac:dyDescent="0.3">
      <c r="A221" s="1">
        <v>39202</v>
      </c>
      <c r="B221" s="7">
        <f>-RETURNS!B221</f>
        <v>-4.2142764758722048E-3</v>
      </c>
      <c r="C221" s="7">
        <f>-RETURNS!C221</f>
        <v>-2.0788238796235842E-2</v>
      </c>
      <c r="D221" s="7">
        <f>-RETURNS!D221</f>
        <v>1.8575628292730052E-2</v>
      </c>
      <c r="E221" s="7">
        <f>-RETURNS!E221</f>
        <v>-1.616874652192813E-2</v>
      </c>
      <c r="F221" s="7">
        <f>-RETURNS!F221</f>
        <v>-2.7476104775084033E-2</v>
      </c>
      <c r="G221" s="7">
        <v>0</v>
      </c>
      <c r="P221" s="4"/>
      <c r="Q221" s="4"/>
      <c r="R221" s="4"/>
      <c r="S221" s="4"/>
      <c r="T221" s="4"/>
    </row>
    <row r="222" spans="1:20" x14ac:dyDescent="0.3">
      <c r="A222" s="1">
        <v>39233</v>
      </c>
      <c r="B222" s="7">
        <f>-RETURNS!B222</f>
        <v>1.7449024236134196E-2</v>
      </c>
      <c r="C222" s="7">
        <f>-RETURNS!C222</f>
        <v>1.5561634052069208E-2</v>
      </c>
      <c r="D222" s="7">
        <f>-RETURNS!D222</f>
        <v>2.2229860451948438E-2</v>
      </c>
      <c r="E222" s="7">
        <f>-RETURNS!E222</f>
        <v>9.7014048154382398E-3</v>
      </c>
      <c r="F222" s="7">
        <f>-RETURNS!F222</f>
        <v>1.8145538066444966E-3</v>
      </c>
      <c r="G222" s="7">
        <v>0</v>
      </c>
      <c r="P222" s="4"/>
      <c r="Q222" s="4"/>
      <c r="R222" s="4"/>
      <c r="S222" s="4"/>
      <c r="T222" s="4"/>
    </row>
    <row r="223" spans="1:20" x14ac:dyDescent="0.3">
      <c r="A223" s="1">
        <v>39262</v>
      </c>
      <c r="B223" s="7">
        <f>-RETURNS!B223</f>
        <v>-5.1177387964707153E-4</v>
      </c>
      <c r="C223" s="7">
        <f>-RETURNS!C223</f>
        <v>-5.4284672654737066E-3</v>
      </c>
      <c r="D223" s="7">
        <f>-RETURNS!D223</f>
        <v>1.5656131353012775E-2</v>
      </c>
      <c r="E223" s="7">
        <f>-RETURNS!E223</f>
        <v>-1.48163079924805E-2</v>
      </c>
      <c r="F223" s="7">
        <f>-RETURNS!F223</f>
        <v>-2.6774219674560788E-2</v>
      </c>
      <c r="G223" s="7">
        <v>0</v>
      </c>
      <c r="P223" s="4"/>
      <c r="Q223" s="4"/>
      <c r="R223" s="4"/>
      <c r="S223" s="4"/>
      <c r="T223" s="4"/>
    </row>
    <row r="224" spans="1:20" x14ac:dyDescent="0.3">
      <c r="A224" s="1">
        <v>39294</v>
      </c>
      <c r="B224" s="7">
        <f>-RETURNS!B224</f>
        <v>-1.4624235114830127E-2</v>
      </c>
      <c r="C224" s="7">
        <f>-RETURNS!C224</f>
        <v>-9.4989096467490691E-3</v>
      </c>
      <c r="D224" s="7">
        <f>-RETURNS!D224</f>
        <v>-3.4255032879049019E-2</v>
      </c>
      <c r="E224" s="7">
        <f>-RETURNS!E224</f>
        <v>-1.1647920825215319E-2</v>
      </c>
      <c r="F224" s="7">
        <f>-RETURNS!F224</f>
        <v>-3.5088050032872071E-3</v>
      </c>
      <c r="G224" s="7">
        <v>0</v>
      </c>
      <c r="P224" s="4"/>
      <c r="Q224" s="4"/>
      <c r="R224" s="4"/>
      <c r="S224" s="4"/>
      <c r="T224" s="4"/>
    </row>
    <row r="225" spans="1:20" x14ac:dyDescent="0.3">
      <c r="A225" s="1">
        <v>39325</v>
      </c>
      <c r="B225" s="7">
        <f>-RETURNS!B225</f>
        <v>8.4388560060058848E-3</v>
      </c>
      <c r="C225" s="7">
        <f>-RETURNS!C225</f>
        <v>5.0659152955605117E-3</v>
      </c>
      <c r="D225" s="7">
        <f>-RETURNS!D225</f>
        <v>-2.0168462657454887E-2</v>
      </c>
      <c r="E225" s="7">
        <f>-RETURNS!E225</f>
        <v>6.552879844168971E-3</v>
      </c>
      <c r="F225" s="7">
        <f>-RETURNS!F225</f>
        <v>3.7915711261886469E-2</v>
      </c>
      <c r="G225" s="7">
        <v>0</v>
      </c>
      <c r="P225" s="4"/>
      <c r="Q225" s="4"/>
      <c r="R225" s="4"/>
      <c r="S225" s="4"/>
      <c r="T225" s="4"/>
    </row>
    <row r="226" spans="1:20" x14ac:dyDescent="0.3">
      <c r="A226" s="1">
        <v>39353</v>
      </c>
      <c r="B226" s="7">
        <f>-RETURNS!B226</f>
        <v>-3.5548629421147858E-2</v>
      </c>
      <c r="C226" s="7">
        <f>-RETURNS!C226</f>
        <v>-4.5553046775435896E-2</v>
      </c>
      <c r="D226" s="7">
        <f>-RETURNS!D226</f>
        <v>-4.0403617923131328E-3</v>
      </c>
      <c r="E226" s="7">
        <f>-RETURNS!E226</f>
        <v>-1.5556018532297504E-2</v>
      </c>
      <c r="F226" s="7">
        <f>-RETURNS!F226</f>
        <v>-8.5565125960521668E-2</v>
      </c>
      <c r="G226" s="7">
        <v>0</v>
      </c>
      <c r="P226" s="4"/>
      <c r="Q226" s="4"/>
      <c r="R226" s="4"/>
      <c r="S226" s="4"/>
      <c r="T226" s="4"/>
    </row>
    <row r="227" spans="1:20" x14ac:dyDescent="0.3">
      <c r="A227" s="1">
        <v>39386</v>
      </c>
      <c r="B227" s="7">
        <f>-RETURNS!B227</f>
        <v>-2.5847447901199872E-3</v>
      </c>
      <c r="C227" s="7">
        <f>-RETURNS!C227</f>
        <v>-1.4609480053787609E-2</v>
      </c>
      <c r="D227" s="7">
        <f>-RETURNS!D227</f>
        <v>9.1506406408725458E-3</v>
      </c>
      <c r="E227" s="7">
        <f>-RETURNS!E227</f>
        <v>-1.6535938000985503E-2</v>
      </c>
      <c r="F227" s="7">
        <f>-RETURNS!F227</f>
        <v>-5.3436440262225791E-2</v>
      </c>
      <c r="G227" s="7">
        <v>0</v>
      </c>
      <c r="P227" s="4"/>
      <c r="Q227" s="4"/>
      <c r="R227" s="4"/>
      <c r="S227" s="4"/>
      <c r="T227" s="4"/>
    </row>
    <row r="228" spans="1:20" x14ac:dyDescent="0.3">
      <c r="A228" s="1">
        <v>39416</v>
      </c>
      <c r="B228" s="7">
        <f>-RETURNS!B228</f>
        <v>-2.0871696664852307E-2</v>
      </c>
      <c r="C228" s="7">
        <f>-RETURNS!C228</f>
        <v>-9.5706720168231077E-3</v>
      </c>
      <c r="D228" s="7">
        <f>-RETURNS!D228</f>
        <v>-3.4065334004963567E-2</v>
      </c>
      <c r="E228" s="7">
        <f>-RETURNS!E228</f>
        <v>1.0344148815594444E-2</v>
      </c>
      <c r="F228" s="7">
        <f>-RETURNS!F228</f>
        <v>5.1617365568048426E-2</v>
      </c>
      <c r="G228" s="7">
        <v>0</v>
      </c>
      <c r="P228" s="4"/>
      <c r="Q228" s="4"/>
      <c r="R228" s="4"/>
      <c r="S228" s="4"/>
      <c r="T228" s="4"/>
    </row>
    <row r="229" spans="1:20" x14ac:dyDescent="0.3">
      <c r="A229" s="1">
        <v>39447</v>
      </c>
      <c r="B229" s="7">
        <f>-RETURNS!B229</f>
        <v>3.8973620500339693E-3</v>
      </c>
      <c r="C229" s="7">
        <f>-RETURNS!C229</f>
        <v>3.7149842249749984E-3</v>
      </c>
      <c r="D229" s="7">
        <f>-RETURNS!D229</f>
        <v>8.4846004195774302E-3</v>
      </c>
      <c r="E229" s="7">
        <f>-RETURNS!E229</f>
        <v>3.3776449457016258E-2</v>
      </c>
      <c r="F229" s="7">
        <f>-RETURNS!F229</f>
        <v>9.3428108581732963E-3</v>
      </c>
      <c r="G229" s="7">
        <v>0</v>
      </c>
      <c r="P229" s="4"/>
      <c r="Q229" s="4"/>
      <c r="R229" s="4"/>
      <c r="S229" s="4"/>
      <c r="T229" s="4"/>
    </row>
    <row r="230" spans="1:20" x14ac:dyDescent="0.3">
      <c r="A230" s="1">
        <v>39478</v>
      </c>
      <c r="B230" s="7">
        <f>-RETURNS!B230</f>
        <v>-4.6185528235347363E-2</v>
      </c>
      <c r="C230" s="7">
        <f>-RETURNS!C230</f>
        <v>-1.8066379489877455E-2</v>
      </c>
      <c r="D230" s="7">
        <f>-RETURNS!D230</f>
        <v>-4.6358891273133716E-2</v>
      </c>
      <c r="E230" s="7">
        <f>-RETURNS!E230</f>
        <v>-1.9921855500746695E-3</v>
      </c>
      <c r="F230" s="7">
        <f>-RETURNS!F230</f>
        <v>-2.5127997921357254E-2</v>
      </c>
      <c r="G230" s="7">
        <v>0</v>
      </c>
      <c r="P230" s="4"/>
      <c r="Q230" s="4"/>
      <c r="R230" s="4"/>
      <c r="S230" s="4"/>
      <c r="T230" s="4"/>
    </row>
    <row r="231" spans="1:20" x14ac:dyDescent="0.3">
      <c r="A231" s="1">
        <v>39507</v>
      </c>
      <c r="B231" s="7">
        <f>-RETURNS!B231</f>
        <v>-3.7993420221347413E-2</v>
      </c>
      <c r="C231" s="7">
        <f>-RETURNS!C231</f>
        <v>-2.2196183010761445E-2</v>
      </c>
      <c r="D231" s="7">
        <f>-RETURNS!D231</f>
        <v>-2.3946296904736354E-2</v>
      </c>
      <c r="E231" s="7">
        <f>-RETURNS!E231</f>
        <v>-2.6959015038169631E-3</v>
      </c>
      <c r="F231" s="7">
        <f>-RETURNS!F231</f>
        <v>-4.257430399849476E-2</v>
      </c>
      <c r="G231" s="7">
        <v>0</v>
      </c>
      <c r="P231" s="4"/>
      <c r="Q231" s="4"/>
      <c r="R231" s="4"/>
      <c r="S231" s="4"/>
      <c r="T231" s="4"/>
    </row>
    <row r="232" spans="1:20" x14ac:dyDescent="0.3">
      <c r="A232" s="1">
        <v>39538</v>
      </c>
      <c r="B232" s="7">
        <f>-RETURNS!B232</f>
        <v>-4.8164320878050962E-2</v>
      </c>
      <c r="C232" s="7">
        <f>-RETURNS!C232</f>
        <v>-4.1067707646453649E-2</v>
      </c>
      <c r="D232" s="7">
        <f>-RETURNS!D232</f>
        <v>-3.8507823375103695E-2</v>
      </c>
      <c r="E232" s="7">
        <f>-RETURNS!E232</f>
        <v>6.9015198456482308E-4</v>
      </c>
      <c r="F232" s="7">
        <f>-RETURNS!F232</f>
        <v>1.5456608818946747E-2</v>
      </c>
      <c r="G232" s="7">
        <v>0</v>
      </c>
      <c r="P232" s="4"/>
      <c r="Q232" s="4"/>
      <c r="R232" s="4"/>
      <c r="S232" s="4"/>
      <c r="T232" s="4"/>
    </row>
    <row r="233" spans="1:20" x14ac:dyDescent="0.3">
      <c r="A233" s="1">
        <v>39568</v>
      </c>
      <c r="B233" s="7">
        <f>-RETURNS!B233</f>
        <v>4.0414563411796334E-2</v>
      </c>
      <c r="C233" s="7">
        <f>-RETURNS!C233</f>
        <v>9.4992207620934362E-3</v>
      </c>
      <c r="D233" s="7">
        <f>-RETURNS!D233</f>
        <v>4.2431651918253266E-2</v>
      </c>
      <c r="E233" s="7">
        <f>-RETURNS!E233</f>
        <v>-3.7951124286901739E-3</v>
      </c>
      <c r="F233" s="7">
        <f>-RETURNS!F233</f>
        <v>-3.7503834157700089E-2</v>
      </c>
      <c r="G233" s="7">
        <v>0</v>
      </c>
      <c r="P233" s="4"/>
      <c r="Q233" s="4"/>
      <c r="R233" s="4"/>
      <c r="S233" s="4"/>
      <c r="T233" s="4"/>
    </row>
    <row r="234" spans="1:20" x14ac:dyDescent="0.3">
      <c r="A234" s="1">
        <v>39598</v>
      </c>
      <c r="B234" s="7">
        <f>-RETURNS!B234</f>
        <v>7.8001371609766994E-3</v>
      </c>
      <c r="C234" s="7">
        <f>-RETURNS!C234</f>
        <v>3.0810014312204902E-3</v>
      </c>
      <c r="D234" s="7">
        <f>-RETURNS!D234</f>
        <v>1.718108661446403E-2</v>
      </c>
      <c r="E234" s="7">
        <f>-RETURNS!E234</f>
        <v>2.3956323839075295E-4</v>
      </c>
      <c r="F234" s="7">
        <f>-RETURNS!F234</f>
        <v>-1.7042915806719211E-2</v>
      </c>
      <c r="G234" s="7">
        <v>0</v>
      </c>
      <c r="P234" s="4"/>
      <c r="Q234" s="4"/>
      <c r="R234" s="4"/>
      <c r="S234" s="4"/>
      <c r="T234" s="4"/>
    </row>
    <row r="235" spans="1:20" x14ac:dyDescent="0.3">
      <c r="A235" s="1">
        <v>39629</v>
      </c>
      <c r="B235" s="7">
        <f>-RETURNS!B235</f>
        <v>-2.0367419585304705E-2</v>
      </c>
      <c r="C235" s="7">
        <f>-RETURNS!C235</f>
        <v>-1.4322190704160419E-2</v>
      </c>
      <c r="D235" s="7">
        <f>-RETURNS!D235</f>
        <v>8.1709496903028221E-3</v>
      </c>
      <c r="E235" s="7">
        <f>-RETURNS!E235</f>
        <v>-7.2916529735402962E-3</v>
      </c>
      <c r="F235" s="7">
        <f>-RETURNS!F235</f>
        <v>-6.6462173057879837E-3</v>
      </c>
      <c r="G235" s="7">
        <v>0</v>
      </c>
      <c r="P235" s="4"/>
      <c r="Q235" s="4"/>
      <c r="R235" s="4"/>
      <c r="S235" s="4"/>
      <c r="T235" s="4"/>
    </row>
    <row r="236" spans="1:20" x14ac:dyDescent="0.3">
      <c r="A236" s="1">
        <v>39660</v>
      </c>
      <c r="B236" s="7">
        <f>-RETURNS!B236</f>
        <v>2.5100254342908229E-2</v>
      </c>
      <c r="C236" s="7">
        <f>-RETURNS!C236</f>
        <v>8.0516731141506183E-3</v>
      </c>
      <c r="D236" s="7">
        <f>-RETURNS!D236</f>
        <v>1.7353913299628248E-2</v>
      </c>
      <c r="E236" s="7">
        <f>-RETURNS!E236</f>
        <v>1.6730191076392933E-3</v>
      </c>
      <c r="F236" s="7">
        <f>-RETURNS!F236</f>
        <v>1.2640879161410074E-2</v>
      </c>
      <c r="G236" s="7">
        <v>0</v>
      </c>
      <c r="P236" s="4"/>
      <c r="Q236" s="4"/>
      <c r="R236" s="4"/>
      <c r="S236" s="4"/>
      <c r="T236" s="4"/>
    </row>
    <row r="237" spans="1:20" x14ac:dyDescent="0.3">
      <c r="A237" s="1">
        <v>39689</v>
      </c>
      <c r="B237" s="7">
        <f>-RETURNS!B237</f>
        <v>4.9588423936341719E-2</v>
      </c>
      <c r="C237" s="7">
        <f>-RETURNS!C237</f>
        <v>5.8078423493024993E-2</v>
      </c>
      <c r="D237" s="7">
        <f>-RETURNS!D237</f>
        <v>9.9320317555459184E-3</v>
      </c>
      <c r="E237" s="7">
        <f>-RETURNS!E237</f>
        <v>8.0042979486741703E-2</v>
      </c>
      <c r="F237" s="7">
        <f>-RETURNS!F237</f>
        <v>8.594250324736559E-2</v>
      </c>
      <c r="G237" s="7">
        <v>0</v>
      </c>
      <c r="P237" s="4"/>
      <c r="Q237" s="4"/>
      <c r="R237" s="4"/>
      <c r="S237" s="4"/>
      <c r="T237" s="4"/>
    </row>
    <row r="238" spans="1:20" x14ac:dyDescent="0.3">
      <c r="A238" s="1">
        <v>39721</v>
      </c>
      <c r="B238" s="7">
        <f>-RETURNS!B238</f>
        <v>1.8844423443171891E-2</v>
      </c>
      <c r="C238" s="7">
        <f>-RETURNS!C238</f>
        <v>3.809727285696448E-2</v>
      </c>
      <c r="D238" s="7">
        <f>-RETURNS!D238</f>
        <v>-2.3579772155265234E-2</v>
      </c>
      <c r="E238" s="7">
        <f>-RETURNS!E238</f>
        <v>2.0158161496425651E-2</v>
      </c>
      <c r="F238" s="7">
        <f>-RETURNS!F238</f>
        <v>7.282164570647616E-2</v>
      </c>
      <c r="G238" s="7">
        <v>0</v>
      </c>
      <c r="P238" s="4"/>
      <c r="Q238" s="4"/>
      <c r="R238" s="4"/>
      <c r="S238" s="4"/>
      <c r="T238" s="4"/>
    </row>
    <row r="239" spans="1:20" x14ac:dyDescent="0.3">
      <c r="A239" s="1">
        <v>39752</v>
      </c>
      <c r="B239" s="7">
        <f>-RETURNS!B239</f>
        <v>3.7055941041292562E-2</v>
      </c>
      <c r="C239" s="7">
        <f>-RETURNS!C239</f>
        <v>9.9796276385037699E-2</v>
      </c>
      <c r="D239" s="7">
        <f>-RETURNS!D239</f>
        <v>-7.2229392169100071E-2</v>
      </c>
      <c r="E239" s="7">
        <f>-RETURNS!E239</f>
        <v>9.7117188864595125E-2</v>
      </c>
      <c r="F239" s="7">
        <f>-RETURNS!F239</f>
        <v>0.15650400085890584</v>
      </c>
      <c r="G239" s="7">
        <v>0</v>
      </c>
      <c r="P239" s="4"/>
      <c r="Q239" s="4"/>
      <c r="R239" s="4"/>
      <c r="S239" s="4"/>
      <c r="T239" s="4"/>
    </row>
    <row r="240" spans="1:20" x14ac:dyDescent="0.3">
      <c r="A240" s="1">
        <v>39780</v>
      </c>
      <c r="B240" s="7">
        <f>-RETURNS!B240</f>
        <v>4.3672447043185542E-2</v>
      </c>
      <c r="C240" s="7">
        <f>-RETURNS!C240</f>
        <v>1.5836514928256123E-3</v>
      </c>
      <c r="D240" s="7">
        <f>-RETURNS!D240</f>
        <v>-2.9673956203229653E-2</v>
      </c>
      <c r="E240" s="7">
        <f>-RETURNS!E240</f>
        <v>4.1630518243735017E-2</v>
      </c>
      <c r="F240" s="7">
        <f>-RETURNS!F240</f>
        <v>1.574980549305632E-2</v>
      </c>
      <c r="G240" s="7">
        <v>0</v>
      </c>
      <c r="P240" s="4"/>
      <c r="Q240" s="4"/>
      <c r="R240" s="4"/>
      <c r="S240" s="4"/>
      <c r="T240" s="4"/>
    </row>
    <row r="241" spans="1:20" x14ac:dyDescent="0.3">
      <c r="A241" s="1">
        <v>39813</v>
      </c>
      <c r="B241" s="7">
        <f>-RETURNS!B241</f>
        <v>-0.12924707567435978</v>
      </c>
      <c r="C241" s="7">
        <f>-RETURNS!C241</f>
        <v>-0.10126498464487733</v>
      </c>
      <c r="D241" s="7">
        <f>-RETURNS!D241</f>
        <v>-5.1191046765571249E-2</v>
      </c>
      <c r="E241" s="7">
        <f>-RETURNS!E241</f>
        <v>5.1095080363982082E-2</v>
      </c>
      <c r="F241" s="7">
        <f>-RETURNS!F241</f>
        <v>-7.3973825422322254E-2</v>
      </c>
      <c r="G241" s="7">
        <v>0</v>
      </c>
      <c r="P241" s="4"/>
      <c r="Q241" s="4"/>
      <c r="R241" s="4"/>
      <c r="S241" s="4"/>
      <c r="T241" s="4"/>
    </row>
    <row r="242" spans="1:20" x14ac:dyDescent="0.3">
      <c r="A242" s="1">
        <v>39843</v>
      </c>
      <c r="B242" s="7">
        <f>-RETURNS!B242</f>
        <v>7.6158634157945451E-2</v>
      </c>
      <c r="C242" s="7">
        <f>-RETURNS!C242</f>
        <v>8.1678507922878923E-2</v>
      </c>
      <c r="D242" s="7">
        <f>-RETURNS!D242</f>
        <v>-7.9600835815261152E-3</v>
      </c>
      <c r="E242" s="7">
        <f>-RETURNS!E242</f>
        <v>2.7660553636304356E-3</v>
      </c>
      <c r="F242" s="7">
        <f>-RETURNS!F242</f>
        <v>8.9564047562602361E-2</v>
      </c>
      <c r="G242" s="7">
        <v>0</v>
      </c>
      <c r="P242" s="4"/>
      <c r="Q242" s="4"/>
      <c r="R242" s="4"/>
      <c r="S242" s="4"/>
      <c r="T242" s="4"/>
    </row>
    <row r="243" spans="1:20" x14ac:dyDescent="0.3">
      <c r="A243" s="1">
        <v>39871</v>
      </c>
      <c r="B243" s="7">
        <f>-RETURNS!B243</f>
        <v>8.0398199701707165E-3</v>
      </c>
      <c r="C243" s="7">
        <f>-RETURNS!C243</f>
        <v>1.0807024995686258E-2</v>
      </c>
      <c r="D243" s="7">
        <f>-RETURNS!D243</f>
        <v>7.8495627855330583E-2</v>
      </c>
      <c r="E243" s="7">
        <f>-RETURNS!E243</f>
        <v>1.4765444263854028E-2</v>
      </c>
      <c r="F243" s="7">
        <f>-RETURNS!F243</f>
        <v>-4.6048318505325205E-3</v>
      </c>
      <c r="G243" s="7">
        <v>0</v>
      </c>
      <c r="P243" s="4"/>
      <c r="Q243" s="4"/>
      <c r="R243" s="4"/>
      <c r="S243" s="4"/>
      <c r="T243" s="4"/>
    </row>
    <row r="244" spans="1:20" x14ac:dyDescent="0.3">
      <c r="A244" s="1">
        <v>39903</v>
      </c>
      <c r="B244" s="7">
        <f>-RETURNS!B244</f>
        <v>-2.5525100621162349E-2</v>
      </c>
      <c r="C244" s="7">
        <f>-RETURNS!C244</f>
        <v>-4.6085390568809927E-2</v>
      </c>
      <c r="D244" s="7">
        <f>-RETURNS!D244</f>
        <v>1.4576930248243617E-2</v>
      </c>
      <c r="E244" s="7">
        <f>-RETURNS!E244</f>
        <v>-4.7288985997014489E-4</v>
      </c>
      <c r="F244" s="7">
        <f>-RETURNS!F244</f>
        <v>-8.4286704665585563E-2</v>
      </c>
      <c r="G244" s="7">
        <v>0</v>
      </c>
      <c r="P244" s="4"/>
      <c r="Q244" s="4"/>
      <c r="R244" s="4"/>
      <c r="S244" s="4"/>
      <c r="T244" s="4"/>
    </row>
    <row r="245" spans="1:20" x14ac:dyDescent="0.3">
      <c r="A245" s="1">
        <v>39933</v>
      </c>
      <c r="B245" s="7">
        <f>-RETURNS!B245</f>
        <v>1.4289978997265988E-3</v>
      </c>
      <c r="C245" s="7">
        <f>-RETURNS!C245</f>
        <v>1.4431147125242385E-3</v>
      </c>
      <c r="D245" s="7">
        <f>-RETURNS!D245</f>
        <v>-3.0350949634996571E-3</v>
      </c>
      <c r="E245" s="7">
        <f>-RETURNS!E245</f>
        <v>-3.2568855377526497E-2</v>
      </c>
      <c r="F245" s="7">
        <f>-RETURNS!F245</f>
        <v>-5.1908250869100052E-2</v>
      </c>
      <c r="G245" s="7">
        <v>0</v>
      </c>
      <c r="P245" s="4"/>
      <c r="Q245" s="4"/>
      <c r="R245" s="4"/>
      <c r="S245" s="4"/>
      <c r="T245" s="4"/>
    </row>
    <row r="246" spans="1:20" x14ac:dyDescent="0.3">
      <c r="A246" s="1">
        <v>39962</v>
      </c>
      <c r="B246" s="7">
        <f>-RETURNS!B246</f>
        <v>-6.8305739499144549E-2</v>
      </c>
      <c r="C246" s="7">
        <f>-RETURNS!C246</f>
        <v>-7.0272239823228957E-2</v>
      </c>
      <c r="D246" s="7">
        <f>-RETURNS!D246</f>
        <v>-3.4151993698096336E-2</v>
      </c>
      <c r="E246" s="7">
        <f>-RETURNS!E246</f>
        <v>-9.4696301224721016E-2</v>
      </c>
      <c r="F246" s="7">
        <f>-RETURNS!F246</f>
        <v>-0.1064030782064421</v>
      </c>
      <c r="G246" s="7">
        <v>0</v>
      </c>
      <c r="P246" s="4"/>
      <c r="Q246" s="4"/>
      <c r="R246" s="4"/>
      <c r="S246" s="4"/>
      <c r="T246" s="4"/>
    </row>
    <row r="247" spans="1:20" x14ac:dyDescent="0.3">
      <c r="A247" s="1">
        <v>39994</v>
      </c>
      <c r="B247" s="7">
        <f>-RETURNS!B247</f>
        <v>1.7835024991890786E-2</v>
      </c>
      <c r="C247" s="7">
        <f>-RETURNS!C247</f>
        <v>8.6006525022712596E-3</v>
      </c>
      <c r="D247" s="7">
        <f>-RETURNS!D247</f>
        <v>1.1127057365681358E-2</v>
      </c>
      <c r="E247" s="7">
        <f>-RETURNS!E247</f>
        <v>-1.6690326430612638E-2</v>
      </c>
      <c r="F247" s="7">
        <f>-RETURNS!F247</f>
        <v>-8.8019975880824393E-3</v>
      </c>
      <c r="G247" s="7">
        <v>0</v>
      </c>
      <c r="P247" s="4"/>
      <c r="Q247" s="4"/>
      <c r="R247" s="4"/>
      <c r="S247" s="4"/>
      <c r="T247" s="4"/>
    </row>
    <row r="248" spans="1:20" x14ac:dyDescent="0.3">
      <c r="A248" s="1">
        <v>40025</v>
      </c>
      <c r="B248" s="7">
        <f>-RETURNS!B248</f>
        <v>-1.6207846499044262E-2</v>
      </c>
      <c r="C248" s="7">
        <f>-RETURNS!C248</f>
        <v>-1.5952238771935589E-2</v>
      </c>
      <c r="D248" s="7">
        <f>-RETURNS!D248</f>
        <v>-1.7452937599787968E-2</v>
      </c>
      <c r="E248" s="7">
        <f>-RETURNS!E248</f>
        <v>-1.5519283200031132E-2</v>
      </c>
      <c r="F248" s="7">
        <f>-RETURNS!F248</f>
        <v>-3.9104075739362462E-2</v>
      </c>
      <c r="G248" s="7">
        <v>0</v>
      </c>
      <c r="P248" s="4"/>
      <c r="Q248" s="4"/>
      <c r="R248" s="4"/>
      <c r="S248" s="4"/>
      <c r="T248" s="4"/>
    </row>
    <row r="249" spans="1:20" x14ac:dyDescent="0.3">
      <c r="A249" s="1">
        <v>40056</v>
      </c>
      <c r="B249" s="7">
        <f>-RETURNS!B249</f>
        <v>-8.5738100839653098E-3</v>
      </c>
      <c r="C249" s="7">
        <f>-RETURNS!C249</f>
        <v>-5.351494280283654E-3</v>
      </c>
      <c r="D249" s="7">
        <f>-RETURNS!D249</f>
        <v>-1.6384322698731284E-2</v>
      </c>
      <c r="E249" s="7">
        <f>-RETURNS!E249</f>
        <v>2.5355827699569233E-2</v>
      </c>
      <c r="F249" s="7">
        <f>-RETURNS!F249</f>
        <v>-1.2064664683872154E-2</v>
      </c>
      <c r="G249" s="7">
        <v>0</v>
      </c>
      <c r="P249" s="4"/>
      <c r="Q249" s="4"/>
      <c r="R249" s="4"/>
      <c r="S249" s="4"/>
      <c r="T249" s="4"/>
    </row>
    <row r="250" spans="1:20" x14ac:dyDescent="0.3">
      <c r="A250" s="1">
        <v>40086</v>
      </c>
      <c r="B250" s="7">
        <f>-RETURNS!B250</f>
        <v>-2.1660996826048277E-2</v>
      </c>
      <c r="C250" s="7">
        <f>-RETURNS!C250</f>
        <v>-2.1335018815167583E-2</v>
      </c>
      <c r="D250" s="7">
        <f>-RETURNS!D250</f>
        <v>-3.8155446249767355E-2</v>
      </c>
      <c r="E250" s="7">
        <f>-RETURNS!E250</f>
        <v>1.8717554345990706E-2</v>
      </c>
      <c r="F250" s="7">
        <f>-RETURNS!F250</f>
        <v>-4.8515829881038343E-2</v>
      </c>
      <c r="G250" s="7">
        <v>0</v>
      </c>
      <c r="P250" s="4"/>
      <c r="Q250" s="4"/>
      <c r="R250" s="4"/>
      <c r="S250" s="4"/>
      <c r="T250" s="4"/>
    </row>
    <row r="251" spans="1:20" x14ac:dyDescent="0.3">
      <c r="A251" s="1">
        <v>40116</v>
      </c>
      <c r="B251" s="7">
        <f>-RETURNS!B251</f>
        <v>-9.5011708240079346E-3</v>
      </c>
      <c r="C251" s="7">
        <f>-RETURNS!C251</f>
        <v>-5.4119702700248197E-3</v>
      </c>
      <c r="D251" s="7">
        <f>-RETURNS!D251</f>
        <v>4.7726631313902102E-3</v>
      </c>
      <c r="E251" s="7">
        <f>-RETURNS!E251</f>
        <v>-2.9609164040964087E-2</v>
      </c>
      <c r="F251" s="7">
        <f>-RETURNS!F251</f>
        <v>-2.1620148524969972E-2</v>
      </c>
      <c r="G251" s="7">
        <v>0</v>
      </c>
      <c r="P251" s="4"/>
      <c r="Q251" s="4"/>
      <c r="R251" s="4"/>
      <c r="S251" s="4"/>
      <c r="T251" s="4"/>
    </row>
    <row r="252" spans="1:20" x14ac:dyDescent="0.3">
      <c r="A252" s="1">
        <v>40147</v>
      </c>
      <c r="B252" s="7">
        <f>-RETURNS!B252</f>
        <v>-2.0524665258337522E-2</v>
      </c>
      <c r="C252" s="7">
        <f>-RETURNS!C252</f>
        <v>-1.9504780903292815E-2</v>
      </c>
      <c r="D252" s="7">
        <f>-RETURNS!D252</f>
        <v>-4.2643871546697944E-2</v>
      </c>
      <c r="E252" s="7">
        <f>-RETURNS!E252</f>
        <v>6.0304244640709741E-4</v>
      </c>
      <c r="F252" s="7">
        <f>-RETURNS!F252</f>
        <v>-2.0960907005619731E-2</v>
      </c>
      <c r="G252" s="7">
        <v>0</v>
      </c>
      <c r="P252" s="4"/>
      <c r="Q252" s="4"/>
      <c r="R252" s="4"/>
      <c r="S252" s="4"/>
      <c r="T252" s="4"/>
    </row>
    <row r="253" spans="1:20" x14ac:dyDescent="0.3">
      <c r="A253" s="1">
        <v>40178</v>
      </c>
      <c r="B253" s="7">
        <f>-RETURNS!B253</f>
        <v>2.7570355619030811E-2</v>
      </c>
      <c r="C253" s="7">
        <f>-RETURNS!C253</f>
        <v>4.5492566759200298E-2</v>
      </c>
      <c r="D253" s="7">
        <f>-RETURNS!D253</f>
        <v>7.1096148983065391E-2</v>
      </c>
      <c r="E253" s="7">
        <f>-RETURNS!E253</f>
        <v>1.6228877363225702E-2</v>
      </c>
      <c r="F253" s="7">
        <f>-RETURNS!F253</f>
        <v>1.6852702039671923E-2</v>
      </c>
      <c r="G253" s="7">
        <v>0</v>
      </c>
      <c r="P253" s="4"/>
      <c r="Q253" s="4"/>
      <c r="R253" s="4"/>
      <c r="S253" s="4"/>
      <c r="T253" s="4"/>
    </row>
    <row r="254" spans="1:20" x14ac:dyDescent="0.3">
      <c r="A254" s="1">
        <v>40207</v>
      </c>
      <c r="B254" s="7">
        <f>-RETURNS!B254</f>
        <v>2.5614936589147368E-2</v>
      </c>
      <c r="C254" s="7">
        <f>-RETURNS!C254</f>
        <v>3.1943152584696974E-2</v>
      </c>
      <c r="D254" s="7">
        <f>-RETURNS!D254</f>
        <v>-3.0060169100418553E-2</v>
      </c>
      <c r="E254" s="7">
        <f>-RETURNS!E254</f>
        <v>1.1192587346407315E-2</v>
      </c>
      <c r="F254" s="7">
        <f>-RETURNS!F254</f>
        <v>1.2406931254001802E-2</v>
      </c>
      <c r="G254" s="7">
        <v>0</v>
      </c>
      <c r="P254" s="4"/>
      <c r="Q254" s="4"/>
      <c r="R254" s="4"/>
      <c r="S254" s="4"/>
      <c r="T254" s="4"/>
    </row>
    <row r="255" spans="1:20" x14ac:dyDescent="0.3">
      <c r="A255" s="1">
        <v>40235</v>
      </c>
      <c r="B255" s="7">
        <f>-RETURNS!B255</f>
        <v>1.2147333743769121E-2</v>
      </c>
      <c r="C255" s="7">
        <f>-RETURNS!C255</f>
        <v>1.6669227611749333E-2</v>
      </c>
      <c r="D255" s="7">
        <f>-RETURNS!D255</f>
        <v>-1.5071850472973524E-2</v>
      </c>
      <c r="E255" s="7">
        <f>-RETURNS!E255</f>
        <v>4.6588761159785476E-2</v>
      </c>
      <c r="F255" s="7">
        <f>-RETURNS!F255</f>
        <v>-1.6097093217886545E-2</v>
      </c>
      <c r="G255" s="7">
        <v>0</v>
      </c>
      <c r="P255" s="4"/>
      <c r="Q255" s="4"/>
      <c r="R255" s="4"/>
      <c r="S255" s="4"/>
      <c r="T255" s="4"/>
    </row>
    <row r="256" spans="1:20" x14ac:dyDescent="0.3">
      <c r="A256" s="1">
        <v>40268</v>
      </c>
      <c r="B256" s="7">
        <f>-RETURNS!B256</f>
        <v>-1.8235147596393317E-2</v>
      </c>
      <c r="C256" s="7">
        <f>-RETURNS!C256</f>
        <v>8.8273789610222222E-3</v>
      </c>
      <c r="D256" s="7">
        <f>-RETURNS!D256</f>
        <v>4.8688625767384051E-2</v>
      </c>
      <c r="E256" s="7">
        <f>-RETURNS!E256</f>
        <v>3.3102649721716733E-3</v>
      </c>
      <c r="F256" s="7">
        <f>-RETURNS!F256</f>
        <v>-2.8058648212722602E-2</v>
      </c>
      <c r="G256" s="7">
        <v>0</v>
      </c>
      <c r="P256" s="4"/>
      <c r="Q256" s="4"/>
      <c r="R256" s="4"/>
      <c r="S256" s="4"/>
      <c r="T256" s="4"/>
    </row>
    <row r="257" spans="1:20" x14ac:dyDescent="0.3">
      <c r="A257" s="1">
        <v>40298</v>
      </c>
      <c r="B257" s="7">
        <f>-RETURNS!B257</f>
        <v>2.2067619040472147E-2</v>
      </c>
      <c r="C257" s="7">
        <f>-RETURNS!C257</f>
        <v>1.6012192152227232E-2</v>
      </c>
      <c r="D257" s="7">
        <f>-RETURNS!D257</f>
        <v>4.4642024205607421E-3</v>
      </c>
      <c r="E257" s="7">
        <f>-RETURNS!E257</f>
        <v>-6.1300551876234512E-3</v>
      </c>
      <c r="F257" s="7">
        <f>-RETURNS!F257</f>
        <v>-1.102689836899037E-2</v>
      </c>
      <c r="G257" s="7">
        <v>0</v>
      </c>
      <c r="P257" s="4"/>
      <c r="Q257" s="4"/>
      <c r="R257" s="4"/>
      <c r="S257" s="4"/>
      <c r="T257" s="4"/>
    </row>
    <row r="258" spans="1:20" x14ac:dyDescent="0.3">
      <c r="A258" s="1">
        <v>40329</v>
      </c>
      <c r="B258" s="7">
        <f>-RETURNS!B258</f>
        <v>6.7398770332733546E-2</v>
      </c>
      <c r="C258" s="7">
        <f>-RETURNS!C258</f>
        <v>7.4420892545274842E-2</v>
      </c>
      <c r="D258" s="7">
        <f>-RETURNS!D258</f>
        <v>-2.8149662026750445E-2</v>
      </c>
      <c r="E258" s="7">
        <f>-RETURNS!E258</f>
        <v>4.8058695844342143E-2</v>
      </c>
      <c r="F258" s="7">
        <f>-RETURNS!F258</f>
        <v>8.1606618425409755E-2</v>
      </c>
      <c r="G258" s="7">
        <v>0</v>
      </c>
      <c r="P258" s="4"/>
      <c r="Q258" s="4"/>
      <c r="R258" s="4"/>
      <c r="S258" s="4"/>
      <c r="T258" s="4"/>
    </row>
    <row r="259" spans="1:20" x14ac:dyDescent="0.3">
      <c r="A259" s="1">
        <v>40359</v>
      </c>
      <c r="B259" s="7">
        <f>-RETURNS!B259</f>
        <v>-7.121899570077378E-2</v>
      </c>
      <c r="C259" s="7">
        <f>-RETURNS!C259</f>
        <v>5.8480957336276927E-3</v>
      </c>
      <c r="D259" s="7">
        <f>-RETURNS!D259</f>
        <v>-3.1577472762398535E-2</v>
      </c>
      <c r="E259" s="7">
        <f>-RETURNS!E259</f>
        <v>-2.7946102471335089E-2</v>
      </c>
      <c r="F259" s="7">
        <f>-RETURNS!F259</f>
        <v>2.6215584631262322E-3</v>
      </c>
      <c r="G259" s="7">
        <v>0</v>
      </c>
      <c r="P259" s="4"/>
      <c r="Q259" s="4"/>
      <c r="R259" s="4"/>
      <c r="S259" s="4"/>
      <c r="T259" s="4"/>
    </row>
    <row r="260" spans="1:20" x14ac:dyDescent="0.3">
      <c r="A260" s="1">
        <v>40389</v>
      </c>
      <c r="B260" s="7">
        <f>-RETURNS!B260</f>
        <v>-3.420200987207804E-2</v>
      </c>
      <c r="C260" s="7">
        <f>-RETURNS!C260</f>
        <v>-6.6356422199364148E-2</v>
      </c>
      <c r="D260" s="7">
        <f>-RETURNS!D260</f>
        <v>-2.249514763070393E-2</v>
      </c>
      <c r="E260" s="7">
        <f>-RETURNS!E260</f>
        <v>-4.9807121612081937E-2</v>
      </c>
      <c r="F260" s="7">
        <f>-RETURNS!F260</f>
        <v>-7.9362123485616207E-2</v>
      </c>
      <c r="G260" s="7">
        <v>0</v>
      </c>
      <c r="P260" s="4"/>
      <c r="Q260" s="4"/>
      <c r="R260" s="4"/>
      <c r="S260" s="4"/>
      <c r="T260" s="4"/>
    </row>
    <row r="261" spans="1:20" x14ac:dyDescent="0.3">
      <c r="A261" s="1">
        <v>40421</v>
      </c>
      <c r="B261" s="7">
        <f>-RETURNS!B261</f>
        <v>-2.5266875593440759E-2</v>
      </c>
      <c r="C261" s="7">
        <f>-RETURNS!C261</f>
        <v>2.8484259223078401E-2</v>
      </c>
      <c r="D261" s="7">
        <f>-RETURNS!D261</f>
        <v>-2.6537935423789828E-2</v>
      </c>
      <c r="E261" s="7">
        <f>-RETURNS!E261</f>
        <v>2.1592163047573384E-2</v>
      </c>
      <c r="F261" s="7">
        <f>-RETURNS!F261</f>
        <v>1.1136648790291345E-2</v>
      </c>
      <c r="G261" s="7">
        <v>0</v>
      </c>
      <c r="P261" s="4"/>
      <c r="Q261" s="4"/>
      <c r="R261" s="4"/>
      <c r="S261" s="4"/>
      <c r="T261" s="4"/>
    </row>
    <row r="262" spans="1:20" x14ac:dyDescent="0.3">
      <c r="A262" s="1">
        <v>40451</v>
      </c>
      <c r="B262" s="7">
        <f>-RETURNS!B262</f>
        <v>-3.281321949624412E-2</v>
      </c>
      <c r="C262" s="7">
        <f>-RETURNS!C262</f>
        <v>-7.5278993651169246E-2</v>
      </c>
      <c r="D262" s="7">
        <f>-RETURNS!D262</f>
        <v>-7.6687219578209656E-3</v>
      </c>
      <c r="E262" s="7">
        <f>-RETURNS!E262</f>
        <v>-2.4200617153209841E-2</v>
      </c>
      <c r="F262" s="7">
        <f>-RETURNS!F262</f>
        <v>-9.0139708319149067E-2</v>
      </c>
      <c r="G262" s="7">
        <f>-RETURNS!G262</f>
        <v>-2.3873280352303534E-2</v>
      </c>
      <c r="P262" s="4"/>
      <c r="Q262" s="4"/>
      <c r="R262" s="4"/>
      <c r="S262" s="4"/>
      <c r="T262" s="4"/>
    </row>
    <row r="263" spans="1:20" x14ac:dyDescent="0.3">
      <c r="A263" s="1">
        <v>40480</v>
      </c>
      <c r="B263" s="7">
        <f>-RETURNS!B263</f>
        <v>6.5456476369802086E-6</v>
      </c>
      <c r="C263" s="7">
        <f>-RETURNS!C263</f>
        <v>-2.3194461970062072E-2</v>
      </c>
      <c r="D263" s="7">
        <f>-RETURNS!D263</f>
        <v>-3.8563748114257008E-2</v>
      </c>
      <c r="E263" s="7">
        <f>-RETURNS!E263</f>
        <v>-2.0719238565596002E-2</v>
      </c>
      <c r="F263" s="7">
        <f>-RETURNS!F263</f>
        <v>-2.0764010985019191E-2</v>
      </c>
      <c r="G263" s="7">
        <f>-RETURNS!G263</f>
        <v>-6.2792549006624497E-3</v>
      </c>
      <c r="P263" s="4"/>
      <c r="Q263" s="4"/>
      <c r="R263" s="4"/>
      <c r="S263" s="4"/>
      <c r="T263" s="4"/>
    </row>
    <row r="264" spans="1:20" x14ac:dyDescent="0.3">
      <c r="A264" s="1">
        <v>40512</v>
      </c>
      <c r="B264" s="7">
        <f>-RETURNS!B264</f>
        <v>2.12558120019645E-2</v>
      </c>
      <c r="C264" s="7">
        <f>-RETURNS!C264</f>
        <v>6.8792981268271963E-2</v>
      </c>
      <c r="D264" s="7">
        <f>-RETURNS!D264</f>
        <v>3.9459263634024695E-2</v>
      </c>
      <c r="E264" s="7">
        <f>-RETURNS!E264</f>
        <v>2.94677102497738E-2</v>
      </c>
      <c r="F264" s="7">
        <f>-RETURNS!F264</f>
        <v>2.1614682718662213E-2</v>
      </c>
      <c r="G264" s="7">
        <f>-RETURNS!G264</f>
        <v>1.0908995556287226E-2</v>
      </c>
      <c r="P264" s="4"/>
      <c r="Q264" s="4"/>
      <c r="R264" s="4"/>
      <c r="S264" s="4"/>
      <c r="T264" s="4"/>
    </row>
    <row r="265" spans="1:20" x14ac:dyDescent="0.3">
      <c r="A265" s="1">
        <v>40543</v>
      </c>
      <c r="B265" s="7">
        <f>-RETURNS!B265</f>
        <v>-7.2365254779148999E-2</v>
      </c>
      <c r="C265" s="7">
        <f>-RETURNS!C265</f>
        <v>-3.0991366294655272E-2</v>
      </c>
      <c r="D265" s="7">
        <f>-RETURNS!D265</f>
        <v>-3.0704449221338796E-2</v>
      </c>
      <c r="E265" s="7">
        <f>-RETURNS!E265</f>
        <v>-3.4238012999774784E-3</v>
      </c>
      <c r="F265" s="7">
        <f>-RETURNS!F265</f>
        <v>-7.1471202313615687E-2</v>
      </c>
      <c r="G265" s="7">
        <f>-RETURNS!G265</f>
        <v>-1.0645375914837114E-2</v>
      </c>
      <c r="P265" s="4"/>
      <c r="Q265" s="4"/>
      <c r="R265" s="4"/>
      <c r="S265" s="4"/>
      <c r="T265" s="4"/>
    </row>
    <row r="266" spans="1:20" x14ac:dyDescent="0.3">
      <c r="A266" s="1">
        <v>40574</v>
      </c>
      <c r="B266" s="7">
        <f>-RETURNS!B266</f>
        <v>9.7491499660993484E-3</v>
      </c>
      <c r="C266" s="7">
        <f>-RETURNS!C266</f>
        <v>-2.3210912655715739E-2</v>
      </c>
      <c r="D266" s="7">
        <f>-RETURNS!D266</f>
        <v>1.121770529298061E-2</v>
      </c>
      <c r="E266" s="7">
        <f>-RETURNS!E266</f>
        <v>-2.5995210228430404E-2</v>
      </c>
      <c r="F266" s="7">
        <f>-RETURNS!F266</f>
        <v>2.1310584250302942E-2</v>
      </c>
      <c r="G266" s="7">
        <f>-RETURNS!G266</f>
        <v>1.4932278472679582E-3</v>
      </c>
      <c r="P266" s="4"/>
      <c r="Q266" s="4"/>
      <c r="R266" s="4"/>
      <c r="S266" s="4"/>
      <c r="T266" s="4"/>
    </row>
    <row r="267" spans="1:20" x14ac:dyDescent="0.3">
      <c r="A267" s="1">
        <v>40602</v>
      </c>
      <c r="B267" s="7">
        <f>-RETURNS!B267</f>
        <v>-1.596263023246482E-2</v>
      </c>
      <c r="C267" s="7">
        <f>-RETURNS!C267</f>
        <v>-8.5425880228445876E-3</v>
      </c>
      <c r="D267" s="7">
        <f>-RETURNS!D267</f>
        <v>-3.0271914023134172E-3</v>
      </c>
      <c r="E267" s="7">
        <f>-RETURNS!E267</f>
        <v>-1.5385364884792394E-2</v>
      </c>
      <c r="F267" s="7">
        <f>-RETURNS!F267</f>
        <v>-2.480210232326038E-2</v>
      </c>
      <c r="G267" s="7">
        <f>-RETURNS!G267</f>
        <v>-2.9892076416337798E-3</v>
      </c>
      <c r="P267" s="4"/>
      <c r="Q267" s="4"/>
      <c r="R267" s="4"/>
      <c r="S267" s="4"/>
      <c r="T267" s="4"/>
    </row>
    <row r="268" spans="1:20" x14ac:dyDescent="0.3">
      <c r="A268" s="1">
        <v>40633</v>
      </c>
      <c r="B268" s="7">
        <f>-RETURNS!B268</f>
        <v>-1.0492755867162074E-2</v>
      </c>
      <c r="C268" s="7">
        <f>-RETURNS!C268</f>
        <v>-2.5916009376573654E-2</v>
      </c>
      <c r="D268" s="7">
        <f>-RETURNS!D268</f>
        <v>1.6467791859110105E-2</v>
      </c>
      <c r="E268" s="7">
        <f>-RETURNS!E268</f>
        <v>1.3823574834165719E-2</v>
      </c>
      <c r="F268" s="7">
        <f>-RETURNS!F268</f>
        <v>-1.8098878504304413E-2</v>
      </c>
      <c r="G268" s="7">
        <f>-RETURNS!G268</f>
        <v>-1.6338452724886856E-3</v>
      </c>
      <c r="P268" s="4"/>
      <c r="Q268" s="4"/>
      <c r="R268" s="4"/>
      <c r="S268" s="4"/>
      <c r="T268" s="4"/>
    </row>
    <row r="269" spans="1:20" x14ac:dyDescent="0.3">
      <c r="A269" s="1">
        <v>40662</v>
      </c>
      <c r="B269" s="7">
        <f>-RETURNS!B269</f>
        <v>-6.1930173771803945E-2</v>
      </c>
      <c r="C269" s="7">
        <f>-RETURNS!C269</f>
        <v>-4.6425179221601477E-2</v>
      </c>
      <c r="D269" s="7">
        <f>-RETURNS!D269</f>
        <v>-2.3434765508903551E-2</v>
      </c>
      <c r="E269" s="7">
        <f>-RETURNS!E269</f>
        <v>-4.2717268651201915E-2</v>
      </c>
      <c r="F269" s="7">
        <f>-RETURNS!F269</f>
        <v>-6.6097873829051162E-2</v>
      </c>
      <c r="G269" s="7">
        <f>-RETURNS!G269</f>
        <v>-1.2630155795677733E-2</v>
      </c>
      <c r="P269" s="4"/>
      <c r="Q269" s="4"/>
      <c r="R269" s="4"/>
      <c r="S269" s="4"/>
      <c r="T269" s="4"/>
    </row>
    <row r="270" spans="1:20" x14ac:dyDescent="0.3">
      <c r="A270" s="1">
        <v>40694</v>
      </c>
      <c r="B270" s="7">
        <f>-RETURNS!B270</f>
        <v>-1.3137881419745728E-2</v>
      </c>
      <c r="C270" s="7">
        <f>-RETURNS!C270</f>
        <v>2.6929108311252826E-2</v>
      </c>
      <c r="D270" s="7">
        <f>-RETURNS!D270</f>
        <v>3.9471234739540855E-3</v>
      </c>
      <c r="E270" s="7">
        <f>-RETURNS!E270</f>
        <v>1.5094538469276863E-2</v>
      </c>
      <c r="F270" s="7">
        <f>-RETURNS!F270</f>
        <v>2.344393404220272E-2</v>
      </c>
      <c r="G270" s="7">
        <f>-RETURNS!G270</f>
        <v>4.0014741602066358E-3</v>
      </c>
      <c r="P270" s="4"/>
      <c r="Q270" s="4"/>
      <c r="R270" s="4"/>
      <c r="S270" s="4"/>
      <c r="T270" s="4"/>
    </row>
    <row r="271" spans="1:20" x14ac:dyDescent="0.3">
      <c r="A271" s="1">
        <v>40724</v>
      </c>
      <c r="B271" s="7">
        <f>-RETURNS!B271</f>
        <v>-1.5789423433524147E-2</v>
      </c>
      <c r="C271" s="7">
        <f>-RETURNS!C271</f>
        <v>-8.1005347757146014E-3</v>
      </c>
      <c r="D271" s="7">
        <f>-RETURNS!D271</f>
        <v>-1.1878836475379089E-2</v>
      </c>
      <c r="E271" s="7">
        <f>-RETURNS!E271</f>
        <v>2.362269856745693E-2</v>
      </c>
      <c r="F271" s="7">
        <f>-RETURNS!F271</f>
        <v>-8.7363606086664856E-3</v>
      </c>
      <c r="G271" s="7">
        <f>-RETURNS!G271</f>
        <v>-2.0895775599481681E-3</v>
      </c>
      <c r="P271" s="4"/>
      <c r="Q271" s="4"/>
      <c r="R271" s="4"/>
      <c r="S271" s="4"/>
      <c r="T271" s="4"/>
    </row>
    <row r="272" spans="1:20" x14ac:dyDescent="0.3">
      <c r="A272" s="1">
        <v>40753</v>
      </c>
      <c r="B272" s="7">
        <f>-RETURNS!B272</f>
        <v>-6.9555975466128725E-2</v>
      </c>
      <c r="C272" s="7">
        <f>-RETURNS!C272</f>
        <v>6.3231471908855395E-3</v>
      </c>
      <c r="D272" s="7">
        <f>-RETURNS!D272</f>
        <v>-4.930143382844604E-2</v>
      </c>
      <c r="E272" s="7">
        <f>-RETURNS!E272</f>
        <v>-2.3625138578254122E-2</v>
      </c>
      <c r="F272" s="7">
        <f>-RETURNS!F272</f>
        <v>-2.9310007425114356E-2</v>
      </c>
      <c r="G272" s="7">
        <f>-RETURNS!G272</f>
        <v>-5.1712992889463164E-3</v>
      </c>
      <c r="P272" s="4"/>
      <c r="Q272" s="4"/>
      <c r="R272" s="4"/>
      <c r="S272" s="4"/>
      <c r="T272" s="4"/>
    </row>
    <row r="273" spans="1:20" x14ac:dyDescent="0.3">
      <c r="A273" s="1">
        <v>40786</v>
      </c>
      <c r="B273" s="7">
        <f>-RETURNS!B273</f>
        <v>2.5677446090257721E-2</v>
      </c>
      <c r="C273" s="7">
        <f>-RETURNS!C273</f>
        <v>1.3476142918004816E-3</v>
      </c>
      <c r="D273" s="7">
        <f>-RETURNS!D273</f>
        <v>-9.6561010528132467E-4</v>
      </c>
      <c r="E273" s="7">
        <f>-RETURNS!E273</f>
        <v>1.0397223509551716E-2</v>
      </c>
      <c r="F273" s="7">
        <f>-RETURNS!F273</f>
        <v>2.1825523712074812E-2</v>
      </c>
      <c r="G273" s="7">
        <f>-RETURNS!G273</f>
        <v>-1.1599157700964582E-2</v>
      </c>
      <c r="P273" s="4"/>
      <c r="Q273" s="4"/>
      <c r="R273" s="4"/>
      <c r="S273" s="4"/>
      <c r="T273" s="4"/>
    </row>
    <row r="274" spans="1:20" x14ac:dyDescent="0.3">
      <c r="A274" s="1">
        <v>40816</v>
      </c>
      <c r="B274" s="7">
        <f>-RETURNS!B274</f>
        <v>0.11333740048226948</v>
      </c>
      <c r="C274" s="7">
        <f>-RETURNS!C274</f>
        <v>6.7980929359540657E-2</v>
      </c>
      <c r="D274" s="7">
        <f>-RETURNS!D274</f>
        <v>4.9890694424682795E-3</v>
      </c>
      <c r="E274" s="7">
        <f>-RETURNS!E274</f>
        <v>4.0652238283171278E-2</v>
      </c>
      <c r="F274" s="7">
        <f>-RETURNS!F274</f>
        <v>9.3934651138583319E-2</v>
      </c>
      <c r="G274" s="7">
        <f>-RETURNS!G274</f>
        <v>2.2353522795931412E-2</v>
      </c>
      <c r="P274" s="4"/>
      <c r="Q274" s="4"/>
      <c r="R274" s="4"/>
      <c r="S274" s="4"/>
      <c r="T274" s="4"/>
    </row>
    <row r="275" spans="1:20" x14ac:dyDescent="0.3">
      <c r="A275" s="1">
        <v>40847</v>
      </c>
      <c r="B275" s="7">
        <f>-RETURNS!B275</f>
        <v>-3.4977018773490375E-2</v>
      </c>
      <c r="C275" s="7">
        <f>-RETURNS!C275</f>
        <v>-3.5424704943558975E-2</v>
      </c>
      <c r="D275" s="7">
        <f>-RETURNS!D275</f>
        <v>1.5037501567318621E-2</v>
      </c>
      <c r="E275" s="7">
        <f>-RETURNS!E275</f>
        <v>-3.2590102103628706E-2</v>
      </c>
      <c r="F275" s="7">
        <f>-RETURNS!F275</f>
        <v>-9.4353427311237012E-2</v>
      </c>
      <c r="G275" s="7">
        <f>-RETURNS!G275</f>
        <v>-1.7555266579974044E-2</v>
      </c>
      <c r="P275" s="4"/>
      <c r="Q275" s="4"/>
      <c r="R275" s="4"/>
      <c r="S275" s="4"/>
      <c r="T275" s="4"/>
    </row>
    <row r="276" spans="1:20" x14ac:dyDescent="0.3">
      <c r="A276" s="1">
        <v>40877</v>
      </c>
      <c r="B276" s="7">
        <f>-RETURNS!B276</f>
        <v>4.0117302792686334E-2</v>
      </c>
      <c r="C276" s="7">
        <f>-RETURNS!C276</f>
        <v>2.9438068750663182E-2</v>
      </c>
      <c r="D276" s="7">
        <f>-RETURNS!D276</f>
        <v>-6.5837326668333872E-3</v>
      </c>
      <c r="E276" s="7">
        <f>-RETURNS!E276</f>
        <v>2.351850458549588E-2</v>
      </c>
      <c r="F276" s="7">
        <f>-RETURNS!F276</f>
        <v>1.9884441106330517E-2</v>
      </c>
      <c r="G276" s="7">
        <f>-RETURNS!G276</f>
        <v>-2.7387500000018771E-4</v>
      </c>
      <c r="P276" s="4"/>
      <c r="Q276" s="4"/>
      <c r="R276" s="4"/>
      <c r="S276" s="4"/>
      <c r="T276" s="4"/>
    </row>
    <row r="277" spans="1:20" x14ac:dyDescent="0.3">
      <c r="A277" s="1">
        <v>40907</v>
      </c>
      <c r="B277" s="7">
        <f>-RETURNS!B277</f>
        <v>2.8509151776712288E-2</v>
      </c>
      <c r="C277" s="7">
        <f>-RETURNS!C277</f>
        <v>3.6391982745609945E-2</v>
      </c>
      <c r="D277" s="7">
        <f>-RETURNS!D277</f>
        <v>-8.1735609357963743E-3</v>
      </c>
      <c r="E277" s="7">
        <f>-RETURNS!E277</f>
        <v>9.962794780186017E-3</v>
      </c>
      <c r="F277" s="7">
        <f>-RETURNS!F277</f>
        <v>3.4925103320911539E-3</v>
      </c>
      <c r="G277" s="7">
        <f>-RETURNS!G277</f>
        <v>-7.8435459936101303E-3</v>
      </c>
      <c r="P277" s="4"/>
      <c r="Q277" s="4"/>
      <c r="R277" s="4"/>
      <c r="S277" s="4"/>
      <c r="T277" s="4"/>
    </row>
    <row r="278" spans="1:20" x14ac:dyDescent="0.3">
      <c r="A278" s="1">
        <v>40939</v>
      </c>
      <c r="B278" s="7">
        <f>-RETURNS!B278</f>
        <v>-2.0234269957020812E-2</v>
      </c>
      <c r="C278" s="7">
        <f>-RETURNS!C278</f>
        <v>-9.2836508236492175E-3</v>
      </c>
      <c r="D278" s="7">
        <f>-RETURNS!D278</f>
        <v>-8.0749511842473504E-3</v>
      </c>
      <c r="E278" s="7">
        <f>-RETURNS!E278</f>
        <v>-1.4254915210605987E-2</v>
      </c>
      <c r="F278" s="7">
        <f>-RETURNS!F278</f>
        <v>-4.425473090358871E-2</v>
      </c>
      <c r="G278" s="7">
        <f>-RETURNS!G278</f>
        <v>-9.672834431472219E-3</v>
      </c>
      <c r="P278" s="4"/>
      <c r="Q278" s="4"/>
      <c r="R278" s="4"/>
      <c r="S278" s="4"/>
      <c r="T278" s="4"/>
    </row>
    <row r="279" spans="1:20" x14ac:dyDescent="0.3">
      <c r="A279" s="1">
        <v>40968</v>
      </c>
      <c r="B279" s="7">
        <f>-RETURNS!B279</f>
        <v>-1.6897158182701502E-2</v>
      </c>
      <c r="C279" s="7">
        <f>-RETURNS!C279</f>
        <v>-1.8364960602841485E-2</v>
      </c>
      <c r="D279" s="7">
        <f>-RETURNS!D279</f>
        <v>6.0452386316168387E-2</v>
      </c>
      <c r="E279" s="7">
        <f>-RETURNS!E279</f>
        <v>-1.0192042476680806E-2</v>
      </c>
      <c r="F279" s="7">
        <f>-RETURNS!F279</f>
        <v>-1.3750622258872851E-2</v>
      </c>
      <c r="G279" s="7">
        <f>-RETURNS!G279</f>
        <v>-2.0150144454947529E-3</v>
      </c>
      <c r="P279" s="4"/>
      <c r="Q279" s="4"/>
      <c r="R279" s="4"/>
      <c r="S279" s="4"/>
      <c r="T279" s="4"/>
    </row>
    <row r="280" spans="1:20" x14ac:dyDescent="0.3">
      <c r="A280" s="1">
        <v>40998</v>
      </c>
      <c r="B280" s="7">
        <f>-RETURNS!B280</f>
        <v>-1.8572030043417112E-3</v>
      </c>
      <c r="C280" s="7">
        <f>-RETURNS!C280</f>
        <v>-1.2343779898024009E-3</v>
      </c>
      <c r="D280" s="7">
        <f>-RETURNS!D280</f>
        <v>2.0940407065000364E-2</v>
      </c>
      <c r="E280" s="7">
        <f>-RETURNS!E280</f>
        <v>-5.9345614683326726E-3</v>
      </c>
      <c r="F280" s="7">
        <f>-RETURNS!F280</f>
        <v>3.2553372738128285E-2</v>
      </c>
      <c r="G280" s="7">
        <f>-RETURNS!G280</f>
        <v>2.2675131025801315E-3</v>
      </c>
      <c r="P280" s="4"/>
      <c r="Q280" s="4"/>
      <c r="R280" s="4"/>
      <c r="S280" s="4"/>
      <c r="T280" s="4"/>
    </row>
    <row r="281" spans="1:20" x14ac:dyDescent="0.3">
      <c r="A281" s="1">
        <v>41029</v>
      </c>
      <c r="B281" s="7">
        <f>-RETURNS!B281</f>
        <v>5.8359851624547937E-3</v>
      </c>
      <c r="C281" s="7">
        <f>-RETURNS!C281</f>
        <v>7.9244646771202167E-3</v>
      </c>
      <c r="D281" s="7">
        <f>-RETURNS!D281</f>
        <v>-3.7742592229134696E-2</v>
      </c>
      <c r="E281" s="7">
        <f>-RETURNS!E281</f>
        <v>-1.4314999978131623E-2</v>
      </c>
      <c r="F281" s="7">
        <f>-RETURNS!F281</f>
        <v>-1.144899354569663E-2</v>
      </c>
      <c r="G281" s="7">
        <f>-RETURNS!G281</f>
        <v>-3.0841893939392898E-3</v>
      </c>
      <c r="P281" s="4"/>
      <c r="Q281" s="4"/>
      <c r="R281" s="4"/>
      <c r="S281" s="4"/>
      <c r="T281" s="4"/>
    </row>
    <row r="282" spans="1:20" x14ac:dyDescent="0.3">
      <c r="A282" s="1">
        <v>41060</v>
      </c>
      <c r="B282" s="7">
        <f>-RETURNS!B282</f>
        <v>6.6022807395816202E-2</v>
      </c>
      <c r="C282" s="7">
        <f>-RETURNS!C282</f>
        <v>6.6127112448416223E-2</v>
      </c>
      <c r="D282" s="7">
        <f>-RETURNS!D282</f>
        <v>-1.9039908331332383E-2</v>
      </c>
      <c r="E282" s="7">
        <f>-RETURNS!E282</f>
        <v>5.0863957167193927E-2</v>
      </c>
      <c r="F282" s="7">
        <f>-RETURNS!F282</f>
        <v>6.33584958311081E-2</v>
      </c>
      <c r="G282" s="7">
        <f>-RETURNS!G282</f>
        <v>8.6680155639571894E-3</v>
      </c>
      <c r="P282" s="4"/>
      <c r="Q282" s="4"/>
      <c r="R282" s="4"/>
      <c r="S282" s="4"/>
      <c r="T282" s="4"/>
    </row>
    <row r="283" spans="1:20" x14ac:dyDescent="0.3">
      <c r="A283" s="1">
        <v>41089</v>
      </c>
      <c r="B283" s="7">
        <f>-RETURNS!B283</f>
        <v>-2.3472508637493856E-2</v>
      </c>
      <c r="C283" s="7">
        <f>-RETURNS!C283</f>
        <v>-2.4285438197995078E-2</v>
      </c>
      <c r="D283" s="7">
        <f>-RETURNS!D283</f>
        <v>1.9020431732633725E-2</v>
      </c>
      <c r="E283" s="7">
        <f>-RETURNS!E283</f>
        <v>-1.9752304132506126E-2</v>
      </c>
      <c r="F283" s="7">
        <f>-RETURNS!F283</f>
        <v>-5.4798415844848417E-2</v>
      </c>
      <c r="G283" s="7">
        <f>-RETURNS!G283</f>
        <v>-2.5622372374284066E-3</v>
      </c>
      <c r="P283" s="4"/>
      <c r="Q283" s="4"/>
      <c r="R283" s="4"/>
      <c r="S283" s="4"/>
      <c r="T283" s="4"/>
    </row>
    <row r="284" spans="1:20" x14ac:dyDescent="0.3">
      <c r="A284" s="1">
        <v>41121</v>
      </c>
      <c r="B284" s="7">
        <f>-RETURNS!B284</f>
        <v>2.9245772539309402E-2</v>
      </c>
      <c r="C284" s="7">
        <f>-RETURNS!C284</f>
        <v>2.8895566021131587E-2</v>
      </c>
      <c r="D284" s="7">
        <f>-RETURNS!D284</f>
        <v>-2.1178777477813271E-2</v>
      </c>
      <c r="E284" s="7">
        <f>-RETURNS!E284</f>
        <v>1.7738602024976379E-3</v>
      </c>
      <c r="F284" s="7">
        <f>-RETURNS!F284</f>
        <v>-2.8898902821316474E-2</v>
      </c>
      <c r="G284" s="7">
        <f>-RETURNS!G284</f>
        <v>1.0404694656478181E-4</v>
      </c>
      <c r="P284" s="4"/>
      <c r="Q284" s="4"/>
      <c r="R284" s="4"/>
      <c r="S284" s="4"/>
      <c r="T284" s="4"/>
    </row>
    <row r="285" spans="1:20" x14ac:dyDescent="0.3">
      <c r="A285" s="1">
        <v>41152</v>
      </c>
      <c r="B285" s="7">
        <f>-RETURNS!B285</f>
        <v>-2.181078457744353E-2</v>
      </c>
      <c r="C285" s="7">
        <f>-RETURNS!C285</f>
        <v>-2.1976682780192564E-2</v>
      </c>
      <c r="D285" s="7">
        <f>-RETURNS!D285</f>
        <v>3.7638106662917386E-3</v>
      </c>
      <c r="E285" s="7">
        <f>-RETURNS!E285</f>
        <v>-1.2006171796116434E-2</v>
      </c>
      <c r="F285" s="7">
        <f>-RETURNS!F285</f>
        <v>1.4246722909929909E-2</v>
      </c>
      <c r="G285" s="7">
        <f>-RETURNS!G285</f>
        <v>-4.6820431485022724E-3</v>
      </c>
      <c r="P285" s="4"/>
      <c r="Q285" s="4"/>
      <c r="R285" s="4"/>
      <c r="S285" s="4"/>
      <c r="T285" s="4"/>
    </row>
    <row r="286" spans="1:20" x14ac:dyDescent="0.3">
      <c r="A286" s="1">
        <v>41180</v>
      </c>
      <c r="B286" s="7">
        <f>-RETURNS!B286</f>
        <v>-1.557142874866326E-2</v>
      </c>
      <c r="C286" s="7">
        <f>-RETURNS!C286</f>
        <v>-2.2034134032703503E-2</v>
      </c>
      <c r="D286" s="7">
        <f>-RETURNS!D286</f>
        <v>-5.4965405145410299E-3</v>
      </c>
      <c r="E286" s="7">
        <f>-RETURNS!E286</f>
        <v>-1.9085073779187587E-2</v>
      </c>
      <c r="F286" s="7">
        <f>-RETURNS!F286</f>
        <v>-8.2296330910720649E-3</v>
      </c>
      <c r="G286" s="7">
        <f>-RETURNS!G286</f>
        <v>-1.1671262198221042E-2</v>
      </c>
      <c r="P286" s="4"/>
      <c r="Q286" s="4"/>
      <c r="R286" s="4"/>
      <c r="S286" s="4"/>
      <c r="T286" s="4"/>
    </row>
    <row r="287" spans="1:20" x14ac:dyDescent="0.3">
      <c r="A287" s="1">
        <v>41213</v>
      </c>
      <c r="B287" s="7">
        <f>-RETURNS!B287</f>
        <v>-8.4535483909774518E-3</v>
      </c>
      <c r="C287" s="7">
        <f>-RETURNS!C287</f>
        <v>-7.4697350960944058E-3</v>
      </c>
      <c r="D287" s="7">
        <f>-RETURNS!D287</f>
        <v>2.3397023236321084E-2</v>
      </c>
      <c r="E287" s="7">
        <f>-RETURNS!E287</f>
        <v>2.2560432823790191E-3</v>
      </c>
      <c r="F287" s="7">
        <f>-RETURNS!F287</f>
        <v>-2.7300620907927593E-3</v>
      </c>
      <c r="G287" s="7">
        <f>-RETURNS!G287</f>
        <v>-1.2415495841209953E-2</v>
      </c>
      <c r="P287" s="4"/>
      <c r="Q287" s="4"/>
      <c r="R287" s="4"/>
      <c r="S287" s="4"/>
      <c r="T287" s="4"/>
    </row>
    <row r="288" spans="1:20" x14ac:dyDescent="0.3">
      <c r="A288" s="1">
        <v>41243</v>
      </c>
      <c r="B288" s="7">
        <f>-RETURNS!B288</f>
        <v>-3.1768553539492364E-3</v>
      </c>
      <c r="C288" s="7">
        <f>-RETURNS!C288</f>
        <v>-1.7348696456437689E-3</v>
      </c>
      <c r="D288" s="7">
        <f>-RETURNS!D288</f>
        <v>3.279291978875773E-2</v>
      </c>
      <c r="E288" s="7">
        <f>-RETURNS!E288</f>
        <v>7.0904395328433272E-3</v>
      </c>
      <c r="F288" s="7">
        <f>-RETURNS!F288</f>
        <v>-7.4534941574845703E-3</v>
      </c>
      <c r="G288" s="7">
        <f>-RETURNS!G288</f>
        <v>-6.7025880774030031E-3</v>
      </c>
      <c r="P288" s="4"/>
      <c r="Q288" s="4"/>
      <c r="R288" s="4"/>
      <c r="S288" s="4"/>
      <c r="T288" s="4"/>
    </row>
    <row r="289" spans="1:20" x14ac:dyDescent="0.3">
      <c r="A289" s="1">
        <v>41274</v>
      </c>
      <c r="B289" s="7">
        <f>-RETURNS!B289</f>
        <v>-1.3333449064501323E-2</v>
      </c>
      <c r="C289" s="7">
        <f>-RETURNS!C289</f>
        <v>-1.5596132528636489E-2</v>
      </c>
      <c r="D289" s="7">
        <f>-RETURNS!D289</f>
        <v>4.9436512948453686E-2</v>
      </c>
      <c r="E289" s="7">
        <f>-RETURNS!E289</f>
        <v>-1.5150758162424088E-2</v>
      </c>
      <c r="F289" s="7">
        <f>-RETURNS!F289</f>
        <v>8.6993718188409512E-4</v>
      </c>
      <c r="G289" s="7">
        <f>-RETURNS!G289</f>
        <v>-1.2880169204475005E-3</v>
      </c>
      <c r="P289" s="4"/>
      <c r="Q289" s="4"/>
      <c r="R289" s="4"/>
      <c r="S289" s="4"/>
      <c r="T289" s="4"/>
    </row>
    <row r="290" spans="1:20" x14ac:dyDescent="0.3">
      <c r="A290" s="1">
        <v>41305</v>
      </c>
      <c r="B290" s="7">
        <f>-RETURNS!B290</f>
        <v>-5.3183338914316765E-3</v>
      </c>
      <c r="C290" s="7">
        <f>-RETURNS!C290</f>
        <v>-2.8977160783838472E-2</v>
      </c>
      <c r="D290" s="7">
        <f>-RETURNS!D290</f>
        <v>5.4621925177623737E-2</v>
      </c>
      <c r="E290" s="7">
        <f>-RETURNS!E290</f>
        <v>2.4398947431241158E-2</v>
      </c>
      <c r="F290" s="7">
        <f>-RETURNS!F290</f>
        <v>-5.3609607489720906E-3</v>
      </c>
      <c r="G290" s="7">
        <f>-RETURNS!G290</f>
        <v>-3.8793326073428662E-3</v>
      </c>
      <c r="P290" s="4"/>
      <c r="Q290" s="4"/>
      <c r="R290" s="4"/>
      <c r="S290" s="4"/>
      <c r="T290" s="4"/>
    </row>
    <row r="291" spans="1:20" x14ac:dyDescent="0.3">
      <c r="A291" s="1">
        <v>41333</v>
      </c>
      <c r="B291" s="7">
        <f>-RETURNS!B291</f>
        <v>2.885157857402873E-2</v>
      </c>
      <c r="C291" s="7">
        <f>-RETURNS!C291</f>
        <v>3.859676508465016E-2</v>
      </c>
      <c r="D291" s="7">
        <f>-RETURNS!D291</f>
        <v>9.2594161055854895E-3</v>
      </c>
      <c r="E291" s="7">
        <f>-RETURNS!E291</f>
        <v>4.3615377337664414E-2</v>
      </c>
      <c r="F291" s="7">
        <f>-RETURNS!F291</f>
        <v>1.8053775854793019E-2</v>
      </c>
      <c r="G291" s="7">
        <f>-RETURNS!G291</f>
        <v>3.2659637267065825E-5</v>
      </c>
      <c r="P291" s="4"/>
      <c r="Q291" s="4"/>
      <c r="R291" s="4"/>
      <c r="S291" s="4"/>
      <c r="T291" s="4"/>
    </row>
    <row r="292" spans="1:20" x14ac:dyDescent="0.3">
      <c r="A292" s="1">
        <v>41362</v>
      </c>
      <c r="B292" s="7">
        <f>-RETURNS!B292</f>
        <v>1.373280854332551E-2</v>
      </c>
      <c r="C292" s="7">
        <f>-RETURNS!C292</f>
        <v>1.8442018859328498E-2</v>
      </c>
      <c r="D292" s="7">
        <f>-RETURNS!D292</f>
        <v>1.7778192629914872E-2</v>
      </c>
      <c r="E292" s="7">
        <f>-RETURNS!E292</f>
        <v>-2.4801456425951724E-3</v>
      </c>
      <c r="F292" s="7">
        <f>-RETURNS!F292</f>
        <v>-2.238271398993219E-2</v>
      </c>
      <c r="G292" s="7">
        <f>-RETURNS!G292</f>
        <v>-4.9168276789046577E-3</v>
      </c>
      <c r="P292" s="4"/>
      <c r="Q292" s="4"/>
      <c r="R292" s="4"/>
      <c r="S292" s="4"/>
      <c r="T292" s="4"/>
    </row>
    <row r="293" spans="1:20" x14ac:dyDescent="0.3">
      <c r="A293" s="1">
        <v>41394</v>
      </c>
      <c r="B293" s="7">
        <f>-RETURNS!B293</f>
        <v>-2.1273861912647334E-2</v>
      </c>
      <c r="C293" s="7">
        <f>-RETURNS!C293</f>
        <v>-2.7024118064096918E-2</v>
      </c>
      <c r="D293" s="7">
        <f>-RETURNS!D293</f>
        <v>3.3257343708366451E-2</v>
      </c>
      <c r="E293" s="7">
        <f>-RETURNS!E293</f>
        <v>-2.2182384399016902E-2</v>
      </c>
      <c r="F293" s="7">
        <f>-RETURNS!F293</f>
        <v>2.381740247947379E-3</v>
      </c>
      <c r="G293" s="7">
        <f>-RETURNS!G293</f>
        <v>-8.2358313399503724E-3</v>
      </c>
      <c r="P293" s="4"/>
      <c r="Q293" s="4"/>
      <c r="R293" s="4"/>
      <c r="S293" s="4"/>
      <c r="T293" s="4"/>
    </row>
    <row r="294" spans="1:20" x14ac:dyDescent="0.3">
      <c r="A294" s="1">
        <v>41425</v>
      </c>
      <c r="B294" s="7">
        <f>-RETURNS!B294</f>
        <v>2.742018246840152E-2</v>
      </c>
      <c r="C294" s="7">
        <f>-RETURNS!C294</f>
        <v>1.3027520428105677E-2</v>
      </c>
      <c r="D294" s="7">
        <f>-RETURNS!D294</f>
        <v>3.0739602992448586E-2</v>
      </c>
      <c r="E294" s="7">
        <f>-RETURNS!E294</f>
        <v>2.129857283977955E-2</v>
      </c>
      <c r="F294" s="7">
        <f>-RETURNS!F294</f>
        <v>7.4917118527754289E-2</v>
      </c>
      <c r="G294" s="7">
        <f>-RETURNS!G294</f>
        <v>-2.9459788354898654E-3</v>
      </c>
      <c r="P294" s="4"/>
      <c r="Q294" s="4"/>
      <c r="R294" s="4"/>
      <c r="S294" s="4"/>
      <c r="T294" s="4"/>
    </row>
    <row r="295" spans="1:20" x14ac:dyDescent="0.3">
      <c r="A295" s="1">
        <v>41453</v>
      </c>
      <c r="B295" s="7">
        <f>-RETURNS!B295</f>
        <v>-1.0578163441727116E-2</v>
      </c>
      <c r="C295" s="7">
        <f>-RETURNS!C295</f>
        <v>-6.8686654252289277E-4</v>
      </c>
      <c r="D295" s="7">
        <f>-RETURNS!D295</f>
        <v>-1.3647178963634529E-2</v>
      </c>
      <c r="E295" s="7">
        <f>-RETURNS!E295</f>
        <v>-1.196460372679701E-3</v>
      </c>
      <c r="F295" s="7">
        <f>-RETURNS!F295</f>
        <v>4.3107293872242609E-2</v>
      </c>
      <c r="G295" s="7">
        <f>-RETURNS!G295</f>
        <v>-3.8242534501844979E-3</v>
      </c>
      <c r="P295" s="4"/>
      <c r="Q295" s="4"/>
      <c r="R295" s="4"/>
      <c r="S295" s="4"/>
      <c r="T295" s="4"/>
    </row>
    <row r="296" spans="1:20" x14ac:dyDescent="0.3">
      <c r="A296" s="1">
        <v>41486</v>
      </c>
      <c r="B296" s="7">
        <f>-RETURNS!B296</f>
        <v>-1.9855406628520155E-2</v>
      </c>
      <c r="C296" s="7">
        <f>-RETURNS!C296</f>
        <v>-2.231776083051985E-2</v>
      </c>
      <c r="D296" s="7">
        <f>-RETURNS!D296</f>
        <v>-1.2772690881776832E-2</v>
      </c>
      <c r="E296" s="7">
        <f>-RETURNS!E296</f>
        <v>1.840918355271325E-4</v>
      </c>
      <c r="F296" s="7">
        <f>-RETURNS!F296</f>
        <v>1.4831275322960205E-2</v>
      </c>
      <c r="G296" s="7">
        <f>-RETURNS!G296</f>
        <v>-4.3266470841006746E-3</v>
      </c>
      <c r="P296" s="4"/>
      <c r="Q296" s="4"/>
      <c r="R296" s="4"/>
      <c r="S296" s="4"/>
      <c r="T296" s="4"/>
    </row>
    <row r="297" spans="1:20" x14ac:dyDescent="0.3">
      <c r="A297" s="1">
        <v>41516</v>
      </c>
      <c r="B297" s="7">
        <f>-RETURNS!B297</f>
        <v>4.0507736549327336E-3</v>
      </c>
      <c r="C297" s="7">
        <f>-RETURNS!C297</f>
        <v>6.1157482019579424E-3</v>
      </c>
      <c r="D297" s="7">
        <f>-RETURNS!D297</f>
        <v>2.9058443470634425E-3</v>
      </c>
      <c r="E297" s="7">
        <f>-RETURNS!E297</f>
        <v>-1.9760490463752948E-2</v>
      </c>
      <c r="F297" s="7">
        <f>-RETURNS!F297</f>
        <v>6.8453028502569102E-3</v>
      </c>
      <c r="G297" s="7">
        <f>-RETURNS!G297</f>
        <v>-4.4962331391784661E-3</v>
      </c>
      <c r="P297" s="4"/>
      <c r="Q297" s="4"/>
      <c r="R297" s="4"/>
      <c r="S297" s="4"/>
      <c r="T297" s="4"/>
    </row>
    <row r="298" spans="1:20" x14ac:dyDescent="0.3">
      <c r="A298" s="1">
        <v>41547</v>
      </c>
      <c r="B298" s="7">
        <f>-RETURNS!B298</f>
        <v>-2.747631690444485E-2</v>
      </c>
      <c r="C298" s="7">
        <f>-RETURNS!C298</f>
        <v>-2.2969356293866785E-2</v>
      </c>
      <c r="D298" s="7">
        <f>-RETURNS!D298</f>
        <v>9.1961353435398381E-4</v>
      </c>
      <c r="E298" s="7">
        <f>-RETURNS!E298</f>
        <v>-4.4231116616345351E-2</v>
      </c>
      <c r="F298" s="7">
        <f>-RETURNS!F298</f>
        <v>-4.8797153377437487E-2</v>
      </c>
      <c r="G298" s="7">
        <f>-RETURNS!G298</f>
        <v>-2.0355750000000728E-3</v>
      </c>
      <c r="P298" s="4"/>
      <c r="Q298" s="4"/>
      <c r="R298" s="4"/>
      <c r="S298" s="4"/>
      <c r="T298" s="4"/>
    </row>
    <row r="299" spans="1:20" x14ac:dyDescent="0.3">
      <c r="A299" s="1">
        <v>41578</v>
      </c>
      <c r="B299" s="7">
        <f>-RETURNS!B299</f>
        <v>2.5156550209914953E-3</v>
      </c>
      <c r="C299" s="7">
        <f>-RETURNS!C299</f>
        <v>-4.1321397683340482E-3</v>
      </c>
      <c r="D299" s="7">
        <f>-RETURNS!D299</f>
        <v>1.4671366524556058E-3</v>
      </c>
      <c r="E299" s="7">
        <f>-RETURNS!E299</f>
        <v>8.7684442299385337E-3</v>
      </c>
      <c r="F299" s="7">
        <f>-RETURNS!F299</f>
        <v>-1.7123077700845792E-2</v>
      </c>
      <c r="G299" s="7">
        <f>-RETURNS!G299</f>
        <v>-5.2583355657493322E-3</v>
      </c>
      <c r="P299" s="4"/>
      <c r="Q299" s="4"/>
      <c r="R299" s="4"/>
      <c r="S299" s="4"/>
      <c r="T299" s="4"/>
    </row>
    <row r="300" spans="1:20" x14ac:dyDescent="0.3">
      <c r="A300" s="1">
        <v>41607</v>
      </c>
      <c r="B300" s="7">
        <f>-RETURNS!B300</f>
        <v>-5.789044710256989E-4</v>
      </c>
      <c r="C300" s="7">
        <f>-RETURNS!C300</f>
        <v>-4.505008509459302E-4</v>
      </c>
      <c r="D300" s="7">
        <f>-RETURNS!D300</f>
        <v>3.9975332316081517E-2</v>
      </c>
      <c r="E300" s="7">
        <f>-RETURNS!E300</f>
        <v>-2.0674775277570813E-2</v>
      </c>
      <c r="F300" s="7">
        <f>-RETURNS!F300</f>
        <v>3.4906748977210897E-2</v>
      </c>
      <c r="G300" s="7">
        <f>-RETURNS!G300</f>
        <v>-2.0975667965893396E-3</v>
      </c>
      <c r="P300" s="4"/>
      <c r="Q300" s="4"/>
      <c r="R300" s="4"/>
      <c r="S300" s="4"/>
      <c r="T300" s="4"/>
    </row>
    <row r="301" spans="1:20" x14ac:dyDescent="0.3">
      <c r="A301" s="1">
        <v>41639</v>
      </c>
      <c r="B301" s="7">
        <f>-RETURNS!B301</f>
        <v>-1.4457392046429741E-2</v>
      </c>
      <c r="C301" s="7">
        <f>-RETURNS!C301</f>
        <v>-1.1193543901163165E-2</v>
      </c>
      <c r="D301" s="7">
        <f>-RETURNS!D301</f>
        <v>2.7439533923642626E-2</v>
      </c>
      <c r="E301" s="7">
        <f>-RETURNS!E301</f>
        <v>-1.1769450758964479E-2</v>
      </c>
      <c r="F301" s="7">
        <f>-RETURNS!F301</f>
        <v>1.9022190538740269E-2</v>
      </c>
      <c r="G301" s="7">
        <f>-RETURNS!G301</f>
        <v>-4.9926025425791314E-3</v>
      </c>
      <c r="P301" s="4"/>
      <c r="Q301" s="4"/>
      <c r="R301" s="4"/>
      <c r="S301" s="4"/>
      <c r="T301" s="4"/>
    </row>
    <row r="302" spans="1:20" x14ac:dyDescent="0.3">
      <c r="A302" s="1">
        <v>41670</v>
      </c>
      <c r="B302" s="7">
        <f>-RETURNS!B302</f>
        <v>1.5073201131431419E-2</v>
      </c>
      <c r="C302" s="7">
        <f>-RETURNS!C302</f>
        <v>1.8684006208355339E-2</v>
      </c>
      <c r="D302" s="7">
        <f>-RETURNS!D302</f>
        <v>-3.1743112045909141E-2</v>
      </c>
      <c r="E302" s="7">
        <f>-RETURNS!E302</f>
        <v>6.9289645215269641E-3</v>
      </c>
      <c r="F302" s="7">
        <f>-RETURNS!F302</f>
        <v>1.6053741715230961E-2</v>
      </c>
      <c r="G302" s="7">
        <f>-RETURNS!G302</f>
        <v>-4.2141111144759647E-3</v>
      </c>
      <c r="P302" s="4"/>
      <c r="Q302" s="4"/>
      <c r="R302" s="4"/>
      <c r="S302" s="4"/>
      <c r="T302" s="4"/>
    </row>
    <row r="303" spans="1:20" x14ac:dyDescent="0.3">
      <c r="A303" s="1">
        <v>41698</v>
      </c>
      <c r="B303" s="7">
        <f>-RETURNS!B303</f>
        <v>-2.9493822133681086E-2</v>
      </c>
      <c r="C303" s="7">
        <f>-RETURNS!C303</f>
        <v>-2.3424118166111778E-2</v>
      </c>
      <c r="D303" s="7">
        <f>-RETURNS!D303</f>
        <v>-2.414452908163371E-3</v>
      </c>
      <c r="E303" s="7">
        <f>-RETURNS!E303</f>
        <v>-1.8824369767839633E-2</v>
      </c>
      <c r="F303" s="7">
        <f>-RETURNS!F303</f>
        <v>-2.110754239644452E-2</v>
      </c>
      <c r="G303" s="7">
        <f>-RETURNS!G303</f>
        <v>1.2908276940253387E-2</v>
      </c>
      <c r="P303" s="4"/>
      <c r="Q303" s="4"/>
      <c r="R303" s="4"/>
      <c r="S303" s="4"/>
      <c r="T303" s="4"/>
    </row>
    <row r="304" spans="1:20" x14ac:dyDescent="0.3">
      <c r="A304" s="1">
        <v>41729</v>
      </c>
      <c r="B304" s="7">
        <f>-RETURNS!B304</f>
        <v>5.1688095613061976E-3</v>
      </c>
      <c r="C304" s="7">
        <f>-RETURNS!C304</f>
        <v>2.3721646690924472E-3</v>
      </c>
      <c r="D304" s="7">
        <f>-RETURNS!D304</f>
        <v>1.4198856126717695E-2</v>
      </c>
      <c r="E304" s="7">
        <f>-RETURNS!E304</f>
        <v>4.7296546599463665E-3</v>
      </c>
      <c r="F304" s="7">
        <f>-RETURNS!F304</f>
        <v>-4.0265366484680182E-2</v>
      </c>
      <c r="G304" s="7">
        <f>-RETURNS!G304</f>
        <v>1.397245260097911E-2</v>
      </c>
      <c r="P304" s="4"/>
      <c r="Q304" s="4"/>
      <c r="R304" s="4"/>
      <c r="S304" s="4"/>
      <c r="T304" s="4"/>
    </row>
    <row r="305" spans="1:20" x14ac:dyDescent="0.3">
      <c r="A305" s="1">
        <v>41759</v>
      </c>
      <c r="B305" s="7">
        <f>-RETURNS!B305</f>
        <v>-4.5392444011056465E-3</v>
      </c>
      <c r="C305" s="7">
        <f>-RETURNS!C305</f>
        <v>-7.1825399419383172E-3</v>
      </c>
      <c r="D305" s="7">
        <f>-RETURNS!D305</f>
        <v>-9.5364715439558243E-3</v>
      </c>
      <c r="E305" s="7">
        <f>-RETURNS!E305</f>
        <v>-1.2888470011946058E-2</v>
      </c>
      <c r="F305" s="7">
        <f>-RETURNS!F305</f>
        <v>-4.5462559640539199E-3</v>
      </c>
      <c r="G305" s="7">
        <f>-RETURNS!G305</f>
        <v>5.563447897762596E-3</v>
      </c>
      <c r="P305" s="4"/>
      <c r="Q305" s="4"/>
      <c r="R305" s="4"/>
      <c r="S305" s="4"/>
      <c r="T305" s="4"/>
    </row>
    <row r="306" spans="1:20" x14ac:dyDescent="0.3">
      <c r="A306" s="1">
        <v>41789</v>
      </c>
      <c r="B306" s="7">
        <f>-RETURNS!B306</f>
        <v>1.6964724244414083E-2</v>
      </c>
      <c r="C306" s="7">
        <f>-RETURNS!C306</f>
        <v>1.6660163954879622E-2</v>
      </c>
      <c r="D306" s="7">
        <f>-RETURNS!D306</f>
        <v>-4.3088950339944861E-3</v>
      </c>
      <c r="E306" s="7">
        <f>-RETURNS!E306</f>
        <v>6.7567807893541987E-3</v>
      </c>
      <c r="F306" s="7">
        <f>-RETURNS!F306</f>
        <v>-4.6021786163251352E-3</v>
      </c>
      <c r="G306" s="7">
        <f>-RETURNS!G306</f>
        <v>-2.4115067385865252E-3</v>
      </c>
      <c r="P306" s="4"/>
      <c r="Q306" s="4"/>
      <c r="R306" s="4"/>
      <c r="S306" s="4"/>
      <c r="T306" s="4"/>
    </row>
    <row r="307" spans="1:20" x14ac:dyDescent="0.3">
      <c r="A307" s="1">
        <v>41820</v>
      </c>
      <c r="B307" s="7">
        <f>-RETURNS!B307</f>
        <v>-9.28127374285969E-3</v>
      </c>
      <c r="C307" s="7">
        <f>-RETURNS!C307</f>
        <v>-4.2393393085037034E-3</v>
      </c>
      <c r="D307" s="7">
        <f>-RETURNS!D307</f>
        <v>-4.2888867012721389E-3</v>
      </c>
      <c r="E307" s="7">
        <f>-RETURNS!E307</f>
        <v>-2.1179352906832993E-2</v>
      </c>
      <c r="F307" s="7">
        <f>-RETURNS!F307</f>
        <v>-1.5317484492540374E-2</v>
      </c>
      <c r="G307" s="7">
        <f>-RETURNS!G307</f>
        <v>-8.8615258088694318E-3</v>
      </c>
      <c r="P307" s="4"/>
      <c r="Q307" s="4"/>
      <c r="R307" s="4"/>
      <c r="S307" s="4"/>
      <c r="T307" s="4"/>
    </row>
    <row r="308" spans="1:20" x14ac:dyDescent="0.3">
      <c r="A308" s="1">
        <v>41851</v>
      </c>
      <c r="B308" s="7">
        <f>-RETURNS!B308</f>
        <v>2.4471484118801012E-2</v>
      </c>
      <c r="C308" s="7">
        <f>-RETURNS!C308</f>
        <v>2.217665375560109E-2</v>
      </c>
      <c r="D308" s="7">
        <f>-RETURNS!D308</f>
        <v>1.453036181983991E-2</v>
      </c>
      <c r="E308" s="7">
        <f>-RETURNS!E308</f>
        <v>1.2612203823130773E-2</v>
      </c>
      <c r="F308" s="7">
        <f>-RETURNS!F308</f>
        <v>1.2450874876091573E-2</v>
      </c>
      <c r="G308" s="7">
        <f>-RETURNS!G308</f>
        <v>-6.1086343672456887E-3</v>
      </c>
      <c r="P308" s="4"/>
      <c r="Q308" s="4"/>
      <c r="R308" s="4"/>
      <c r="S308" s="4"/>
      <c r="T308" s="4"/>
    </row>
    <row r="309" spans="1:20" x14ac:dyDescent="0.3">
      <c r="A309" s="1">
        <v>41880</v>
      </c>
      <c r="B309" s="7">
        <f>-RETURNS!B309</f>
        <v>1.0475747383713605E-2</v>
      </c>
      <c r="C309" s="7">
        <f>-RETURNS!C309</f>
        <v>1.9361853385187939E-2</v>
      </c>
      <c r="D309" s="7">
        <f>-RETURNS!D309</f>
        <v>1.2714987021052686E-2</v>
      </c>
      <c r="E309" s="7">
        <f>-RETURNS!E309</f>
        <v>1.6812168356255503E-2</v>
      </c>
      <c r="F309" s="7">
        <f>-RETURNS!F309</f>
        <v>-6.8861568517098095E-3</v>
      </c>
      <c r="G309" s="7">
        <f>-RETURNS!G309</f>
        <v>-7.5784957725588079E-3</v>
      </c>
      <c r="P309" s="4"/>
      <c r="Q309" s="4"/>
      <c r="R309" s="4"/>
      <c r="S309" s="4"/>
      <c r="T309" s="4"/>
    </row>
    <row r="310" spans="1:20" x14ac:dyDescent="0.3">
      <c r="A310" s="1">
        <v>41912</v>
      </c>
      <c r="B310" s="7">
        <f>-RETURNS!B310</f>
        <v>3.8730111048393037E-2</v>
      </c>
      <c r="C310" s="7">
        <f>-RETURNS!C310</f>
        <v>3.8311460394588479E-2</v>
      </c>
      <c r="D310" s="7">
        <f>-RETURNS!D310</f>
        <v>5.0813171138038689E-2</v>
      </c>
      <c r="E310" s="7">
        <f>-RETURNS!E310</f>
        <v>2.2969526628645282E-2</v>
      </c>
      <c r="F310" s="7">
        <f>-RETURNS!F310</f>
        <v>6.1437383913635388E-2</v>
      </c>
      <c r="G310" s="7">
        <f>-RETURNS!G310</f>
        <v>2.5820392004919659E-3</v>
      </c>
      <c r="P310" s="4"/>
      <c r="Q310" s="4"/>
      <c r="R310" s="4"/>
      <c r="S310" s="4"/>
      <c r="T310" s="4"/>
    </row>
    <row r="311" spans="1:20" x14ac:dyDescent="0.3">
      <c r="A311" s="1">
        <v>41943</v>
      </c>
      <c r="B311" s="7">
        <f>-RETURNS!B311</f>
        <v>8.1832381697640975E-3</v>
      </c>
      <c r="C311" s="7">
        <f>-RETURNS!C311</f>
        <v>8.594555145888999E-3</v>
      </c>
      <c r="D311" s="7">
        <f>-RETURNS!D311</f>
        <v>2.4230342294736827E-2</v>
      </c>
      <c r="E311" s="7">
        <f>-RETURNS!E311</f>
        <v>1.3178189356267689E-2</v>
      </c>
      <c r="F311" s="7">
        <f>-RETURNS!F311</f>
        <v>-8.1137227446635221E-3</v>
      </c>
      <c r="G311" s="7">
        <f>-RETURNS!G311</f>
        <v>-1.1304657601977972E-2</v>
      </c>
      <c r="P311" s="4"/>
      <c r="Q311" s="4"/>
      <c r="R311" s="4"/>
      <c r="S311" s="4"/>
      <c r="T311" s="4"/>
    </row>
    <row r="312" spans="1:20" x14ac:dyDescent="0.3">
      <c r="A312" s="1">
        <v>41971</v>
      </c>
      <c r="B312" s="7">
        <f>-RETURNS!B312</f>
        <v>3.4904413161340165E-3</v>
      </c>
      <c r="C312" s="7">
        <f>-RETURNS!C312</f>
        <v>6.0180133291930418E-3</v>
      </c>
      <c r="D312" s="7">
        <f>-RETURNS!D312</f>
        <v>5.3129524763734379E-2</v>
      </c>
      <c r="E312" s="7">
        <f>-RETURNS!E312</f>
        <v>2.1640230003658296E-2</v>
      </c>
      <c r="F312" s="7">
        <f>-RETURNS!F312</f>
        <v>3.1175289388829509E-2</v>
      </c>
      <c r="G312" s="7">
        <f>-RETURNS!G312</f>
        <v>3.0071708823529255E-3</v>
      </c>
      <c r="P312" s="4"/>
      <c r="Q312" s="4"/>
      <c r="R312" s="4"/>
      <c r="S312" s="4"/>
      <c r="T312" s="4"/>
    </row>
    <row r="313" spans="1:20" x14ac:dyDescent="0.3">
      <c r="A313" s="1">
        <v>42004</v>
      </c>
      <c r="B313" s="7">
        <f>-RETURNS!B313</f>
        <v>2.9122045851168517E-2</v>
      </c>
      <c r="C313" s="7">
        <f>-RETURNS!C313</f>
        <v>2.8582853499727476E-2</v>
      </c>
      <c r="D313" s="7">
        <f>-RETURNS!D313</f>
        <v>9.5016991530249267E-3</v>
      </c>
      <c r="E313" s="7">
        <f>-RETURNS!E313</f>
        <v>4.1828539427697393E-3</v>
      </c>
      <c r="F313" s="7">
        <f>-RETURNS!F313</f>
        <v>3.6832468937110771E-2</v>
      </c>
      <c r="G313" s="7">
        <f>-RETURNS!G313</f>
        <v>6.1628241774491013E-3</v>
      </c>
      <c r="P313" s="4"/>
      <c r="Q313" s="4"/>
      <c r="R313" s="4"/>
      <c r="S313" s="4"/>
      <c r="T313" s="4"/>
    </row>
    <row r="314" spans="1:20" x14ac:dyDescent="0.3">
      <c r="A314" s="1">
        <v>42034</v>
      </c>
      <c r="B314" s="7">
        <f>-RETURNS!B314</f>
        <v>-7.9901443343800282E-2</v>
      </c>
      <c r="C314" s="7">
        <f>-RETURNS!C314</f>
        <v>6.7012174867253041E-2</v>
      </c>
      <c r="D314" s="7">
        <f>-RETURNS!D314</f>
        <v>-1.8044385791741575E-2</v>
      </c>
      <c r="E314" s="7">
        <f>-RETURNS!E314</f>
        <v>3.2957775058016101E-2</v>
      </c>
      <c r="F314" s="7">
        <f>-RETURNS!F314</f>
        <v>4.8348832504735574E-2</v>
      </c>
      <c r="G314" s="7">
        <f>-RETURNS!G314</f>
        <v>7.1642487562187497E-3</v>
      </c>
      <c r="P314" s="4"/>
      <c r="Q314" s="4"/>
      <c r="R314" s="4"/>
      <c r="S314" s="4"/>
      <c r="T314" s="4"/>
    </row>
    <row r="315" spans="1:20" x14ac:dyDescent="0.3">
      <c r="A315" s="1">
        <v>42062</v>
      </c>
      <c r="B315" s="7">
        <f>-RETURNS!B315</f>
        <v>3.6626436214172831E-2</v>
      </c>
      <c r="C315" s="7">
        <f>-RETURNS!C315</f>
        <v>8.6578630006960162E-3</v>
      </c>
      <c r="D315" s="7">
        <f>-RETURNS!D315</f>
        <v>1.7672108571697338E-2</v>
      </c>
      <c r="E315" s="7">
        <f>-RETURNS!E315</f>
        <v>-2.5287502888975667E-2</v>
      </c>
      <c r="F315" s="7">
        <f>-RETURNS!F315</f>
        <v>-7.750437212423981E-3</v>
      </c>
      <c r="G315" s="7">
        <f>-RETURNS!G315</f>
        <v>-2.8379685929648614E-3</v>
      </c>
      <c r="P315" s="4"/>
      <c r="Q315" s="4"/>
      <c r="R315" s="4"/>
      <c r="S315" s="4"/>
      <c r="T315" s="4"/>
    </row>
    <row r="316" spans="1:20" x14ac:dyDescent="0.3">
      <c r="A316" s="1">
        <v>42094</v>
      </c>
      <c r="B316" s="7">
        <f>-RETURNS!B316</f>
        <v>2.052942772834792E-2</v>
      </c>
      <c r="C316" s="7">
        <f>-RETURNS!C316</f>
        <v>4.1908362119533395E-2</v>
      </c>
      <c r="D316" s="7">
        <f>-RETURNS!D316</f>
        <v>4.7557160956938132E-3</v>
      </c>
      <c r="E316" s="7">
        <f>-RETURNS!E316</f>
        <v>3.9937386657475121E-2</v>
      </c>
      <c r="F316" s="7">
        <f>-RETURNS!F316</f>
        <v>2.3798676924458972E-2</v>
      </c>
      <c r="G316" s="7">
        <f>-RETURNS!G316</f>
        <v>-1.7315597169811191E-2</v>
      </c>
      <c r="P316" s="4"/>
      <c r="Q316" s="4"/>
      <c r="R316" s="4"/>
      <c r="S316" s="4"/>
      <c r="T316" s="4"/>
    </row>
    <row r="317" spans="1:20" x14ac:dyDescent="0.3">
      <c r="A317" s="1">
        <v>42124</v>
      </c>
      <c r="B317" s="7">
        <f>-RETURNS!B317</f>
        <v>-4.1356932452883494E-2</v>
      </c>
      <c r="C317" s="7">
        <f>-RETURNS!C317</f>
        <v>-4.5512975762430956E-2</v>
      </c>
      <c r="D317" s="7">
        <f>-RETURNS!D317</f>
        <v>-5.8854536869293542E-3</v>
      </c>
      <c r="E317" s="7">
        <f>-RETURNS!E317</f>
        <v>-3.6190738475744513E-2</v>
      </c>
      <c r="F317" s="7">
        <f>-RETURNS!F317</f>
        <v>-4.1080880329036756E-2</v>
      </c>
      <c r="G317" s="7">
        <f>-RETURNS!G317</f>
        <v>-3.834180000000042E-3</v>
      </c>
      <c r="P317" s="4"/>
      <c r="Q317" s="4"/>
      <c r="R317" s="4"/>
      <c r="S317" s="4"/>
      <c r="T317" s="4"/>
    </row>
    <row r="318" spans="1:20" x14ac:dyDescent="0.3">
      <c r="A318" s="1">
        <v>42153</v>
      </c>
      <c r="B318" s="7">
        <f>-RETURNS!B318</f>
        <v>9.1765943063796332E-3</v>
      </c>
      <c r="C318" s="7">
        <f>-RETURNS!C318</f>
        <v>2.1579402046614335E-2</v>
      </c>
      <c r="D318" s="7">
        <f>-RETURNS!D318</f>
        <v>3.871084083120465E-2</v>
      </c>
      <c r="E318" s="7">
        <f>-RETURNS!E318</f>
        <v>3.6904696748165278E-3</v>
      </c>
      <c r="F318" s="7">
        <f>-RETURNS!F318</f>
        <v>3.1247188462654531E-2</v>
      </c>
      <c r="G318" s="7">
        <f>-RETURNS!G318</f>
        <v>-3.3530724643080225E-3</v>
      </c>
      <c r="P318" s="4"/>
      <c r="Q318" s="4"/>
      <c r="R318" s="4"/>
      <c r="S318" s="4"/>
      <c r="T318" s="4"/>
    </row>
    <row r="319" spans="1:20" x14ac:dyDescent="0.3">
      <c r="A319" s="1">
        <v>42185</v>
      </c>
      <c r="B319" s="7">
        <f>-RETURNS!B319</f>
        <v>-4.0054673479550072E-3</v>
      </c>
      <c r="C319" s="7">
        <f>-RETURNS!C319</f>
        <v>-1.4263564762916937E-2</v>
      </c>
      <c r="D319" s="7">
        <f>-RETURNS!D319</f>
        <v>-1.2977631129050262E-2</v>
      </c>
      <c r="E319" s="7">
        <f>-RETURNS!E319</f>
        <v>-2.7752993906220245E-2</v>
      </c>
      <c r="F319" s="7">
        <f>-RETURNS!F319</f>
        <v>-9.7225261012029978E-3</v>
      </c>
      <c r="G319" s="7">
        <f>-RETURNS!G319</f>
        <v>-1.4739526054589266E-3</v>
      </c>
      <c r="P319" s="4"/>
      <c r="Q319" s="4"/>
      <c r="R319" s="4"/>
      <c r="S319" s="4"/>
      <c r="T319" s="4"/>
    </row>
    <row r="320" spans="1:20" x14ac:dyDescent="0.3">
      <c r="A320" s="1">
        <v>42216</v>
      </c>
      <c r="B320" s="7">
        <f>-RETURNS!B320</f>
        <v>3.2973698560071034E-2</v>
      </c>
      <c r="C320" s="7">
        <f>-RETURNS!C320</f>
        <v>1.502128411309317E-2</v>
      </c>
      <c r="D320" s="7">
        <f>-RETURNS!D320</f>
        <v>1.1397523624145537E-2</v>
      </c>
      <c r="E320" s="7">
        <f>-RETURNS!E320</f>
        <v>5.5160691720803016E-3</v>
      </c>
      <c r="F320" s="7">
        <f>-RETURNS!F320</f>
        <v>5.0064017990030185E-2</v>
      </c>
      <c r="G320" s="7">
        <f>-RETURNS!G320</f>
        <v>-4.8095142768619754E-5</v>
      </c>
      <c r="P320" s="4"/>
      <c r="Q320" s="4"/>
      <c r="R320" s="4"/>
      <c r="S320" s="4"/>
      <c r="T320" s="4"/>
    </row>
    <row r="321" spans="1:20" x14ac:dyDescent="0.3">
      <c r="A321" s="1">
        <v>42247</v>
      </c>
      <c r="B321" s="7">
        <f>-RETURNS!B321</f>
        <v>2.0563864284663795E-3</v>
      </c>
      <c r="C321" s="7">
        <f>-RETURNS!C321</f>
        <v>-2.0272582324375843E-2</v>
      </c>
      <c r="D321" s="7">
        <f>-RETURNS!D321</f>
        <v>-2.1509050679326135E-2</v>
      </c>
      <c r="E321" s="7">
        <f>-RETURNS!E321</f>
        <v>1.7512542801750769E-2</v>
      </c>
      <c r="F321" s="7">
        <f>-RETURNS!F321</f>
        <v>2.4883097014055663E-2</v>
      </c>
      <c r="G321" s="7">
        <f>-RETURNS!G321</f>
        <v>3.1594624467952907E-2</v>
      </c>
      <c r="P321" s="4"/>
      <c r="Q321" s="4"/>
      <c r="R321" s="4"/>
      <c r="S321" s="4"/>
      <c r="T321" s="4"/>
    </row>
    <row r="322" spans="1:20" x14ac:dyDescent="0.3">
      <c r="A322" s="1">
        <v>42277</v>
      </c>
      <c r="B322" s="7">
        <f>-RETURNS!B322</f>
        <v>7.048631563358468E-3</v>
      </c>
      <c r="C322" s="7">
        <f>-RETURNS!C322</f>
        <v>3.467402051910309E-3</v>
      </c>
      <c r="D322" s="7">
        <f>-RETURNS!D322</f>
        <v>-1.0751884629555087E-2</v>
      </c>
      <c r="E322" s="7">
        <f>-RETURNS!E322</f>
        <v>1.3974345604338386E-2</v>
      </c>
      <c r="F322" s="7">
        <f>-RETURNS!F322</f>
        <v>1.1841567986933482E-2</v>
      </c>
      <c r="G322" s="7">
        <f>-RETURNS!G322</f>
        <v>-1.658079793814448E-2</v>
      </c>
      <c r="P322" s="4"/>
      <c r="Q322" s="4"/>
      <c r="R322" s="4"/>
      <c r="S322" s="4"/>
      <c r="T322" s="4"/>
    </row>
    <row r="323" spans="1:20" x14ac:dyDescent="0.3">
      <c r="A323" s="1">
        <v>42307</v>
      </c>
      <c r="B323" s="7">
        <f>-RETURNS!B323</f>
        <v>1.5695421940549133E-2</v>
      </c>
      <c r="C323" s="7">
        <f>-RETURNS!C323</f>
        <v>1.5753664766020033E-2</v>
      </c>
      <c r="D323" s="7">
        <f>-RETURNS!D323</f>
        <v>6.4792749125150923E-3</v>
      </c>
      <c r="E323" s="7">
        <f>-RETURNS!E323</f>
        <v>-1.9973713926065877E-2</v>
      </c>
      <c r="F323" s="7">
        <f>-RETURNS!F323</f>
        <v>-1.8809001144697173E-2</v>
      </c>
      <c r="G323" s="7">
        <f>-RETURNS!G323</f>
        <v>-1.1107323155216288E-2</v>
      </c>
      <c r="P323" s="4"/>
      <c r="Q323" s="4"/>
      <c r="R323" s="4"/>
      <c r="S323" s="4"/>
      <c r="T323" s="4"/>
    </row>
    <row r="324" spans="1:20" x14ac:dyDescent="0.3">
      <c r="A324" s="1">
        <v>42338</v>
      </c>
      <c r="B324" s="7">
        <f>-RETURNS!B324</f>
        <v>4.0780912150439531E-2</v>
      </c>
      <c r="C324" s="7">
        <f>-RETURNS!C324</f>
        <v>4.0425645930233199E-2</v>
      </c>
      <c r="D324" s="7">
        <f>-RETURNS!D324</f>
        <v>2.0517997913424124E-2</v>
      </c>
      <c r="E324" s="7">
        <f>-RETURNS!E324</f>
        <v>2.3938023694915725E-2</v>
      </c>
      <c r="F324" s="7">
        <f>-RETURNS!F324</f>
        <v>-1.4038263212173569E-2</v>
      </c>
      <c r="G324" s="7">
        <f>-RETURNS!G324</f>
        <v>1.253308128950689E-2</v>
      </c>
      <c r="P324" s="4"/>
      <c r="Q324" s="4"/>
      <c r="R324" s="4"/>
      <c r="S324" s="4"/>
      <c r="T324" s="4"/>
    </row>
    <row r="325" spans="1:20" x14ac:dyDescent="0.3">
      <c r="A325" s="1">
        <v>42369</v>
      </c>
      <c r="B325" s="7">
        <f>-RETURNS!B325</f>
        <v>-2.378630274042599E-2</v>
      </c>
      <c r="C325" s="7">
        <f>-RETURNS!C325</f>
        <v>-2.6979242009520951E-2</v>
      </c>
      <c r="D325" s="7">
        <f>-RETURNS!D325</f>
        <v>-2.2424976694078697E-2</v>
      </c>
      <c r="E325" s="7">
        <f>-RETURNS!E325</f>
        <v>2.1426223466246966E-2</v>
      </c>
      <c r="F325" s="7">
        <f>-RETURNS!F325</f>
        <v>-9.8979983616533495E-3</v>
      </c>
      <c r="G325" s="7">
        <f>-RETURNS!G325</f>
        <v>1.814142652536932E-2</v>
      </c>
      <c r="P325" s="4"/>
      <c r="Q325" s="4"/>
      <c r="R325" s="4"/>
      <c r="S325" s="4"/>
      <c r="T325" s="4"/>
    </row>
    <row r="326" spans="1:20" x14ac:dyDescent="0.3">
      <c r="A326" s="1">
        <v>42398</v>
      </c>
      <c r="B326" s="7">
        <f>-RETURNS!B326</f>
        <v>2.1507542104340055E-2</v>
      </c>
      <c r="C326" s="7">
        <f>-RETURNS!C326</f>
        <v>3.6089392772739128E-3</v>
      </c>
      <c r="D326" s="7">
        <f>-RETURNS!D326</f>
        <v>7.8465912150073418E-3</v>
      </c>
      <c r="E326" s="7">
        <f>-RETURNS!E326</f>
        <v>3.3467641794042477E-2</v>
      </c>
      <c r="F326" s="7">
        <f>-RETURNS!F326</f>
        <v>2.6255634012874254E-2</v>
      </c>
      <c r="G326" s="7">
        <f>-RETURNS!G326</f>
        <v>-1.7967988830485972E-3</v>
      </c>
      <c r="P326" s="4"/>
      <c r="Q326" s="4"/>
      <c r="R326" s="4"/>
      <c r="S326" s="4"/>
      <c r="T326" s="4"/>
    </row>
    <row r="327" spans="1:20" x14ac:dyDescent="0.3">
      <c r="A327" s="1">
        <v>42429</v>
      </c>
      <c r="B327" s="7">
        <f>-RETURNS!B327</f>
        <v>-2.3412722667519266E-2</v>
      </c>
      <c r="C327" s="7">
        <f>-RETURNS!C327</f>
        <v>-3.1942042999046688E-3</v>
      </c>
      <c r="D327" s="7">
        <f>-RETURNS!D327</f>
        <v>-7.430091356279081E-2</v>
      </c>
      <c r="E327" s="7">
        <f>-RETURNS!E327</f>
        <v>2.2987900550740986E-2</v>
      </c>
      <c r="F327" s="7">
        <f>-RETURNS!F327</f>
        <v>-9.4427638460884734E-3</v>
      </c>
      <c r="G327" s="7">
        <f>-RETURNS!G327</f>
        <v>-1.0510762030323108E-2</v>
      </c>
      <c r="P327" s="4"/>
      <c r="Q327" s="4"/>
      <c r="R327" s="4"/>
      <c r="S327" s="4"/>
      <c r="T327" s="4"/>
    </row>
    <row r="328" spans="1:20" x14ac:dyDescent="0.3">
      <c r="A328" s="1">
        <v>42460</v>
      </c>
      <c r="B328" s="7">
        <f>-RETURNS!B328</f>
        <v>-3.6447035121267984E-2</v>
      </c>
      <c r="C328" s="7">
        <f>-RETURNS!C328</f>
        <v>-4.5617594307723892E-2</v>
      </c>
      <c r="D328" s="7">
        <f>-RETURNS!D328</f>
        <v>1.1838371703848768E-4</v>
      </c>
      <c r="E328" s="7">
        <f>-RETURNS!E328</f>
        <v>-3.1701841041760194E-2</v>
      </c>
      <c r="F328" s="7">
        <f>-RETURNS!F328</f>
        <v>-7.3861835480496171E-2</v>
      </c>
      <c r="G328" s="7">
        <f>-RETURNS!G328</f>
        <v>-1.6546067889908086E-2</v>
      </c>
      <c r="P328" s="4"/>
      <c r="Q328" s="4"/>
      <c r="R328" s="4"/>
      <c r="S328" s="4"/>
      <c r="T328" s="4"/>
    </row>
    <row r="329" spans="1:20" x14ac:dyDescent="0.3">
      <c r="A329" s="1">
        <v>42489</v>
      </c>
      <c r="B329" s="7">
        <f>-RETURNS!B329</f>
        <v>-1.2793093527747551E-3</v>
      </c>
      <c r="C329" s="7">
        <f>-RETURNS!C329</f>
        <v>-5.3432179060134786E-3</v>
      </c>
      <c r="D329" s="7">
        <f>-RETURNS!D329</f>
        <v>-5.7678042523696849E-2</v>
      </c>
      <c r="E329" s="7">
        <f>-RETURNS!E329</f>
        <v>-1.7460179301941114E-2</v>
      </c>
      <c r="F329" s="7">
        <f>-RETURNS!F329</f>
        <v>5.6888772641078608E-3</v>
      </c>
      <c r="G329" s="7">
        <f>-RETURNS!G329</f>
        <v>2.2297620555914864E-3</v>
      </c>
      <c r="P329" s="4"/>
      <c r="Q329" s="4"/>
      <c r="R329" s="4"/>
      <c r="S329" s="4"/>
      <c r="T329" s="4"/>
    </row>
    <row r="330" spans="1:20" x14ac:dyDescent="0.3">
      <c r="A330" s="1">
        <v>42521</v>
      </c>
      <c r="B330" s="7">
        <f>-RETURNS!B330</f>
        <v>3.6066017767076027E-2</v>
      </c>
      <c r="C330" s="7">
        <f>-RETURNS!C330</f>
        <v>2.8718758588797834E-2</v>
      </c>
      <c r="D330" s="7">
        <f>-RETURNS!D330</f>
        <v>4.0332266777541301E-2</v>
      </c>
      <c r="E330" s="7">
        <f>-RETURNS!E330</f>
        <v>8.9029706222500272E-3</v>
      </c>
      <c r="F330" s="7">
        <f>-RETURNS!F330</f>
        <v>4.7318030368877703E-2</v>
      </c>
      <c r="G330" s="7">
        <f>-RETURNS!G330</f>
        <v>1.4311852334630327E-2</v>
      </c>
      <c r="P330" s="4"/>
      <c r="Q330" s="4"/>
      <c r="R330" s="4"/>
      <c r="S330" s="4"/>
      <c r="T330" s="4"/>
    </row>
    <row r="331" spans="1:20" x14ac:dyDescent="0.3">
      <c r="A331" s="1">
        <v>42551</v>
      </c>
      <c r="B331" s="7">
        <f>-RETURNS!B331</f>
        <v>-1.6864385512871501E-2</v>
      </c>
      <c r="C331" s="7">
        <f>-RETURNS!C331</f>
        <v>3.4832325690320179E-3</v>
      </c>
      <c r="D331" s="7">
        <f>-RETURNS!D331</f>
        <v>-7.1927531504152112E-2</v>
      </c>
      <c r="E331" s="7">
        <f>-RETURNS!E331</f>
        <v>8.1138170974155058E-2</v>
      </c>
      <c r="F331" s="7">
        <f>-RETURNS!F331</f>
        <v>-3.1237457268210287E-2</v>
      </c>
      <c r="G331" s="7">
        <f>-RETURNS!G331</f>
        <v>1.0732707509881388E-2</v>
      </c>
      <c r="P331" s="4"/>
      <c r="Q331" s="4"/>
      <c r="R331" s="4"/>
      <c r="S331" s="4"/>
      <c r="T331" s="4"/>
    </row>
    <row r="332" spans="1:20" x14ac:dyDescent="0.3">
      <c r="A332" s="1">
        <v>42580</v>
      </c>
      <c r="B332" s="7">
        <f>-RETURNS!B332</f>
        <v>-4.7984832689117194E-3</v>
      </c>
      <c r="C332" s="7">
        <f>-RETURNS!C332</f>
        <v>-4.9826416994944306E-3</v>
      </c>
      <c r="D332" s="7">
        <f>-RETURNS!D332</f>
        <v>-9.9962471382583525E-3</v>
      </c>
      <c r="E332" s="7">
        <f>-RETURNS!E332</f>
        <v>6.3472106746699552E-3</v>
      </c>
      <c r="F332" s="7">
        <f>-RETURNS!F332</f>
        <v>-2.0622047371051777E-2</v>
      </c>
      <c r="G332" s="7">
        <f>-RETURNS!G332</f>
        <v>-7.1166600000000134E-3</v>
      </c>
      <c r="P332" s="4"/>
      <c r="Q332" s="4"/>
      <c r="R332" s="4"/>
      <c r="S332" s="4"/>
      <c r="T332" s="4"/>
    </row>
    <row r="333" spans="1:20" x14ac:dyDescent="0.3">
      <c r="A333" s="1">
        <v>42613</v>
      </c>
      <c r="B333" s="7">
        <f>-RETURNS!B333</f>
        <v>1.639013262413978E-2</v>
      </c>
      <c r="C333" s="7">
        <f>-RETURNS!C333</f>
        <v>2.6154751029295684E-3</v>
      </c>
      <c r="D333" s="7">
        <f>-RETURNS!D333</f>
        <v>1.4195700735149837E-2</v>
      </c>
      <c r="E333" s="7">
        <f>-RETURNS!E333</f>
        <v>7.4152982551572077E-3</v>
      </c>
      <c r="F333" s="7">
        <f>-RETURNS!F333</f>
        <v>9.3386013974955211E-3</v>
      </c>
      <c r="G333" s="7">
        <f>-RETURNS!G333</f>
        <v>8.8945578528828954E-3</v>
      </c>
      <c r="P333" s="4"/>
      <c r="Q333" s="4"/>
      <c r="R333" s="4"/>
      <c r="S333" s="4"/>
      <c r="T333" s="4"/>
    </row>
    <row r="334" spans="1:20" x14ac:dyDescent="0.3">
      <c r="A334" s="1">
        <v>42643</v>
      </c>
      <c r="B334" s="7">
        <f>-RETURNS!B334</f>
        <v>-1.0953166524990208E-2</v>
      </c>
      <c r="C334" s="7">
        <f>-RETURNS!C334</f>
        <v>-5.5409917936757496E-3</v>
      </c>
      <c r="D334" s="7">
        <f>-RETURNS!D334</f>
        <v>-1.9136563811273197E-2</v>
      </c>
      <c r="E334" s="7">
        <f>-RETURNS!E334</f>
        <v>1.33980724299066E-2</v>
      </c>
      <c r="F334" s="7">
        <f>-RETURNS!F334</f>
        <v>-2.0357897455628868E-2</v>
      </c>
      <c r="G334" s="7">
        <f>-RETURNS!G334</f>
        <v>-3.2430571285140234E-3</v>
      </c>
      <c r="P334" s="4"/>
      <c r="Q334" s="4"/>
      <c r="R334" s="4"/>
      <c r="S334" s="4"/>
      <c r="T334" s="4"/>
    </row>
    <row r="335" spans="1:20" x14ac:dyDescent="0.3">
      <c r="A335" s="1">
        <v>42674</v>
      </c>
      <c r="B335" s="7">
        <f>-RETURNS!B335</f>
        <v>1.9769468295289198E-2</v>
      </c>
      <c r="C335" s="7">
        <f>-RETURNS!C335</f>
        <v>2.3999601813879959E-2</v>
      </c>
      <c r="D335" s="7">
        <f>-RETURNS!D335</f>
        <v>3.4472273520064878E-2</v>
      </c>
      <c r="E335" s="7">
        <f>-RETURNS!E335</f>
        <v>5.6862515485266565E-2</v>
      </c>
      <c r="F335" s="7">
        <f>-RETURNS!F335</f>
        <v>6.4634066723247363E-3</v>
      </c>
      <c r="G335" s="7">
        <f>-RETURNS!G335</f>
        <v>1.2409808784235175E-2</v>
      </c>
      <c r="P335" s="4"/>
      <c r="Q335" s="4"/>
      <c r="R335" s="4"/>
      <c r="S335" s="4"/>
      <c r="T335" s="4"/>
    </row>
    <row r="336" spans="1:20" x14ac:dyDescent="0.3">
      <c r="A336" s="1">
        <v>42704</v>
      </c>
      <c r="B336" s="7">
        <f>-RETURNS!B336</f>
        <v>2.9266647305835624E-2</v>
      </c>
      <c r="C336" s="7">
        <f>-RETURNS!C336</f>
        <v>3.6855796692801757E-2</v>
      </c>
      <c r="D336" s="7">
        <f>-RETURNS!D336</f>
        <v>8.5172169559748462E-2</v>
      </c>
      <c r="E336" s="7">
        <f>-RETURNS!E336</f>
        <v>-2.0980471074805159E-2</v>
      </c>
      <c r="F336" s="7">
        <f>-RETURNS!F336</f>
        <v>2.8666504448931016E-2</v>
      </c>
      <c r="G336" s="7">
        <f>-RETURNS!G336</f>
        <v>1.7419716949152363E-2</v>
      </c>
      <c r="P336" s="4"/>
      <c r="Q336" s="4"/>
      <c r="R336" s="4"/>
      <c r="S336" s="4"/>
      <c r="T336" s="4"/>
    </row>
    <row r="337" spans="1:20" x14ac:dyDescent="0.3">
      <c r="A337" s="1">
        <v>42734</v>
      </c>
      <c r="B337" s="7">
        <f>-RETURNS!B337</f>
        <v>3.9301259960829917E-3</v>
      </c>
      <c r="C337" s="7">
        <f>-RETURNS!C337</f>
        <v>8.6111412236586204E-3</v>
      </c>
      <c r="D337" s="7">
        <f>-RETURNS!D337</f>
        <v>2.3647433884615539E-2</v>
      </c>
      <c r="E337" s="7">
        <f>-RETURNS!E337</f>
        <v>1.4340782488813507E-2</v>
      </c>
      <c r="F337" s="7">
        <f>-RETURNS!F337</f>
        <v>2.3176519375201668E-2</v>
      </c>
      <c r="G337" s="7">
        <f>-RETURNS!G337</f>
        <v>5.215655186722225E-3</v>
      </c>
      <c r="P337" s="4"/>
      <c r="Q337" s="4"/>
      <c r="R337" s="4"/>
      <c r="S337" s="4"/>
      <c r="T337" s="4"/>
    </row>
    <row r="338" spans="1:20" x14ac:dyDescent="0.3">
      <c r="A338" s="1">
        <v>42766</v>
      </c>
      <c r="B338" s="7">
        <f>-RETURNS!B338</f>
        <v>-2.7387365468262773E-2</v>
      </c>
      <c r="C338" s="7">
        <f>-RETURNS!C338</f>
        <v>-2.5015971377772277E-2</v>
      </c>
      <c r="D338" s="7">
        <f>-RETURNS!D338</f>
        <v>-3.5402009706036922E-2</v>
      </c>
      <c r="E338" s="7">
        <f>-RETURNS!E338</f>
        <v>-1.8481483700571798E-2</v>
      </c>
      <c r="F338" s="7">
        <f>-RETURNS!F338</f>
        <v>-5.316358678220675E-2</v>
      </c>
      <c r="G338" s="7">
        <f>-RETURNS!G338</f>
        <v>-3.3136707661785066E-2</v>
      </c>
      <c r="P338" s="4"/>
      <c r="Q338" s="4"/>
      <c r="R338" s="4"/>
      <c r="S338" s="4"/>
      <c r="T338" s="4"/>
    </row>
    <row r="339" spans="1:20" x14ac:dyDescent="0.3">
      <c r="A339" s="1">
        <v>42794</v>
      </c>
      <c r="B339" s="7">
        <f>-RETURNS!B339</f>
        <v>1.7687373085782172E-2</v>
      </c>
      <c r="C339" s="7">
        <f>-RETURNS!C339</f>
        <v>2.1561541891709404E-2</v>
      </c>
      <c r="D339" s="7">
        <f>-RETURNS!D339</f>
        <v>4.1980452453474129E-4</v>
      </c>
      <c r="E339" s="7">
        <f>-RETURNS!E339</f>
        <v>1.6300957874955849E-2</v>
      </c>
      <c r="F339" s="7">
        <f>-RETURNS!F339</f>
        <v>-1.0170305452175656E-2</v>
      </c>
      <c r="G339" s="7">
        <f>-RETURNS!G339</f>
        <v>-7.9208686006833459E-4</v>
      </c>
      <c r="P339" s="4"/>
      <c r="Q339" s="4"/>
      <c r="R339" s="4"/>
      <c r="S339" s="4"/>
      <c r="T339" s="4"/>
    </row>
    <row r="340" spans="1:20" x14ac:dyDescent="0.3">
      <c r="A340" s="1">
        <v>42825</v>
      </c>
      <c r="B340" s="7">
        <f>-RETURNS!B340</f>
        <v>-9.5961082512581496E-4</v>
      </c>
      <c r="C340" s="7">
        <f>-RETURNS!C340</f>
        <v>-5.6807935927974101E-3</v>
      </c>
      <c r="D340" s="7">
        <f>-RETURNS!D340</f>
        <v>-1.0880200354172408E-2</v>
      </c>
      <c r="E340" s="7">
        <f>-RETURNS!E340</f>
        <v>-1.2885027460886907E-2</v>
      </c>
      <c r="F340" s="7">
        <f>-RETURNS!F340</f>
        <v>2.9692670406131581E-3</v>
      </c>
      <c r="G340" s="7">
        <f>-RETURNS!G340</f>
        <v>2.1354133824542831E-4</v>
      </c>
      <c r="P340" s="4"/>
      <c r="Q340" s="4"/>
      <c r="R340" s="4"/>
      <c r="S340" s="4"/>
      <c r="T340" s="4"/>
    </row>
    <row r="341" spans="1:20" x14ac:dyDescent="0.3">
      <c r="A341" s="1">
        <v>42853</v>
      </c>
      <c r="B341" s="7">
        <f>-RETURNS!B341</f>
        <v>-6.403661119125467E-3</v>
      </c>
      <c r="C341" s="7">
        <f>-RETURNS!C341</f>
        <v>-2.1436573898287525E-2</v>
      </c>
      <c r="D341" s="7">
        <f>-RETURNS!D341</f>
        <v>2.4366602816309258E-3</v>
      </c>
      <c r="E341" s="7">
        <f>-RETURNS!E341</f>
        <v>-3.1224992734207355E-2</v>
      </c>
      <c r="F341" s="7">
        <f>-RETURNS!F341</f>
        <v>1.7958197649027539E-2</v>
      </c>
      <c r="G341" s="7">
        <f>-RETURNS!G341</f>
        <v>7.6842611683844647E-4</v>
      </c>
      <c r="P341" s="4"/>
      <c r="Q341" s="4"/>
      <c r="R341" s="4"/>
      <c r="S341" s="4"/>
      <c r="T341" s="4"/>
    </row>
    <row r="342" spans="1:20" x14ac:dyDescent="0.3">
      <c r="A342" s="1">
        <v>42886</v>
      </c>
      <c r="B342" s="7">
        <f>-RETURNS!B342</f>
        <v>-2.5850837093354607E-2</v>
      </c>
      <c r="C342" s="7">
        <f>-RETURNS!C342</f>
        <v>-3.040727846564267E-2</v>
      </c>
      <c r="D342" s="7">
        <f>-RETURNS!D342</f>
        <v>-5.7684562685701539E-3</v>
      </c>
      <c r="E342" s="7">
        <f>-RETURNS!E342</f>
        <v>5.5930568948890872E-3</v>
      </c>
      <c r="F342" s="7">
        <f>-RETURNS!F342</f>
        <v>7.19018788558245E-3</v>
      </c>
      <c r="G342" s="7">
        <f>-RETURNS!G342</f>
        <v>-2.5403465517241521E-2</v>
      </c>
      <c r="P342" s="4"/>
      <c r="Q342" s="4"/>
      <c r="R342" s="4"/>
      <c r="S342" s="4"/>
      <c r="T342" s="4"/>
    </row>
    <row r="343" spans="1:20" x14ac:dyDescent="0.3">
      <c r="A343" s="1">
        <v>42916</v>
      </c>
      <c r="B343" s="7">
        <f>-RETURNS!B343</f>
        <v>-7.7644596705217159E-3</v>
      </c>
      <c r="C343" s="7">
        <f>-RETURNS!C343</f>
        <v>-1.4491981553399735E-2</v>
      </c>
      <c r="D343" s="7">
        <f>-RETURNS!D343</f>
        <v>1.5451451534559197E-2</v>
      </c>
      <c r="E343" s="7">
        <f>-RETURNS!E343</f>
        <v>-9.4637712946479217E-3</v>
      </c>
      <c r="F343" s="7">
        <f>-RETURNS!F343</f>
        <v>-3.5371489512975564E-2</v>
      </c>
      <c r="G343" s="7">
        <f>-RETURNS!G343</f>
        <v>-2.1722781713900369E-3</v>
      </c>
      <c r="P343" s="4"/>
      <c r="Q343" s="4"/>
      <c r="R343" s="4"/>
      <c r="S343" s="4"/>
      <c r="T343" s="4"/>
    </row>
    <row r="344" spans="1:20" x14ac:dyDescent="0.3">
      <c r="A344" s="1">
        <v>42947</v>
      </c>
      <c r="B344" s="7">
        <f>-RETURNS!B344</f>
        <v>1.0951756726784946E-2</v>
      </c>
      <c r="C344" s="7">
        <f>-RETURNS!C344</f>
        <v>-3.4665939726908145E-2</v>
      </c>
      <c r="D344" s="7">
        <f>-RETURNS!D344</f>
        <v>-1.7586222715650125E-2</v>
      </c>
      <c r="E344" s="7">
        <f>-RETURNS!E344</f>
        <v>-1.3536055883685944E-2</v>
      </c>
      <c r="F344" s="7">
        <f>-RETURNS!F344</f>
        <v>-4.1262786467617184E-2</v>
      </c>
      <c r="G344" s="7">
        <f>-RETURNS!G344</f>
        <v>-1.0630035720338974E-2</v>
      </c>
      <c r="P344" s="4"/>
      <c r="Q344" s="4"/>
      <c r="R344" s="4"/>
      <c r="S344" s="4"/>
      <c r="T344" s="4"/>
    </row>
    <row r="345" spans="1:20" x14ac:dyDescent="0.3">
      <c r="A345" s="1">
        <v>42978</v>
      </c>
      <c r="B345" s="7">
        <f>-RETURNS!B345</f>
        <v>-6.4375944579384498E-3</v>
      </c>
      <c r="C345" s="7">
        <f>-RETURNS!C345</f>
        <v>-3.9729003183885435E-3</v>
      </c>
      <c r="D345" s="7">
        <f>-RETURNS!D345</f>
        <v>-1.101866314553428E-3</v>
      </c>
      <c r="E345" s="7">
        <f>-RETURNS!E345</f>
        <v>2.2652836158670323E-2</v>
      </c>
      <c r="F345" s="7">
        <f>-RETURNS!F345</f>
        <v>6.5889888508458751E-3</v>
      </c>
      <c r="G345" s="7">
        <f>-RETURNS!G345</f>
        <v>-2.101835373234702E-2</v>
      </c>
      <c r="P345" s="4"/>
      <c r="Q345" s="4"/>
      <c r="R345" s="4"/>
      <c r="S345" s="4"/>
      <c r="T345" s="4"/>
    </row>
    <row r="346" spans="1:20" x14ac:dyDescent="0.3">
      <c r="A346" s="1">
        <v>43007</v>
      </c>
      <c r="B346" s="7">
        <f>-RETURNS!B346</f>
        <v>1.1752130262703707E-2</v>
      </c>
      <c r="C346" s="7">
        <f>-RETURNS!C346</f>
        <v>9.661127061634224E-3</v>
      </c>
      <c r="D346" s="7">
        <f>-RETURNS!D346</f>
        <v>2.4043827498438468E-2</v>
      </c>
      <c r="E346" s="7">
        <f>-RETURNS!E346</f>
        <v>-3.510615284773954E-2</v>
      </c>
      <c r="F346" s="7">
        <f>-RETURNS!F346</f>
        <v>1.3877962048022094E-2</v>
      </c>
      <c r="G346" s="7">
        <f>-RETURNS!G346</f>
        <v>7.0120778891822151E-3</v>
      </c>
      <c r="P346" s="4"/>
      <c r="Q346" s="4"/>
      <c r="R346" s="4"/>
      <c r="S346" s="4"/>
      <c r="T346" s="4"/>
    </row>
    <row r="347" spans="1:20" x14ac:dyDescent="0.3">
      <c r="A347" s="1">
        <v>43039</v>
      </c>
      <c r="B347" s="7">
        <f>-RETURNS!B347</f>
        <v>3.1486858330209075E-2</v>
      </c>
      <c r="C347" s="7">
        <f>-RETURNS!C347</f>
        <v>1.5842352243255652E-2</v>
      </c>
      <c r="D347" s="7">
        <f>-RETURNS!D347</f>
        <v>1.1294380285810828E-2</v>
      </c>
      <c r="E347" s="7">
        <f>-RETURNS!E347</f>
        <v>9.5805909708765458E-3</v>
      </c>
      <c r="F347" s="7">
        <f>-RETURNS!F347</f>
        <v>2.235332426686076E-2</v>
      </c>
      <c r="G347" s="7">
        <f>-RETURNS!G347</f>
        <v>-5.2116799733867196E-3</v>
      </c>
      <c r="P347" s="4"/>
      <c r="Q347" s="4"/>
      <c r="R347" s="4"/>
      <c r="S347" s="4"/>
      <c r="T347" s="4"/>
    </row>
    <row r="348" spans="1:20" x14ac:dyDescent="0.3">
      <c r="A348" s="1">
        <v>43069</v>
      </c>
      <c r="B348" s="7">
        <f>-RETURNS!B348</f>
        <v>-1.2318305501197283E-2</v>
      </c>
      <c r="C348" s="7">
        <f>-RETURNS!C348</f>
        <v>-2.0460647457592056E-2</v>
      </c>
      <c r="D348" s="7">
        <f>-RETURNS!D348</f>
        <v>-8.452267672727054E-3</v>
      </c>
      <c r="E348" s="7">
        <f>-RETURNS!E348</f>
        <v>-1.7331875094963516E-2</v>
      </c>
      <c r="F348" s="7">
        <f>-RETURNS!F348</f>
        <v>1.1432677859802606E-2</v>
      </c>
      <c r="G348" s="7">
        <f>-RETURNS!G348</f>
        <v>-5.1766398673739073E-3</v>
      </c>
      <c r="P348" s="4"/>
      <c r="Q348" s="4"/>
      <c r="R348" s="4"/>
      <c r="S348" s="4"/>
      <c r="T348" s="4"/>
    </row>
    <row r="349" spans="1:20" x14ac:dyDescent="0.3">
      <c r="A349" s="1">
        <v>43098</v>
      </c>
      <c r="B349" s="7">
        <f>-RETURNS!B349</f>
        <v>-6.3058220049670901E-3</v>
      </c>
      <c r="C349" s="7">
        <f>-RETURNS!C349</f>
        <v>-6.2132937497432223E-3</v>
      </c>
      <c r="D349" s="7">
        <f>-RETURNS!D349</f>
        <v>3.2397134926402658E-3</v>
      </c>
      <c r="E349" s="7">
        <f>-RETURNS!E349</f>
        <v>2.2380053325221131E-3</v>
      </c>
      <c r="F349" s="7">
        <f>-RETURNS!F349</f>
        <v>-3.2283820547325821E-2</v>
      </c>
      <c r="G349" s="7">
        <f>-RETURNS!G349</f>
        <v>-1.668964771976221E-2</v>
      </c>
      <c r="P349" s="4"/>
      <c r="Q349" s="4"/>
      <c r="R349" s="4"/>
      <c r="S349" s="4"/>
      <c r="T349" s="4"/>
    </row>
    <row r="350" spans="1:20" x14ac:dyDescent="0.3">
      <c r="A350" s="1">
        <v>43131</v>
      </c>
      <c r="B350" s="7">
        <f>-RETURNS!B350</f>
        <v>-4.4125411003001658E-2</v>
      </c>
      <c r="C350" s="7">
        <f>-RETURNS!C350</f>
        <v>-3.2104657108294556E-2</v>
      </c>
      <c r="D350" s="7">
        <f>-RETURNS!D350</f>
        <v>-3.0561096593779803E-2</v>
      </c>
      <c r="E350" s="7">
        <f>-RETURNS!E350</f>
        <v>-4.9059867601562765E-2</v>
      </c>
      <c r="F350" s="7">
        <f>-RETURNS!F350</f>
        <v>-3.1482299610072755E-2</v>
      </c>
      <c r="G350" s="7">
        <f>-RETURNS!G350</f>
        <v>-3.5494961498371537E-2</v>
      </c>
      <c r="P350" s="4"/>
      <c r="Q350" s="4"/>
      <c r="R350" s="4"/>
      <c r="S350" s="4"/>
      <c r="T350" s="4"/>
    </row>
    <row r="351" spans="1:20" x14ac:dyDescent="0.3">
      <c r="A351" s="1">
        <v>43159</v>
      </c>
      <c r="B351" s="7">
        <f>-RETURNS!B351</f>
        <v>1.6129850077463235E-2</v>
      </c>
      <c r="C351" s="7">
        <f>-RETURNS!C351</f>
        <v>1.9453325527986662E-2</v>
      </c>
      <c r="D351" s="7">
        <f>-RETURNS!D351</f>
        <v>-2.1949966003755882E-2</v>
      </c>
      <c r="E351" s="7">
        <f>-RETURNS!E351</f>
        <v>3.1365865642843035E-2</v>
      </c>
      <c r="F351" s="7">
        <f>-RETURNS!F351</f>
        <v>3.627322560419162E-2</v>
      </c>
      <c r="G351" s="7">
        <f>-RETURNS!G351</f>
        <v>2.7913380592312778E-3</v>
      </c>
      <c r="P351" s="4"/>
      <c r="Q351" s="4"/>
      <c r="R351" s="4"/>
      <c r="S351" s="4"/>
      <c r="T351" s="4"/>
    </row>
    <row r="352" spans="1:20" x14ac:dyDescent="0.3">
      <c r="A352" s="1">
        <v>43189</v>
      </c>
      <c r="B352" s="7">
        <f>-RETURNS!B352</f>
        <v>1.2429943489109243E-2</v>
      </c>
      <c r="C352" s="7">
        <f>-RETURNS!C352</f>
        <v>-8.1393922041800501E-3</v>
      </c>
      <c r="D352" s="7">
        <f>-RETURNS!D352</f>
        <v>-1.4332310980372639E-3</v>
      </c>
      <c r="E352" s="7">
        <f>-RETURNS!E352</f>
        <v>-1.6966616791885755E-2</v>
      </c>
      <c r="F352" s="7">
        <f>-RETURNS!F352</f>
        <v>1.0724983091242908E-2</v>
      </c>
      <c r="G352" s="7">
        <f>-RETURNS!G352</f>
        <v>-1.2516193670886232E-2</v>
      </c>
      <c r="P352" s="4"/>
      <c r="Q352" s="4"/>
      <c r="R352" s="4"/>
      <c r="S352" s="4"/>
      <c r="T352" s="4"/>
    </row>
    <row r="353" spans="1:20" x14ac:dyDescent="0.3">
      <c r="A353" s="1">
        <v>43220</v>
      </c>
      <c r="B353" s="7">
        <f>-RETURNS!B353</f>
        <v>3.9740126570093265E-2</v>
      </c>
      <c r="C353" s="7">
        <f>-RETURNS!C353</f>
        <v>2.2048047415852139E-2</v>
      </c>
      <c r="D353" s="7">
        <f>-RETURNS!D353</f>
        <v>3.0049138688511039E-2</v>
      </c>
      <c r="E353" s="7">
        <f>-RETURNS!E353</f>
        <v>1.9230577373393558E-2</v>
      </c>
      <c r="F353" s="7">
        <f>-RETURNS!F353</f>
        <v>1.9411230020340998E-2</v>
      </c>
      <c r="G353" s="7">
        <f>-RETURNS!G353</f>
        <v>7.3259070695054287E-3</v>
      </c>
      <c r="P353" s="4"/>
      <c r="Q353" s="4"/>
      <c r="R353" s="4"/>
      <c r="S353" s="4"/>
      <c r="T353" s="4"/>
    </row>
    <row r="354" spans="1:20" x14ac:dyDescent="0.3">
      <c r="A354" s="1">
        <v>43251</v>
      </c>
      <c r="B354" s="7">
        <f>-RETURNS!B354</f>
        <v>-2.3068680857539648E-3</v>
      </c>
      <c r="C354" s="7">
        <f>-RETURNS!C354</f>
        <v>3.4080207772296332E-2</v>
      </c>
      <c r="D354" s="7">
        <f>-RETURNS!D354</f>
        <v>-2.7293112715942058E-3</v>
      </c>
      <c r="E354" s="7">
        <f>-RETURNS!E354</f>
        <v>3.5189675412210124E-2</v>
      </c>
      <c r="F354" s="7">
        <f>-RETURNS!F354</f>
        <v>-4.9904255008353304E-3</v>
      </c>
      <c r="G354" s="7">
        <f>-RETURNS!G354</f>
        <v>1.3023974605180002E-2</v>
      </c>
      <c r="P354" s="4"/>
      <c r="Q354" s="4"/>
      <c r="R354" s="4"/>
      <c r="S354" s="4"/>
      <c r="T354" s="4"/>
    </row>
    <row r="355" spans="1:20" x14ac:dyDescent="0.3">
      <c r="A355" s="1">
        <v>43280</v>
      </c>
      <c r="B355" s="7">
        <f>-RETURNS!B355</f>
        <v>7.5234051987381739E-3</v>
      </c>
      <c r="C355" s="7">
        <f>-RETURNS!C355</f>
        <v>3.2035012434361945E-3</v>
      </c>
      <c r="D355" s="7">
        <f>-RETURNS!D355</f>
        <v>1.9117837596517858E-2</v>
      </c>
      <c r="E355" s="7">
        <f>-RETURNS!E355</f>
        <v>8.43509630725231E-3</v>
      </c>
      <c r="F355" s="7">
        <f>-RETURNS!F355</f>
        <v>2.1721611431258878E-2</v>
      </c>
      <c r="G355" s="7">
        <f>-RETURNS!G355</f>
        <v>3.2655733974358961E-2</v>
      </c>
      <c r="P355" s="4"/>
      <c r="Q355" s="4"/>
      <c r="R355" s="4"/>
      <c r="S355" s="4"/>
      <c r="T355" s="4"/>
    </row>
    <row r="356" spans="1:20" x14ac:dyDescent="0.3">
      <c r="A356" s="1">
        <v>43312</v>
      </c>
      <c r="B356" s="7">
        <f>-RETURNS!B356</f>
        <v>2.4827537716324648E-3</v>
      </c>
      <c r="C356" s="7">
        <f>-RETURNS!C356</f>
        <v>1.6370385741626024E-3</v>
      </c>
      <c r="D356" s="7">
        <f>-RETURNS!D356</f>
        <v>1.2540512590103916E-2</v>
      </c>
      <c r="E356" s="7">
        <f>-RETURNS!E356</f>
        <v>7.6798202270298909E-3</v>
      </c>
      <c r="F356" s="7">
        <f>-RETURNS!F356</f>
        <v>-2.4548260692264668E-3</v>
      </c>
      <c r="G356" s="7">
        <f>-RETURNS!G356</f>
        <v>2.4238775252156605E-2</v>
      </c>
      <c r="P356" s="4"/>
      <c r="Q356" s="4"/>
      <c r="R356" s="4"/>
      <c r="S356" s="4"/>
      <c r="T356" s="4"/>
    </row>
    <row r="357" spans="1:20" x14ac:dyDescent="0.3">
      <c r="A357" s="1">
        <v>43343</v>
      </c>
      <c r="B357" s="7">
        <f>-RETURNS!B357</f>
        <v>-1.9493090568525169E-2</v>
      </c>
      <c r="C357" s="7">
        <f>-RETURNS!C357</f>
        <v>9.9635114978035393E-3</v>
      </c>
      <c r="D357" s="7">
        <f>-RETURNS!D357</f>
        <v>-5.2428877165791206E-3</v>
      </c>
      <c r="E357" s="7">
        <f>-RETURNS!E357</f>
        <v>1.3810458327023777E-2</v>
      </c>
      <c r="F357" s="7">
        <f>-RETURNS!F357</f>
        <v>3.1807983106133343E-2</v>
      </c>
      <c r="G357" s="7">
        <f>-RETURNS!G357</f>
        <v>3.8210711640571807E-3</v>
      </c>
      <c r="P357" s="4"/>
      <c r="Q357" s="4"/>
      <c r="R357" s="4"/>
      <c r="S357" s="4"/>
      <c r="T357" s="4"/>
    </row>
    <row r="358" spans="1:20" x14ac:dyDescent="0.3">
      <c r="A358" s="1">
        <v>43371</v>
      </c>
      <c r="B358" s="7">
        <f>-RETURNS!B358</f>
        <v>1.5604218694583866E-2</v>
      </c>
      <c r="C358" s="7">
        <f>-RETURNS!C358</f>
        <v>2.0493935669852431E-3</v>
      </c>
      <c r="D358" s="7">
        <f>-RETURNS!D358</f>
        <v>2.526495335102736E-2</v>
      </c>
      <c r="E358" s="7">
        <f>-RETURNS!E358</f>
        <v>-4.2548469110550392E-3</v>
      </c>
      <c r="F358" s="7">
        <f>-RETURNS!F358</f>
        <v>-4.9006992851350845E-3</v>
      </c>
      <c r="G358" s="7">
        <f>-RETURNS!G358</f>
        <v>5.4901729938483801E-3</v>
      </c>
      <c r="P358" s="4"/>
      <c r="Q358" s="4"/>
      <c r="R358" s="4"/>
      <c r="S358" s="4"/>
      <c r="T358" s="4"/>
    </row>
    <row r="359" spans="1:20" x14ac:dyDescent="0.3">
      <c r="A359" s="1">
        <v>43404</v>
      </c>
      <c r="B359" s="7">
        <f>-RETURNS!B359</f>
        <v>2.909431998719807E-2</v>
      </c>
      <c r="C359" s="7">
        <f>-RETURNS!C359</f>
        <v>2.7517004697354245E-2</v>
      </c>
      <c r="D359" s="7">
        <f>-RETURNS!D359</f>
        <v>-4.2359827810367285E-3</v>
      </c>
      <c r="E359" s="7">
        <f>-RETURNS!E359</f>
        <v>2.1673240701642525E-2</v>
      </c>
      <c r="F359" s="7">
        <f>-RETURNS!F359</f>
        <v>2.1112579665215819E-2</v>
      </c>
      <c r="G359" s="7">
        <f>-RETURNS!G359</f>
        <v>1.1711708184319158E-2</v>
      </c>
      <c r="P359" s="4"/>
      <c r="Q359" s="4"/>
      <c r="R359" s="4"/>
      <c r="S359" s="4"/>
      <c r="T359" s="4"/>
    </row>
    <row r="360" spans="1:20" x14ac:dyDescent="0.3">
      <c r="A360" s="1">
        <v>43434</v>
      </c>
      <c r="B360" s="7">
        <f>-RETURNS!B360</f>
        <v>-7.1479257724112212E-3</v>
      </c>
      <c r="C360" s="7">
        <f>-RETURNS!C360</f>
        <v>1.9402063674045153E-3</v>
      </c>
      <c r="D360" s="7">
        <f>-RETURNS!D360</f>
        <v>6.7998316637974772E-3</v>
      </c>
      <c r="E360" s="7">
        <f>-RETURNS!E360</f>
        <v>2.6512001589625556E-3</v>
      </c>
      <c r="F360" s="7">
        <f>-RETURNS!F360</f>
        <v>-3.2599094037750784E-2</v>
      </c>
      <c r="G360" s="7">
        <f>-RETURNS!G360</f>
        <v>-4.7458753486749614E-3</v>
      </c>
      <c r="P360" s="4"/>
      <c r="Q360" s="4"/>
      <c r="R360" s="4"/>
      <c r="S360" s="4"/>
      <c r="T360" s="4"/>
    </row>
    <row r="361" spans="1:20" x14ac:dyDescent="0.3">
      <c r="A361" s="1">
        <v>43465</v>
      </c>
      <c r="B361" s="7">
        <f>-RETURNS!B361</f>
        <v>-1.3455983642036644E-2</v>
      </c>
      <c r="C361" s="7">
        <f>-RETURNS!C361</f>
        <v>-9.9924693157648157E-3</v>
      </c>
      <c r="D361" s="7">
        <f>-RETURNS!D361</f>
        <v>-3.1880780569223742E-2</v>
      </c>
      <c r="E361" s="7">
        <f>-RETURNS!E361</f>
        <v>1.6086672328965935E-3</v>
      </c>
      <c r="F361" s="7">
        <f>-RETURNS!F361</f>
        <v>3.5690003543145013E-2</v>
      </c>
      <c r="G361" s="7">
        <f>-RETURNS!G361</f>
        <v>-1.2905759555246712E-2</v>
      </c>
      <c r="P361" s="4"/>
      <c r="Q361" s="4"/>
      <c r="R361" s="4"/>
      <c r="S361" s="4"/>
      <c r="T361" s="4"/>
    </row>
    <row r="362" spans="1:20" x14ac:dyDescent="0.3">
      <c r="A362" s="1">
        <v>43496</v>
      </c>
      <c r="B362" s="7">
        <f>-RETURNS!B362</f>
        <v>1.5617550520859662E-2</v>
      </c>
      <c r="C362" s="7">
        <f>-RETURNS!C362</f>
        <v>4.3026857212934968E-3</v>
      </c>
      <c r="D362" s="7">
        <f>-RETURNS!D362</f>
        <v>-4.4299961502795079E-3</v>
      </c>
      <c r="E362" s="7">
        <f>-RETURNS!E362</f>
        <v>-2.6216307828881916E-2</v>
      </c>
      <c r="F362" s="7">
        <f>-RETURNS!F362</f>
        <v>-3.1104684132924974E-2</v>
      </c>
      <c r="G362" s="7">
        <f>-RETURNS!G362</f>
        <v>-2.3463398351648269E-2</v>
      </c>
      <c r="P362" s="4"/>
      <c r="Q362" s="4"/>
      <c r="R362" s="4"/>
      <c r="S362" s="4"/>
      <c r="T362" s="4"/>
    </row>
    <row r="363" spans="1:20" x14ac:dyDescent="0.3">
      <c r="A363" s="1">
        <v>43524</v>
      </c>
      <c r="B363" s="7">
        <f>-RETURNS!B363</f>
        <v>6.3142895316696144E-3</v>
      </c>
      <c r="C363" s="7">
        <f>-RETURNS!C363</f>
        <v>9.0640443886324321E-3</v>
      </c>
      <c r="D363" s="7">
        <f>-RETURNS!D363</f>
        <v>2.4761960623557549E-2</v>
      </c>
      <c r="E363" s="7">
        <f>-RETURNS!E363</f>
        <v>-1.0301833671547996E-2</v>
      </c>
      <c r="F363" s="7">
        <f>-RETURNS!F363</f>
        <v>2.5016423814118078E-2</v>
      </c>
      <c r="G363" s="7">
        <f>-RETURNS!G363</f>
        <v>-8.3500187919455997E-4</v>
      </c>
      <c r="P363" s="4"/>
      <c r="Q363" s="4"/>
      <c r="R363" s="4"/>
      <c r="S363" s="4"/>
      <c r="T363" s="4"/>
    </row>
    <row r="364" spans="1:20" x14ac:dyDescent="0.3">
      <c r="A364" s="1">
        <v>43553</v>
      </c>
      <c r="B364" s="7">
        <f>-RETURNS!B364</f>
        <v>2.4916022155691079E-4</v>
      </c>
      <c r="C364" s="7">
        <f>-RETURNS!C364</f>
        <v>1.602878409647104E-2</v>
      </c>
      <c r="D364" s="7">
        <f>-RETURNS!D364</f>
        <v>-2.2996894087769604E-3</v>
      </c>
      <c r="E364" s="7">
        <f>-RETURNS!E364</f>
        <v>1.8766513854700583E-2</v>
      </c>
      <c r="F364" s="7">
        <f>-RETURNS!F364</f>
        <v>2.381056371861475E-4</v>
      </c>
      <c r="G364" s="7">
        <f>-RETURNS!G364</f>
        <v>3.380946434316359E-3</v>
      </c>
      <c r="P364" s="4"/>
      <c r="Q364" s="4"/>
      <c r="R364" s="4"/>
      <c r="S364" s="4"/>
      <c r="T364" s="4"/>
    </row>
    <row r="365" spans="1:20" x14ac:dyDescent="0.3">
      <c r="A365" s="1">
        <v>43585</v>
      </c>
      <c r="B365" s="7">
        <f>-RETURNS!B365</f>
        <v>2.6263168585239267E-2</v>
      </c>
      <c r="C365" s="7">
        <f>-RETURNS!C365</f>
        <v>2.79643798709811E-3</v>
      </c>
      <c r="D365" s="7">
        <f>-RETURNS!D365</f>
        <v>7.9049576029486968E-3</v>
      </c>
      <c r="E365" s="7">
        <f>-RETURNS!E365</f>
        <v>1.7388373535969545E-3</v>
      </c>
      <c r="F365" s="7">
        <f>-RETURNS!F365</f>
        <v>7.3449152482695157E-3</v>
      </c>
      <c r="G365" s="7">
        <f>-RETURNS!G365</f>
        <v>2.0026448688635233E-3</v>
      </c>
      <c r="P365" s="4"/>
      <c r="Q365" s="4"/>
      <c r="R365" s="4"/>
      <c r="S365" s="4"/>
      <c r="T365" s="4"/>
    </row>
    <row r="366" spans="1:20" x14ac:dyDescent="0.3">
      <c r="A366" s="1">
        <v>43616</v>
      </c>
      <c r="B366" s="7">
        <f>-RETURNS!B366</f>
        <v>-1.5373142453001906E-2</v>
      </c>
      <c r="C366" s="7">
        <f>-RETURNS!C366</f>
        <v>6.7673920196351257E-3</v>
      </c>
      <c r="D366" s="7">
        <f>-RETURNS!D366</f>
        <v>-2.6389247503677427E-2</v>
      </c>
      <c r="E366" s="7">
        <f>-RETURNS!E366</f>
        <v>3.2572633656115561E-2</v>
      </c>
      <c r="F366" s="7">
        <f>-RETURNS!F366</f>
        <v>1.6367876712814335E-2</v>
      </c>
      <c r="G366" s="7">
        <f>-RETURNS!G366</f>
        <v>2.8373986792452944E-2</v>
      </c>
      <c r="P366" s="4"/>
      <c r="Q366" s="4"/>
      <c r="R366" s="4"/>
      <c r="S366" s="4"/>
      <c r="T366" s="4"/>
    </row>
    <row r="367" spans="1:20" x14ac:dyDescent="0.3">
      <c r="A367" s="1">
        <v>43644</v>
      </c>
      <c r="B367" s="7">
        <f>-RETURNS!B367</f>
        <v>-2.2150049340912671E-2</v>
      </c>
      <c r="C367" s="7">
        <f>-RETURNS!C367</f>
        <v>-1.5582444077331755E-2</v>
      </c>
      <c r="D367" s="7">
        <f>-RETURNS!D367</f>
        <v>-1.1512089122902385E-3</v>
      </c>
      <c r="E367" s="7">
        <f>-RETURNS!E367</f>
        <v>-3.6823822752347943E-3</v>
      </c>
      <c r="F367" s="7">
        <f>-RETURNS!F367</f>
        <v>-1.0857356795207775E-2</v>
      </c>
      <c r="G367" s="7">
        <f>-RETURNS!G367</f>
        <v>-9.9416978640776733E-3</v>
      </c>
      <c r="P367" s="4"/>
      <c r="Q367" s="4"/>
      <c r="R367" s="4"/>
      <c r="S367" s="4"/>
      <c r="T367" s="4"/>
    </row>
    <row r="368" spans="1:20" x14ac:dyDescent="0.3">
      <c r="A368" s="1">
        <v>43677</v>
      </c>
      <c r="B368" s="7">
        <f>-RETURNS!B368</f>
        <v>2.0736531079851666E-2</v>
      </c>
      <c r="C368" s="7">
        <f>-RETURNS!C368</f>
        <v>2.8616181486350568E-2</v>
      </c>
      <c r="D368" s="7">
        <f>-RETURNS!D368</f>
        <v>1.057392615828032E-2</v>
      </c>
      <c r="E368" s="7">
        <f>-RETURNS!E368</f>
        <v>4.3783531276984276E-2</v>
      </c>
      <c r="F368" s="7">
        <f>-RETURNS!F368</f>
        <v>2.5986037947413207E-2</v>
      </c>
      <c r="G368" s="7">
        <f>-RETURNS!G368</f>
        <v>6.1234386813187299E-3</v>
      </c>
      <c r="P368" s="4"/>
      <c r="Q368" s="4"/>
      <c r="R368" s="4"/>
      <c r="S368" s="4"/>
      <c r="T368" s="4"/>
    </row>
    <row r="369" spans="1:20" x14ac:dyDescent="0.3">
      <c r="A369" s="1">
        <v>43707</v>
      </c>
      <c r="B369" s="7">
        <f>-RETURNS!B369</f>
        <v>-9.118742407018994E-4</v>
      </c>
      <c r="C369" s="7">
        <f>-RETURNS!C369</f>
        <v>1.1009298241664165E-2</v>
      </c>
      <c r="D369" s="7">
        <f>-RETURNS!D369</f>
        <v>-2.1360945202871771E-2</v>
      </c>
      <c r="E369" s="7">
        <f>-RETURNS!E369</f>
        <v>1.8057167069443002E-3</v>
      </c>
      <c r="F369" s="7">
        <f>-RETURNS!F369</f>
        <v>1.7494808759516096E-2</v>
      </c>
      <c r="G369" s="7">
        <f>-RETURNS!G369</f>
        <v>3.5154595176226593E-2</v>
      </c>
      <c r="P369" s="4"/>
      <c r="Q369" s="4"/>
      <c r="R369" s="4"/>
      <c r="S369" s="4"/>
      <c r="T369" s="4"/>
    </row>
    <row r="370" spans="1:20" x14ac:dyDescent="0.3">
      <c r="A370" s="1">
        <v>43738</v>
      </c>
      <c r="B370" s="7">
        <f>-RETURNS!B370</f>
        <v>1.0491337183859821E-2</v>
      </c>
      <c r="C370" s="7">
        <f>-RETURNS!C370</f>
        <v>9.9108838037444916E-3</v>
      </c>
      <c r="D370" s="7">
        <f>-RETURNS!D370</f>
        <v>1.8995704595207472E-2</v>
      </c>
      <c r="E370" s="7">
        <f>-RETURNS!E370</f>
        <v>-9.583194699462335E-3</v>
      </c>
      <c r="F370" s="7">
        <f>-RETURNS!F370</f>
        <v>-1.5966192033524209E-3</v>
      </c>
      <c r="G370" s="7">
        <f>-RETURNS!G370</f>
        <v>-3.9643295128940674E-3</v>
      </c>
      <c r="P370" s="4"/>
      <c r="Q370" s="4"/>
      <c r="R370" s="4"/>
      <c r="S370" s="4"/>
      <c r="T370" s="4"/>
    </row>
    <row r="371" spans="1:20" x14ac:dyDescent="0.3">
      <c r="A371" s="1">
        <v>43769</v>
      </c>
      <c r="B371" s="7">
        <f>-RETURNS!B371</f>
        <v>-8.6967830487976946E-3</v>
      </c>
      <c r="C371" s="7">
        <f>-RETURNS!C371</f>
        <v>-2.0678066312955948E-2</v>
      </c>
      <c r="D371" s="7">
        <f>-RETURNS!D371</f>
        <v>1.7829078704529836E-3</v>
      </c>
      <c r="E371" s="7">
        <f>-RETURNS!E371</f>
        <v>-5.1720565110864571E-2</v>
      </c>
      <c r="F371" s="7">
        <f>-RETURNS!F371</f>
        <v>-2.0169584326027966E-2</v>
      </c>
      <c r="G371" s="7">
        <f>-RETURNS!G371</f>
        <v>-1.4461283471428547E-2</v>
      </c>
      <c r="P371" s="4"/>
      <c r="Q371" s="4"/>
      <c r="R371" s="4"/>
      <c r="S371" s="4"/>
      <c r="T371" s="4"/>
    </row>
    <row r="372" spans="1:20" x14ac:dyDescent="0.3">
      <c r="A372" s="1">
        <v>43798</v>
      </c>
      <c r="B372" s="7">
        <f>-RETURNS!B372</f>
        <v>1.5773279116898579E-2</v>
      </c>
      <c r="C372" s="7">
        <f>-RETURNS!C372</f>
        <v>1.3928329468579142E-2</v>
      </c>
      <c r="D372" s="7">
        <f>-RETURNS!D372</f>
        <v>1.5083046845500551E-2</v>
      </c>
      <c r="E372" s="7">
        <f>-RETURNS!E372</f>
        <v>2.243312135346042E-3</v>
      </c>
      <c r="F372" s="7">
        <f>-RETURNS!F372</f>
        <v>1.9799669836411092E-2</v>
      </c>
      <c r="G372" s="7">
        <f>-RETURNS!G372</f>
        <v>-3.6015365398167163E-3</v>
      </c>
      <c r="P372" s="4"/>
      <c r="Q372" s="4"/>
      <c r="R372" s="4"/>
      <c r="S372" s="4"/>
      <c r="T372" s="4"/>
    </row>
    <row r="373" spans="1:20" x14ac:dyDescent="0.3">
      <c r="A373" s="1">
        <v>43830</v>
      </c>
      <c r="B373" s="7">
        <f>-RETURNS!B373</f>
        <v>-3.0370604834033338E-2</v>
      </c>
      <c r="C373" s="7">
        <f>-RETURNS!C373</f>
        <v>-1.5147084518939109E-2</v>
      </c>
      <c r="D373" s="7">
        <f>-RETURNS!D373</f>
        <v>-5.0161418977883072E-3</v>
      </c>
      <c r="E373" s="7">
        <f>-RETURNS!E373</f>
        <v>-2.4216694801658108E-2</v>
      </c>
      <c r="F373" s="7">
        <f>-RETURNS!F373</f>
        <v>-3.7233138867508613E-2</v>
      </c>
      <c r="G373" s="7">
        <f>-RETURNS!G373</f>
        <v>-1.0011588952916243E-2</v>
      </c>
      <c r="P373" s="4"/>
      <c r="Q373" s="4"/>
      <c r="R373" s="4"/>
      <c r="S373" s="4"/>
      <c r="T373" s="4"/>
    </row>
    <row r="374" spans="1:20" x14ac:dyDescent="0.3">
      <c r="A374" s="1">
        <v>43861</v>
      </c>
      <c r="B374" s="7">
        <f>-RETURNS!B374</f>
        <v>-2.3531638236717611E-3</v>
      </c>
      <c r="C374" s="7">
        <f>-RETURNS!C374</f>
        <v>1.2605677806636992E-2</v>
      </c>
      <c r="D374" s="7">
        <f>-RETURNS!D374</f>
        <v>-7.9884444236833765E-4</v>
      </c>
      <c r="E374" s="7">
        <f>-RETURNS!E374</f>
        <v>4.7374077351031016E-3</v>
      </c>
      <c r="F374" s="7">
        <f>-RETURNS!F374</f>
        <v>4.7600071728864858E-2</v>
      </c>
      <c r="G374" s="7">
        <f>-RETURNS!G374</f>
        <v>4.2530368105850791E-3</v>
      </c>
      <c r="P374" s="4"/>
      <c r="Q374" s="4"/>
      <c r="R374" s="4"/>
      <c r="S374" s="4"/>
      <c r="T374" s="4"/>
    </row>
    <row r="375" spans="1:20" x14ac:dyDescent="0.3">
      <c r="A375" s="1">
        <v>43889</v>
      </c>
      <c r="B375" s="7">
        <f>-RETURNS!B375</f>
        <v>4.0296596872831797E-3</v>
      </c>
      <c r="C375" s="7">
        <f>-RETURNS!C375</f>
        <v>7.7992057714302504E-3</v>
      </c>
      <c r="D375" s="7">
        <f>-RETURNS!D375</f>
        <v>-8.5224854789755675E-4</v>
      </c>
      <c r="E375" s="7">
        <f>-RETURNS!E375</f>
        <v>2.9752834017593592E-2</v>
      </c>
      <c r="F375" s="7">
        <f>-RETURNS!F375</f>
        <v>2.6952591756204961E-2</v>
      </c>
      <c r="G375" s="7">
        <f>-RETURNS!G375</f>
        <v>-4.0172102519244945E-3</v>
      </c>
      <c r="P375" s="4"/>
      <c r="Q375" s="4"/>
      <c r="R375" s="4"/>
      <c r="S375" s="4"/>
      <c r="T375" s="4"/>
    </row>
    <row r="376" spans="1:20" x14ac:dyDescent="0.3">
      <c r="A376" s="1">
        <v>43921</v>
      </c>
      <c r="B376" s="7">
        <f>-RETURNS!B376</f>
        <v>-2.1051078533448307E-3</v>
      </c>
      <c r="C376" s="7">
        <f>-RETURNS!C376</f>
        <v>1.461915516671851E-3</v>
      </c>
      <c r="D376" s="7">
        <f>-RETURNS!D376</f>
        <v>-3.5927905972973117E-3</v>
      </c>
      <c r="E376" s="7">
        <f>-RETURNS!E376</f>
        <v>3.2272391167654596E-2</v>
      </c>
      <c r="F376" s="7">
        <f>-RETURNS!F376</f>
        <v>5.960488373519849E-2</v>
      </c>
      <c r="G376" s="7">
        <f>-RETURNS!G376</f>
        <v>1.5235969242847277E-2</v>
      </c>
      <c r="P376" s="4"/>
      <c r="Q376" s="4"/>
      <c r="R376" s="4"/>
      <c r="S376" s="4"/>
      <c r="T376" s="4"/>
    </row>
    <row r="377" spans="1:20" x14ac:dyDescent="0.3">
      <c r="A377" s="1">
        <v>43951</v>
      </c>
      <c r="B377" s="7">
        <f>-RETURNS!B377</f>
        <v>6.2415733499421311E-3</v>
      </c>
      <c r="C377" s="7">
        <f>-RETURNS!C377</f>
        <v>8.116154080169179E-3</v>
      </c>
      <c r="D377" s="7">
        <f>-RETURNS!D377</f>
        <v>-1.6131692498225917E-3</v>
      </c>
      <c r="E377" s="7">
        <f>-RETURNS!E377</f>
        <v>-1.3295785980086593E-2</v>
      </c>
      <c r="F377" s="7">
        <f>-RETURNS!F377</f>
        <v>-6.1975189050174753E-2</v>
      </c>
      <c r="G377" s="7">
        <f>-RETURNS!G377</f>
        <v>-1.5031597163120657E-3</v>
      </c>
      <c r="P377" s="4"/>
      <c r="Q377" s="4"/>
      <c r="R377" s="4"/>
      <c r="S377" s="4"/>
      <c r="T377" s="4"/>
    </row>
    <row r="378" spans="1:20" x14ac:dyDescent="0.3">
      <c r="A378" s="1">
        <v>43980</v>
      </c>
      <c r="B378" s="7">
        <f>-RETURNS!B378</f>
        <v>-3.6045084476631771E-3</v>
      </c>
      <c r="C378" s="7">
        <f>-RETURNS!C378</f>
        <v>-1.2726360443370095E-2</v>
      </c>
      <c r="D378" s="7">
        <f>-RETURNS!D378</f>
        <v>6.1974292579591158E-3</v>
      </c>
      <c r="E378" s="7">
        <f>-RETURNS!E378</f>
        <v>2.0046064107073307E-2</v>
      </c>
      <c r="F378" s="7">
        <f>-RETURNS!F378</f>
        <v>-2.3693742524210384E-2</v>
      </c>
      <c r="G378" s="7">
        <f>-RETURNS!G378</f>
        <v>6.2549729745044105E-3</v>
      </c>
      <c r="P378" s="4"/>
      <c r="Q378" s="4"/>
      <c r="R378" s="4"/>
      <c r="S378" s="4"/>
      <c r="T378" s="4"/>
    </row>
    <row r="379" spans="1:20" x14ac:dyDescent="0.3">
      <c r="A379" s="1">
        <v>44012</v>
      </c>
      <c r="B379" s="7">
        <f>-RETURNS!B379</f>
        <v>-1.3939253222072718E-2</v>
      </c>
      <c r="C379" s="7">
        <f>-RETURNS!C379</f>
        <v>-1.1365938196304279E-2</v>
      </c>
      <c r="D379" s="7">
        <f>-RETURNS!D379</f>
        <v>1.5182546159028599E-3</v>
      </c>
      <c r="E379" s="7">
        <f>-RETURNS!E379</f>
        <v>-4.567171771994628E-3</v>
      </c>
      <c r="F379" s="7">
        <f>-RETURNS!F379</f>
        <v>-3.5374935317189625E-2</v>
      </c>
      <c r="G379" s="7">
        <f>-RETURNS!G379</f>
        <v>-1.0722621141226798E-2</v>
      </c>
      <c r="P379" s="4"/>
      <c r="Q379" s="4"/>
      <c r="R379" s="4"/>
      <c r="S379" s="4"/>
      <c r="T379" s="4"/>
    </row>
    <row r="380" spans="1:20" x14ac:dyDescent="0.3">
      <c r="A380" s="1">
        <v>44043</v>
      </c>
      <c r="B380" s="7">
        <f>-RETURNS!B380</f>
        <v>-3.62621197679424E-2</v>
      </c>
      <c r="C380" s="7">
        <f>-RETURNS!C380</f>
        <v>-4.7699783930822262E-2</v>
      </c>
      <c r="D380" s="7">
        <f>-RETURNS!D380</f>
        <v>-1.9243268031084684E-2</v>
      </c>
      <c r="E380" s="7">
        <f>-RETURNS!E380</f>
        <v>-5.4939065881085741E-2</v>
      </c>
      <c r="F380" s="7">
        <f>-RETURNS!F380</f>
        <v>-3.4589140797110222E-2</v>
      </c>
      <c r="G380" s="7">
        <f>-RETURNS!G380</f>
        <v>-1.3689745834512183E-2</v>
      </c>
      <c r="P380" s="4"/>
      <c r="Q380" s="4"/>
      <c r="R380" s="4"/>
      <c r="S380" s="4"/>
      <c r="T380" s="4"/>
    </row>
    <row r="381" spans="1:20" x14ac:dyDescent="0.3">
      <c r="A381" s="1">
        <v>44074</v>
      </c>
      <c r="B381" s="7">
        <f>-RETURNS!B381</f>
        <v>-9.700522847018004E-3</v>
      </c>
      <c r="C381" s="7">
        <f>-RETURNS!C381</f>
        <v>-1.2751024120715613E-2</v>
      </c>
      <c r="D381" s="7">
        <f>-RETURNS!D381</f>
        <v>8.6634795086275545E-4</v>
      </c>
      <c r="E381" s="7">
        <f>-RETURNS!E381</f>
        <v>-2.1612803398753658E-2</v>
      </c>
      <c r="F381" s="7">
        <f>-RETURNS!F381</f>
        <v>-3.2489256568540924E-2</v>
      </c>
      <c r="G381" s="7">
        <f>-RETURNS!G381</f>
        <v>-2.2273048567435321E-2</v>
      </c>
      <c r="P381" s="4"/>
      <c r="Q381" s="4"/>
      <c r="R381" s="4"/>
      <c r="S381" s="4"/>
      <c r="T381" s="4"/>
    </row>
    <row r="382" spans="1:20" x14ac:dyDescent="0.3">
      <c r="A382" s="1">
        <v>44104</v>
      </c>
      <c r="B382" s="7">
        <f>-RETURNS!B382</f>
        <v>1.9508785535788453E-2</v>
      </c>
      <c r="C382" s="7">
        <f>-RETURNS!C382</f>
        <v>1.8676213384549886E-2</v>
      </c>
      <c r="D382" s="7">
        <f>-RETURNS!D382</f>
        <v>-3.9259966600931782E-3</v>
      </c>
      <c r="E382" s="7">
        <f>-RETURNS!E382</f>
        <v>3.3866999678454066E-2</v>
      </c>
      <c r="F382" s="7">
        <f>-RETURNS!F382</f>
        <v>2.9114368483767392E-2</v>
      </c>
      <c r="G382" s="7">
        <f>-RETURNS!G382</f>
        <v>-1.2146431095890649E-2</v>
      </c>
      <c r="P382" s="4"/>
      <c r="Q382" s="4"/>
      <c r="R382" s="4"/>
      <c r="S382" s="4"/>
      <c r="T382" s="4"/>
    </row>
    <row r="383" spans="1:20" x14ac:dyDescent="0.3">
      <c r="A383" s="1">
        <v>44134</v>
      </c>
      <c r="B383" s="7">
        <f>-RETURNS!B383</f>
        <v>-3.4677236172206984E-3</v>
      </c>
      <c r="C383" s="7">
        <f>-RETURNS!C383</f>
        <v>6.9471917929687585E-3</v>
      </c>
      <c r="D383" s="7">
        <f>-RETURNS!D383</f>
        <v>-7.2504650082252957E-3</v>
      </c>
      <c r="E383" s="7">
        <f>-RETURNS!E383</f>
        <v>-1.9315835580139293E-3</v>
      </c>
      <c r="F383" s="7">
        <f>-RETURNS!F383</f>
        <v>1.8767399845303619E-2</v>
      </c>
      <c r="G383" s="7">
        <f>-RETURNS!G383</f>
        <v>-1.5174384979647123E-2</v>
      </c>
      <c r="P383" s="4"/>
      <c r="Q383" s="4"/>
      <c r="R383" s="4"/>
      <c r="S383" s="4"/>
      <c r="T383" s="4"/>
    </row>
    <row r="384" spans="1:20" x14ac:dyDescent="0.3">
      <c r="A384" s="1">
        <v>44165</v>
      </c>
      <c r="B384" s="7">
        <f>-RETURNS!B384</f>
        <v>-7.8373219937282902E-3</v>
      </c>
      <c r="C384" s="7">
        <f>-RETURNS!C384</f>
        <v>-2.3366598968482217E-2</v>
      </c>
      <c r="D384" s="7">
        <f>-RETURNS!D384</f>
        <v>-2.8973614729462739E-3</v>
      </c>
      <c r="E384" s="7">
        <f>-RETURNS!E384</f>
        <v>-2.8852346598833397E-2</v>
      </c>
      <c r="F384" s="7">
        <f>-RETURNS!F384</f>
        <v>-4.4802449253671994E-2</v>
      </c>
      <c r="G384" s="7">
        <f>-RETURNS!G384</f>
        <v>-1.9573556173543331E-2</v>
      </c>
      <c r="P384" s="4"/>
      <c r="Q384" s="4"/>
      <c r="R384" s="4"/>
      <c r="S384" s="4"/>
      <c r="T384" s="4"/>
    </row>
    <row r="385" spans="1:20" x14ac:dyDescent="0.3">
      <c r="A385" s="1">
        <v>44196</v>
      </c>
      <c r="B385" s="7">
        <f>-RETURNS!B385</f>
        <v>-2.582259005925833E-2</v>
      </c>
      <c r="C385" s="7">
        <f>-RETURNS!C385</f>
        <v>-2.3055599755458078E-2</v>
      </c>
      <c r="D385" s="7">
        <f>-RETURNS!D385</f>
        <v>-8.8750616370120924E-3</v>
      </c>
      <c r="E385" s="7">
        <f>-RETURNS!E385</f>
        <v>-2.5410989525355494E-2</v>
      </c>
      <c r="F385" s="7">
        <f>-RETURNS!F385</f>
        <v>-4.7261521373989583E-2</v>
      </c>
      <c r="G385" s="7">
        <f>-RETURNS!G385</f>
        <v>-1.4951957298090644E-2</v>
      </c>
      <c r="P385" s="4"/>
      <c r="Q385" s="4"/>
      <c r="R385" s="4"/>
      <c r="S385" s="4"/>
      <c r="T385" s="4"/>
    </row>
    <row r="386" spans="1:20" x14ac:dyDescent="0.3">
      <c r="A386" s="1">
        <v>44225</v>
      </c>
      <c r="B386" s="7">
        <f>-RETURNS!B386</f>
        <v>7.5907908335546359E-3</v>
      </c>
      <c r="C386" s="7">
        <f>-RETURNS!C386</f>
        <v>7.2915320397149543E-3</v>
      </c>
      <c r="D386" s="7">
        <f>-RETURNS!D386</f>
        <v>1.3804505480535247E-2</v>
      </c>
      <c r="E386" s="7">
        <f>-RETURNS!E386</f>
        <v>-2.5355930120900387E-3</v>
      </c>
      <c r="F386" s="7">
        <f>-RETURNS!F386</f>
        <v>6.7877301123665671E-3</v>
      </c>
      <c r="G386" s="7">
        <f>-RETURNS!G386</f>
        <v>-9.8250907022107668E-3</v>
      </c>
      <c r="P386" s="4"/>
      <c r="Q386" s="4"/>
      <c r="R386" s="4"/>
      <c r="S386" s="4"/>
      <c r="T386" s="4"/>
    </row>
    <row r="387" spans="1:20" x14ac:dyDescent="0.3">
      <c r="A387" s="1">
        <v>44253</v>
      </c>
      <c r="B387" s="7">
        <f>-RETURNS!B387</f>
        <v>2.0376588063851894E-2</v>
      </c>
      <c r="C387" s="7">
        <f>-RETURNS!C387</f>
        <v>5.6269573502491397E-3</v>
      </c>
      <c r="D387" s="7">
        <f>-RETURNS!D387</f>
        <v>1.7420460253744028E-2</v>
      </c>
      <c r="E387" s="7">
        <f>-RETURNS!E387</f>
        <v>-1.6276618635506487E-2</v>
      </c>
      <c r="F387" s="7">
        <f>-RETURNS!F387</f>
        <v>-7.9553391810265189E-3</v>
      </c>
      <c r="G387" s="7">
        <f>-RETURNS!G387</f>
        <v>2.3175083322580425E-3</v>
      </c>
      <c r="P387" s="4"/>
      <c r="Q387" s="4"/>
      <c r="R387" s="4"/>
      <c r="S387" s="4"/>
      <c r="T387" s="4"/>
    </row>
    <row r="388" spans="1:20" x14ac:dyDescent="0.3">
      <c r="A388" s="1">
        <v>44286</v>
      </c>
      <c r="B388" s="7">
        <f>-RETURNS!B388</f>
        <v>3.829681730874062E-2</v>
      </c>
      <c r="C388" s="7">
        <f>-RETURNS!C388</f>
        <v>2.9372045914922325E-2</v>
      </c>
      <c r="D388" s="7">
        <f>-RETURNS!D388</f>
        <v>3.7969976573255126E-2</v>
      </c>
      <c r="E388" s="7">
        <f>-RETURNS!E388</f>
        <v>1.0985856875309402E-2</v>
      </c>
      <c r="F388" s="7">
        <f>-RETURNS!F388</f>
        <v>1.4141707722469969E-2</v>
      </c>
      <c r="G388" s="7">
        <f>-RETURNS!G388</f>
        <v>9.8804562597536536E-3</v>
      </c>
      <c r="P388" s="4"/>
      <c r="Q388" s="4"/>
      <c r="R388" s="4"/>
      <c r="S388" s="4"/>
      <c r="T388" s="4"/>
    </row>
    <row r="389" spans="1:20" x14ac:dyDescent="0.3">
      <c r="A389" s="1">
        <v>44316</v>
      </c>
      <c r="B389" s="7">
        <f>-RETURNS!B389</f>
        <v>-3.2759718273147609E-2</v>
      </c>
      <c r="C389" s="7">
        <f>-RETURNS!C389</f>
        <v>-2.4086479928501329E-2</v>
      </c>
      <c r="D389" s="7">
        <f>-RETURNS!D389</f>
        <v>-1.2513896092116924E-2</v>
      </c>
      <c r="E389" s="7">
        <f>-RETURNS!E389</f>
        <v>-2.7291760674038605E-3</v>
      </c>
      <c r="F389" s="7">
        <f>-RETURNS!F389</f>
        <v>-1.5366030505722208E-2</v>
      </c>
      <c r="G389" s="7">
        <f>-RETURNS!G389</f>
        <v>-1.6114795059054967E-2</v>
      </c>
      <c r="P389" s="4"/>
      <c r="Q389" s="4"/>
      <c r="R389" s="4"/>
      <c r="S389" s="4"/>
      <c r="T389" s="4"/>
    </row>
    <row r="390" spans="1:20" x14ac:dyDescent="0.3">
      <c r="A390" s="1">
        <v>44347</v>
      </c>
      <c r="B390" s="7">
        <f>-RETURNS!B390</f>
        <v>-1.508239741233683E-2</v>
      </c>
      <c r="C390" s="7">
        <f>-RETURNS!C390</f>
        <v>-1.6606428557769153E-2</v>
      </c>
      <c r="D390" s="7">
        <f>-RETURNS!D390</f>
        <v>2.6321346452993994E-3</v>
      </c>
      <c r="E390" s="7">
        <f>-RETURNS!E390</f>
        <v>-2.8148197449017504E-2</v>
      </c>
      <c r="F390" s="7">
        <f>-RETURNS!F390</f>
        <v>-2.1964351662876387E-3</v>
      </c>
      <c r="G390" s="7">
        <f>-RETURNS!G390</f>
        <v>-1.7699200582524315E-2</v>
      </c>
      <c r="P390" s="4"/>
      <c r="Q390" s="4"/>
      <c r="R390" s="4"/>
      <c r="S390" s="4"/>
      <c r="T390" s="4"/>
    </row>
    <row r="391" spans="1:20" x14ac:dyDescent="0.3">
      <c r="A391" s="1">
        <v>44377</v>
      </c>
      <c r="B391" s="7">
        <f>-RETURNS!B391</f>
        <v>2.9065901741573162E-2</v>
      </c>
      <c r="C391" s="7">
        <f>-RETURNS!C391</f>
        <v>3.0738773555140344E-2</v>
      </c>
      <c r="D391" s="7">
        <f>-RETURNS!D391</f>
        <v>1.4038906114398625E-2</v>
      </c>
      <c r="E391" s="7">
        <f>-RETURNS!E391</f>
        <v>2.6847361173946722E-2</v>
      </c>
      <c r="F391" s="7">
        <f>-RETURNS!F391</f>
        <v>3.0649973885208622E-2</v>
      </c>
      <c r="G391" s="7">
        <f>-RETURNS!G391</f>
        <v>1.2799025883110359E-2</v>
      </c>
      <c r="P391" s="4"/>
      <c r="Q391" s="4"/>
      <c r="R391" s="4"/>
      <c r="S391" s="4"/>
      <c r="T391" s="4"/>
    </row>
    <row r="392" spans="1:20" x14ac:dyDescent="0.3">
      <c r="A392" s="1">
        <v>44407</v>
      </c>
      <c r="B392" s="7">
        <f>-RETURNS!B392</f>
        <v>-2.0904128434782707E-2</v>
      </c>
      <c r="C392" s="7">
        <f>-RETURNS!C392</f>
        <v>-3.7756457365543521E-4</v>
      </c>
      <c r="D392" s="7">
        <f>-RETURNS!D392</f>
        <v>-1.2741988900000003E-2</v>
      </c>
      <c r="E392" s="7">
        <f>-RETURNS!E392</f>
        <v>-5.1907867150563086E-3</v>
      </c>
      <c r="F392" s="7">
        <f>-RETURNS!F392</f>
        <v>2.0687705523566594E-2</v>
      </c>
      <c r="G392" s="7">
        <f>-RETURNS!G392</f>
        <v>-2.8841019304011368E-3</v>
      </c>
      <c r="P392" s="4"/>
      <c r="Q392" s="4"/>
      <c r="R392" s="4"/>
      <c r="S392" s="4"/>
      <c r="T392" s="4"/>
    </row>
    <row r="393" spans="1:20" x14ac:dyDescent="0.3">
      <c r="A393" s="1">
        <v>44439</v>
      </c>
      <c r="B393" s="7">
        <f>-RETURNS!B393</f>
        <v>1.1546574130285195E-2</v>
      </c>
      <c r="C393" s="7">
        <f>-RETURNS!C393</f>
        <v>5.7287000801546778E-3</v>
      </c>
      <c r="D393" s="7">
        <f>-RETURNS!D393</f>
        <v>3.0781811901173209E-3</v>
      </c>
      <c r="E393" s="7">
        <f>-RETURNS!E393</f>
        <v>1.0785352287707307E-2</v>
      </c>
      <c r="F393" s="7">
        <f>-RETURNS!F393</f>
        <v>3.9740292626875614E-3</v>
      </c>
      <c r="G393" s="7">
        <f>-RETURNS!G393</f>
        <v>-3.7258391222366812E-3</v>
      </c>
      <c r="P393" s="4"/>
      <c r="Q393" s="4"/>
      <c r="R393" s="4"/>
      <c r="S393" s="4"/>
      <c r="T393" s="4"/>
    </row>
    <row r="394" spans="1:20" x14ac:dyDescent="0.3">
      <c r="A394" s="1">
        <v>44469</v>
      </c>
      <c r="B394" s="7">
        <f>-RETURNS!B394</f>
        <v>1.8247716415339767E-2</v>
      </c>
      <c r="C394" s="7">
        <f>-RETURNS!C394</f>
        <v>2.0011069305020331E-2</v>
      </c>
      <c r="D394" s="7">
        <f>-RETURNS!D394</f>
        <v>1.1712191701143923E-2</v>
      </c>
      <c r="E394" s="7">
        <f>-RETURNS!E394</f>
        <v>2.0512250139391952E-2</v>
      </c>
      <c r="F394" s="7">
        <f>-RETURNS!F394</f>
        <v>1.2355464570114242E-2</v>
      </c>
      <c r="G394" s="7">
        <f>-RETURNS!G394</f>
        <v>-4.3466255842477281E-3</v>
      </c>
      <c r="P394" s="4"/>
      <c r="Q394" s="4"/>
      <c r="R394" s="4"/>
      <c r="S394" s="4"/>
      <c r="T394" s="4"/>
    </row>
    <row r="395" spans="1:20" x14ac:dyDescent="0.3">
      <c r="A395" s="1">
        <v>44498</v>
      </c>
      <c r="B395" s="7">
        <f>-RETURNS!B395</f>
        <v>-1.6844559007172986E-2</v>
      </c>
      <c r="C395" s="7">
        <f>-RETURNS!C395</f>
        <v>2.4795606698351509E-3</v>
      </c>
      <c r="D395" s="7">
        <f>-RETURNS!D395</f>
        <v>2.4350329650272597E-2</v>
      </c>
      <c r="E395" s="7">
        <f>-RETURNS!E395</f>
        <v>-1.5394936829106179E-2</v>
      </c>
      <c r="F395" s="7">
        <f>-RETURNS!F395</f>
        <v>-4.0127504856142027E-2</v>
      </c>
      <c r="G395" s="7">
        <f>-RETURNS!G395</f>
        <v>-8.9606632559639052E-3</v>
      </c>
      <c r="P395" s="4"/>
      <c r="Q395" s="4"/>
      <c r="R395" s="4"/>
      <c r="S395" s="4"/>
      <c r="T395" s="4"/>
    </row>
    <row r="396" spans="1:20" x14ac:dyDescent="0.3">
      <c r="A396" s="1">
        <v>44530</v>
      </c>
      <c r="B396" s="7">
        <f>-RETURNS!B396</f>
        <v>4.0707217552544712E-3</v>
      </c>
      <c r="C396" s="7">
        <f>-RETURNS!C396</f>
        <v>1.9606147652260306E-2</v>
      </c>
      <c r="D396" s="7">
        <f>-RETURNS!D396</f>
        <v>-7.5495480152793235E-3</v>
      </c>
      <c r="E396" s="7">
        <f>-RETURNS!E396</f>
        <v>2.8008612637422849E-2</v>
      </c>
      <c r="F396" s="7">
        <f>-RETURNS!F396</f>
        <v>5.2121985928792851E-2</v>
      </c>
      <c r="G396" s="7">
        <f>-RETURNS!G396</f>
        <v>-8.7155199039077938E-3</v>
      </c>
      <c r="P396" s="4"/>
      <c r="Q396" s="4"/>
      <c r="R396" s="4"/>
      <c r="S396" s="4"/>
      <c r="T396" s="4"/>
    </row>
    <row r="397" spans="1:20" x14ac:dyDescent="0.3">
      <c r="A397" s="1">
        <v>44561</v>
      </c>
      <c r="B397" s="7">
        <f>-RETURNS!B397</f>
        <v>-5.2760437814842378E-3</v>
      </c>
      <c r="C397" s="7">
        <f>-RETURNS!C397</f>
        <v>-1.3756805743687136E-3</v>
      </c>
      <c r="D397" s="7">
        <f>-RETURNS!D397</f>
        <v>1.7828920619325575E-2</v>
      </c>
      <c r="E397" s="7">
        <f>-RETURNS!E397</f>
        <v>-1.6653218475260516E-2</v>
      </c>
      <c r="F397" s="7">
        <f>-RETURNS!F397</f>
        <v>-1.8552149785925856E-2</v>
      </c>
      <c r="G397" s="7">
        <f>-RETURNS!G397</f>
        <v>-2.5566454000000255E-3</v>
      </c>
      <c r="P397" s="4"/>
      <c r="Q397" s="4"/>
      <c r="R397" s="4"/>
      <c r="S397" s="4"/>
      <c r="T397" s="4"/>
    </row>
    <row r="398" spans="1:20" x14ac:dyDescent="0.3">
      <c r="A398" s="1">
        <v>44592</v>
      </c>
      <c r="B398" s="7">
        <f>-RETURNS!B398</f>
        <v>1.6654067073015835E-2</v>
      </c>
      <c r="C398" s="7">
        <f>-RETURNS!C398</f>
        <v>1.2482189960279659E-2</v>
      </c>
      <c r="D398" s="7">
        <f>-RETURNS!D398</f>
        <v>4.7167207793247896E-4</v>
      </c>
      <c r="E398" s="7">
        <f>-RETURNS!E398</f>
        <v>6.2138425018549671E-3</v>
      </c>
      <c r="F398" s="7">
        <f>-RETURNS!F398</f>
        <v>2.709325697293417E-2</v>
      </c>
      <c r="G398" s="7">
        <f>-RETURNS!G398</f>
        <v>-1.452975762571589E-3</v>
      </c>
      <c r="P398" s="4"/>
      <c r="Q398" s="4"/>
      <c r="R398" s="4"/>
      <c r="S398" s="4"/>
      <c r="T398" s="4"/>
    </row>
    <row r="399" spans="1:20" x14ac:dyDescent="0.3">
      <c r="A399" s="1">
        <v>44620</v>
      </c>
      <c r="B399" s="7">
        <f>-RETURNS!B399</f>
        <v>-1.0213920947423046E-2</v>
      </c>
      <c r="C399" s="7">
        <f>-RETURNS!C399</f>
        <v>1.9810928836332363E-3</v>
      </c>
      <c r="D399" s="7">
        <f>-RETURNS!D399</f>
        <v>-1.1694857734023351E-3</v>
      </c>
      <c r="E399" s="7">
        <f>-RETURNS!E399</f>
        <v>1.8223065193944299E-3</v>
      </c>
      <c r="F399" s="7">
        <f>-RETURNS!F399</f>
        <v>-2.763275181459306E-2</v>
      </c>
      <c r="G399" s="7">
        <f>-RETURNS!G399</f>
        <v>-1.0968952652229424E-2</v>
      </c>
      <c r="P399" s="4"/>
      <c r="Q399" s="4"/>
      <c r="R399" s="4"/>
      <c r="S399" s="4"/>
      <c r="T399" s="4"/>
    </row>
    <row r="400" spans="1:20" x14ac:dyDescent="0.3">
      <c r="A400" s="1">
        <v>44651</v>
      </c>
      <c r="B400" s="7">
        <f>-RETURNS!B400</f>
        <v>7.6500282987344995E-3</v>
      </c>
      <c r="C400" s="7">
        <f>-RETURNS!C400</f>
        <v>1.489277045052151E-2</v>
      </c>
      <c r="D400" s="7">
        <f>-RETURNS!D400</f>
        <v>5.5907146025974373E-2</v>
      </c>
      <c r="E400" s="7">
        <f>-RETURNS!E400</f>
        <v>2.1312415729918596E-2</v>
      </c>
      <c r="F400" s="7">
        <f>-RETURNS!F400</f>
        <v>-2.9595716485503583E-2</v>
      </c>
      <c r="G400" s="7">
        <f>-RETURNS!G400</f>
        <v>3.9047539131313769E-3</v>
      </c>
      <c r="P400" s="4"/>
      <c r="Q400" s="4"/>
      <c r="R400" s="4"/>
      <c r="S400" s="4"/>
      <c r="T400" s="4"/>
    </row>
    <row r="401" spans="1:20" x14ac:dyDescent="0.3">
      <c r="A401" s="1">
        <v>44680</v>
      </c>
      <c r="B401" s="7">
        <f>-RETURNS!B401</f>
        <v>5.3271530809853439E-2</v>
      </c>
      <c r="C401" s="7">
        <f>-RETURNS!C401</f>
        <v>4.8010255669507444E-2</v>
      </c>
      <c r="D401" s="7">
        <f>-RETURNS!D401</f>
        <v>6.2736043125495952E-2</v>
      </c>
      <c r="E401" s="7">
        <f>-RETURNS!E401</f>
        <v>4.2746754976970745E-2</v>
      </c>
      <c r="F401" s="7">
        <f>-RETURNS!F401</f>
        <v>5.6601252698860689E-2</v>
      </c>
      <c r="G401" s="7">
        <f>-RETURNS!G401</f>
        <v>4.13208884368488E-2</v>
      </c>
      <c r="P401" s="4"/>
      <c r="Q401" s="4"/>
      <c r="R401" s="4"/>
      <c r="S401" s="4"/>
      <c r="T401" s="4"/>
    </row>
    <row r="402" spans="1:20" x14ac:dyDescent="0.3">
      <c r="A402" s="1">
        <v>44712</v>
      </c>
      <c r="B402" s="7">
        <f>-RETURNS!B402</f>
        <v>-1.3038174913395676E-2</v>
      </c>
      <c r="C402" s="7">
        <f>-RETURNS!C402</f>
        <v>-1.6594720223358964E-2</v>
      </c>
      <c r="D402" s="7">
        <f>-RETURNS!D402</f>
        <v>-7.3129877142486532E-3</v>
      </c>
      <c r="E402" s="7">
        <f>-RETURNS!E402</f>
        <v>-2.2467442091658059E-3</v>
      </c>
      <c r="F402" s="7">
        <f>-RETURNS!F402</f>
        <v>-1.5859984854811458E-2</v>
      </c>
      <c r="G402" s="7">
        <f>-RETURNS!G402</f>
        <v>3.7620326175300698E-3</v>
      </c>
      <c r="P402" s="4"/>
      <c r="Q402" s="4"/>
      <c r="R402" s="4"/>
      <c r="S402" s="4"/>
      <c r="T402" s="4"/>
    </row>
    <row r="403" spans="1:20" x14ac:dyDescent="0.3">
      <c r="A403" s="1">
        <v>44742</v>
      </c>
      <c r="B403" s="7">
        <f>-RETURNS!B403</f>
        <v>-3.1126769109299014E-3</v>
      </c>
      <c r="C403" s="7">
        <f>-RETURNS!C403</f>
        <v>2.4922874598794418E-2</v>
      </c>
      <c r="D403" s="7">
        <f>-RETURNS!D403</f>
        <v>5.3080970166151827E-2</v>
      </c>
      <c r="E403" s="7">
        <f>-RETURNS!E403</f>
        <v>3.3797260865218698E-2</v>
      </c>
      <c r="F403" s="7">
        <f>-RETURNS!F403</f>
        <v>3.8678464893590309E-2</v>
      </c>
      <c r="G403" s="7">
        <f>-RETURNS!G403</f>
        <v>9.2982201603201921E-4</v>
      </c>
      <c r="P403" s="4"/>
      <c r="Q403" s="4"/>
      <c r="R403" s="4"/>
      <c r="S403" s="4"/>
      <c r="T403" s="4"/>
    </row>
    <row r="404" spans="1:20" x14ac:dyDescent="0.3">
      <c r="A404" s="1">
        <v>44771</v>
      </c>
      <c r="B404" s="7">
        <f>-RETURNS!B404</f>
        <v>-6.6223654889256288E-4</v>
      </c>
      <c r="C404" s="7">
        <f>-RETURNS!C404</f>
        <v>2.7163276651157024E-2</v>
      </c>
      <c r="D404" s="7">
        <f>-RETURNS!D404</f>
        <v>-1.6582702235604565E-2</v>
      </c>
      <c r="E404" s="7">
        <f>-RETURNS!E404</f>
        <v>1.1137036432141887E-3</v>
      </c>
      <c r="F404" s="7">
        <f>-RETURNS!F404</f>
        <v>-1.1631224573442124E-2</v>
      </c>
      <c r="G404" s="7">
        <f>-RETURNS!G404</f>
        <v>8.2993810568941836E-3</v>
      </c>
      <c r="P404" s="4"/>
      <c r="Q404" s="4"/>
      <c r="R404" s="4"/>
      <c r="S404" s="4"/>
      <c r="T404" s="4"/>
    </row>
    <row r="405" spans="1:20" x14ac:dyDescent="0.3">
      <c r="A405" s="1">
        <v>44804</v>
      </c>
      <c r="B405" s="7">
        <f>-RETURNS!B405</f>
        <v>2.8074641760739351E-2</v>
      </c>
      <c r="C405" s="7">
        <f>-RETURNS!C405</f>
        <v>1.8341412928328426E-2</v>
      </c>
      <c r="D405" s="7">
        <f>-RETURNS!D405</f>
        <v>4.3052019746714541E-2</v>
      </c>
      <c r="E405" s="7">
        <f>-RETURNS!E405</f>
        <v>4.5775202963663789E-2</v>
      </c>
      <c r="F405" s="7">
        <f>-RETURNS!F405</f>
        <v>2.1019044484825909E-2</v>
      </c>
      <c r="G405" s="7">
        <f>-RETURNS!G405</f>
        <v>2.2839721728561736E-2</v>
      </c>
      <c r="P405" s="4"/>
      <c r="Q405" s="4"/>
      <c r="R405" s="4"/>
      <c r="S405" s="4"/>
      <c r="T405" s="4"/>
    </row>
    <row r="406" spans="1:20" x14ac:dyDescent="0.3">
      <c r="A406" s="1">
        <v>44834</v>
      </c>
      <c r="B406" s="7">
        <f>-RETURNS!B406</f>
        <v>1.2124055854838714E-2</v>
      </c>
      <c r="C406" s="7">
        <f>-RETURNS!C406</f>
        <v>2.7045591480246624E-2</v>
      </c>
      <c r="D406" s="7">
        <f>-RETURNS!D406</f>
        <v>4.2232328482490297E-2</v>
      </c>
      <c r="E406" s="7">
        <f>-RETURNS!E406</f>
        <v>3.9455421960267661E-2</v>
      </c>
      <c r="F406" s="7">
        <f>-RETURNS!F406</f>
        <v>6.5073786129785247E-2</v>
      </c>
      <c r="G406" s="7">
        <f>-RETURNS!G406</f>
        <v>3.340509127071821E-2</v>
      </c>
      <c r="P406" s="4"/>
      <c r="Q406" s="4"/>
      <c r="R406" s="4"/>
      <c r="S406" s="4"/>
      <c r="T406" s="4"/>
    </row>
    <row r="407" spans="1:20" x14ac:dyDescent="0.3">
      <c r="A407" s="1">
        <v>44865</v>
      </c>
      <c r="B407" s="7">
        <f>-RETURNS!B407</f>
        <v>1.6900302230085575E-2</v>
      </c>
      <c r="C407" s="7">
        <f>-RETURNS!C407</f>
        <v>-6.014504851917785E-3</v>
      </c>
      <c r="D407" s="7">
        <f>-RETURNS!D407</f>
        <v>2.9571162514054311E-2</v>
      </c>
      <c r="E407" s="7">
        <f>-RETURNS!E407</f>
        <v>-2.6070915107818487E-2</v>
      </c>
      <c r="F407" s="7">
        <f>-RETURNS!F407</f>
        <v>5.2636757950576382E-4</v>
      </c>
      <c r="G407" s="7">
        <f>-RETURNS!G407</f>
        <v>2.6866503328571434E-2</v>
      </c>
      <c r="P407" s="4"/>
      <c r="Q407" s="4"/>
      <c r="R407" s="4"/>
      <c r="S407" s="4"/>
      <c r="T407" s="4"/>
    </row>
    <row r="408" spans="1:20" x14ac:dyDescent="0.3">
      <c r="A408" s="1">
        <v>44895</v>
      </c>
      <c r="B408" s="7">
        <f>-RETURNS!B408</f>
        <v>-5.535572033213184E-2</v>
      </c>
      <c r="C408" s="7">
        <f>-RETURNS!C408</f>
        <v>-5.0793750170403128E-2</v>
      </c>
      <c r="D408" s="7">
        <f>-RETURNS!D408</f>
        <v>-7.3620469791255333E-2</v>
      </c>
      <c r="E408" s="7">
        <f>-RETURNS!E408</f>
        <v>-5.049484248675775E-2</v>
      </c>
      <c r="F408" s="7">
        <f>-RETURNS!F408</f>
        <v>-5.9868187872097425E-2</v>
      </c>
      <c r="G408" s="7">
        <f>-RETURNS!G408</f>
        <v>-3.9255330058694034E-2</v>
      </c>
      <c r="P408" s="4"/>
      <c r="Q408" s="4"/>
      <c r="R408" s="4"/>
      <c r="S408" s="4"/>
      <c r="T408" s="4"/>
    </row>
    <row r="409" spans="1:20" x14ac:dyDescent="0.3">
      <c r="A409" s="1">
        <v>44925</v>
      </c>
      <c r="B409" s="7">
        <f>-RETURNS!B409</f>
        <v>-1.8426939538679826E-2</v>
      </c>
      <c r="C409" s="7">
        <f>-RETURNS!C409</f>
        <v>-2.5825307843419128E-2</v>
      </c>
      <c r="D409" s="7">
        <f>-RETURNS!D409</f>
        <v>-4.8371862784895546E-2</v>
      </c>
      <c r="E409" s="7">
        <f>-RETURNS!E409</f>
        <v>-8.1668894753140554E-4</v>
      </c>
      <c r="F409" s="7">
        <f>-RETURNS!F409</f>
        <v>-2.2389662507466017E-3</v>
      </c>
      <c r="G409" s="7">
        <f>-RETURNS!G409</f>
        <v>-1.4946640873854784E-2</v>
      </c>
      <c r="P409" s="4"/>
      <c r="Q409" s="4"/>
      <c r="R409" s="4"/>
      <c r="S409" s="4"/>
      <c r="T409" s="4"/>
    </row>
    <row r="410" spans="1:20" x14ac:dyDescent="0.3">
      <c r="A410" s="1">
        <v>44957</v>
      </c>
      <c r="B410" s="7">
        <f>-RETURNS!B410</f>
        <v>-5.4137677828601386E-3</v>
      </c>
      <c r="C410" s="7">
        <f>-RETURNS!C410</f>
        <v>-1.2549914432401731E-2</v>
      </c>
      <c r="D410" s="7">
        <f>-RETURNS!D410</f>
        <v>-3.6481634389405999E-3</v>
      </c>
      <c r="E410" s="7">
        <f>-RETURNS!E410</f>
        <v>-1.8731596473138011E-2</v>
      </c>
      <c r="F410" s="7">
        <f>-RETURNS!F410</f>
        <v>-3.4148143370604664E-2</v>
      </c>
      <c r="G410" s="7">
        <f>-RETURNS!G410</f>
        <v>-2.2389883922437528E-2</v>
      </c>
      <c r="P410" s="4"/>
      <c r="Q410" s="4"/>
      <c r="R410" s="4"/>
      <c r="S410" s="4"/>
      <c r="T410" s="4"/>
    </row>
    <row r="411" spans="1:20" x14ac:dyDescent="0.3">
      <c r="A411" s="1">
        <v>44985</v>
      </c>
      <c r="B411" s="7">
        <f>-RETURNS!B411</f>
        <v>3.0509505301465963E-2</v>
      </c>
      <c r="C411" s="7">
        <f>-RETURNS!C411</f>
        <v>2.8182344454960602E-2</v>
      </c>
      <c r="D411" s="7">
        <f>-RETURNS!D411</f>
        <v>4.8217145143957432E-2</v>
      </c>
      <c r="E411" s="7">
        <f>-RETURNS!E411</f>
        <v>2.4785155838066616E-2</v>
      </c>
      <c r="F411" s="7">
        <f>-RETURNS!F411</f>
        <v>4.7276547485384846E-2</v>
      </c>
      <c r="G411" s="7">
        <f>-RETURNS!G411</f>
        <v>3.0068028378378259E-2</v>
      </c>
      <c r="P411" s="4"/>
      <c r="Q411" s="4"/>
      <c r="R411" s="4"/>
      <c r="S411" s="4"/>
      <c r="T411" s="4"/>
    </row>
    <row r="412" spans="1:20" x14ac:dyDescent="0.3">
      <c r="A412" s="1">
        <v>45016</v>
      </c>
      <c r="B412" s="7">
        <f>-RETURNS!B412</f>
        <v>-2.5875626290587005E-2</v>
      </c>
      <c r="C412" s="7">
        <f>-RETURNS!C412</f>
        <v>-2.290325594475822E-2</v>
      </c>
      <c r="D412" s="7">
        <f>-RETURNS!D412</f>
        <v>-2.0333604953594587E-2</v>
      </c>
      <c r="E412" s="7">
        <f>-RETURNS!E412</f>
        <v>-2.5605641038857027E-2</v>
      </c>
      <c r="F412" s="7">
        <f>-RETURNS!F412</f>
        <v>7.6994212445839873E-3</v>
      </c>
      <c r="G412" s="7">
        <f>-RETURNS!G412</f>
        <v>-1.0478985257301735E-2</v>
      </c>
      <c r="P412" s="4"/>
      <c r="Q412" s="4"/>
      <c r="R412" s="4"/>
      <c r="S412" s="4"/>
      <c r="T412" s="4"/>
    </row>
    <row r="413" spans="1:20" x14ac:dyDescent="0.3">
      <c r="A413" s="1">
        <v>45044</v>
      </c>
      <c r="B413" s="7">
        <f>-RETURNS!B413</f>
        <v>-1.9773447211861504E-2</v>
      </c>
      <c r="C413" s="7">
        <f>-RETURNS!C413</f>
        <v>-1.4899748830963429E-2</v>
      </c>
      <c r="D413" s="7">
        <f>-RETURNS!D413</f>
        <v>3.0009309375621154E-2</v>
      </c>
      <c r="E413" s="7">
        <f>-RETURNS!E413</f>
        <v>-1.8008552665153915E-2</v>
      </c>
      <c r="F413" s="7">
        <f>-RETURNS!F413</f>
        <v>1.1531386680254647E-2</v>
      </c>
      <c r="G413" s="7">
        <f>-RETURNS!G413</f>
        <v>1.057381824175818E-2</v>
      </c>
      <c r="P413" s="4"/>
      <c r="Q413" s="4"/>
      <c r="R413" s="4"/>
      <c r="S413" s="4"/>
      <c r="T413" s="4"/>
    </row>
    <row r="414" spans="1:20" x14ac:dyDescent="0.3">
      <c r="A414" s="1">
        <v>45077</v>
      </c>
      <c r="B414" s="7">
        <f>-RETURNS!B414</f>
        <v>2.1312421997333988E-2</v>
      </c>
      <c r="C414" s="7">
        <f>-RETURNS!C414</f>
        <v>3.1780323102216096E-2</v>
      </c>
      <c r="D414" s="7">
        <f>-RETURNS!D414</f>
        <v>2.6342424479092272E-2</v>
      </c>
      <c r="E414" s="7">
        <f>-RETURNS!E414</f>
        <v>1.0737879332444841E-2</v>
      </c>
      <c r="F414" s="7">
        <f>-RETURNS!F414</f>
        <v>1.8219479201893762E-2</v>
      </c>
      <c r="G414" s="7">
        <f>-RETURNS!G414</f>
        <v>2.9390487749307512E-2</v>
      </c>
      <c r="P414" s="4"/>
      <c r="Q414" s="4"/>
      <c r="R414" s="4"/>
      <c r="S414" s="4"/>
      <c r="T414" s="4"/>
    </row>
    <row r="415" spans="1:20" x14ac:dyDescent="0.3">
      <c r="A415" s="1">
        <v>45107</v>
      </c>
      <c r="B415" s="7">
        <f>-RETURNS!B415</f>
        <v>-1.309632828093983E-2</v>
      </c>
      <c r="C415" s="7">
        <f>-RETURNS!C415</f>
        <v>-1.8745324875073199E-2</v>
      </c>
      <c r="D415" s="7">
        <f>-RETURNS!D415</f>
        <v>3.9021171938971637E-2</v>
      </c>
      <c r="E415" s="7">
        <f>-RETURNS!E415</f>
        <v>-2.0382753981163463E-2</v>
      </c>
      <c r="F415" s="7">
        <f>-RETURNS!F415</f>
        <v>-2.3563148654730293E-2</v>
      </c>
      <c r="G415" s="7">
        <f>-RETURNS!G415</f>
        <v>2.3302166195017848E-2</v>
      </c>
      <c r="P415" s="4"/>
      <c r="Q415" s="4"/>
      <c r="R415" s="4"/>
      <c r="S415" s="4"/>
      <c r="T415" s="4"/>
    </row>
    <row r="416" spans="1:20" x14ac:dyDescent="0.3">
      <c r="A416" s="1">
        <v>45138</v>
      </c>
      <c r="B416" s="7">
        <f>-RETURNS!B416</f>
        <v>-2.3873069076130734E-2</v>
      </c>
      <c r="C416" s="7">
        <f>-RETURNS!C416</f>
        <v>-6.440229055070008E-3</v>
      </c>
      <c r="D416" s="7">
        <f>-RETURNS!D416</f>
        <v>-9.1023381414140295E-3</v>
      </c>
      <c r="E416" s="7">
        <f>-RETURNS!E416</f>
        <v>-1.015109373352165E-2</v>
      </c>
      <c r="F416" s="7">
        <f>-RETURNS!F416</f>
        <v>-6.9785396787322663E-3</v>
      </c>
      <c r="G416" s="7">
        <f>-RETURNS!G416</f>
        <v>-1.415172857906964E-2</v>
      </c>
      <c r="P416" s="4"/>
      <c r="Q416" s="4"/>
      <c r="R416" s="4"/>
      <c r="S416" s="4"/>
      <c r="T416" s="4"/>
    </row>
    <row r="417" spans="1:20" x14ac:dyDescent="0.3">
      <c r="A417" s="1">
        <v>45169</v>
      </c>
      <c r="B417" s="7">
        <f>-RETURNS!B417</f>
        <v>1.6539249722755198E-2</v>
      </c>
      <c r="C417" s="7">
        <f>-RETURNS!C417</f>
        <v>1.5607920892752626E-2</v>
      </c>
      <c r="D417" s="7">
        <f>-RETURNS!D417</f>
        <v>2.7457422470290302E-2</v>
      </c>
      <c r="E417" s="7">
        <f>-RETURNS!E417</f>
        <v>1.2785568113745057E-2</v>
      </c>
      <c r="F417" s="7">
        <f>-RETURNS!F417</f>
        <v>3.5812057702573848E-2</v>
      </c>
      <c r="G417" s="7">
        <f>-RETURNS!G417</f>
        <v>2.0957972076483183E-2</v>
      </c>
      <c r="P417" s="4"/>
      <c r="Q417" s="4"/>
      <c r="R417" s="4"/>
      <c r="S417" s="4"/>
      <c r="T417" s="4"/>
    </row>
    <row r="418" spans="1:20" x14ac:dyDescent="0.3">
      <c r="A418" s="1">
        <v>45198</v>
      </c>
      <c r="B418" s="7">
        <f>-RETURNS!B418</f>
        <v>3.8026190432862012E-2</v>
      </c>
      <c r="C418" s="7">
        <f>-RETURNS!C418</f>
        <v>2.6309803484582457E-2</v>
      </c>
      <c r="D418" s="7">
        <f>-RETURNS!D418</f>
        <v>3.028600471641691E-2</v>
      </c>
      <c r="E418" s="7">
        <f>-RETURNS!E418</f>
        <v>3.7535257105662946E-2</v>
      </c>
      <c r="F418" s="7">
        <f>-RETURNS!F418</f>
        <v>8.6548208492138751E-3</v>
      </c>
      <c r="G418" s="7">
        <f>-RETURNS!G418</f>
        <v>3.7600561135369961E-3</v>
      </c>
      <c r="P418" s="4"/>
      <c r="Q418" s="4"/>
      <c r="R418" s="4"/>
      <c r="S418" s="4"/>
      <c r="T418" s="4"/>
    </row>
    <row r="419" spans="1:20" x14ac:dyDescent="0.3">
      <c r="A419" s="1">
        <v>45230</v>
      </c>
      <c r="B419" s="7">
        <f>-RETURNS!B419</f>
        <v>-2.108552865903817E-3</v>
      </c>
      <c r="C419" s="7">
        <f>-RETURNS!C419</f>
        <v>1.0853455677942781E-3</v>
      </c>
      <c r="D419" s="7">
        <f>-RETURNS!D419</f>
        <v>2.0568327886706567E-2</v>
      </c>
      <c r="E419" s="7">
        <f>-RETURNS!E419</f>
        <v>3.9618599268604962E-3</v>
      </c>
      <c r="F419" s="7">
        <f>-RETURNS!F419</f>
        <v>1.6351201582033754E-2</v>
      </c>
      <c r="G419" s="7">
        <f>-RETURNS!G419</f>
        <v>7.5928614223194678E-3</v>
      </c>
      <c r="P419" s="4"/>
      <c r="Q419" s="4"/>
      <c r="R419" s="4"/>
      <c r="S419" s="4"/>
      <c r="T419" s="4"/>
    </row>
    <row r="420" spans="1:20" x14ac:dyDescent="0.3">
      <c r="A420" s="1">
        <v>45260</v>
      </c>
      <c r="B420" s="7">
        <f>-RETURNS!B420</f>
        <v>-3.6741708399417296E-2</v>
      </c>
      <c r="C420" s="7">
        <f>-RETURNS!C420</f>
        <v>-2.8281519454051079E-2</v>
      </c>
      <c r="D420" s="7">
        <f>-RETURNS!D420</f>
        <v>-1.8365107903291253E-2</v>
      </c>
      <c r="E420" s="7">
        <f>-RETURNS!E420</f>
        <v>-3.8563583636700191E-2</v>
      </c>
      <c r="F420" s="7">
        <f>-RETURNS!F420</f>
        <v>-4.1215092495526913E-2</v>
      </c>
      <c r="G420" s="7">
        <f>-RETURNS!G420</f>
        <v>-2.4864577452276229E-2</v>
      </c>
      <c r="P420" s="4"/>
      <c r="Q420" s="4"/>
      <c r="R420" s="4"/>
      <c r="S420" s="4"/>
      <c r="T420" s="4"/>
    </row>
    <row r="421" spans="1:20" x14ac:dyDescent="0.3">
      <c r="A421" s="1">
        <v>45289</v>
      </c>
      <c r="B421" s="7">
        <f>-RETURNS!B421</f>
        <v>-3.6496696596184007E-2</v>
      </c>
      <c r="C421" s="7">
        <f>-RETURNS!C421</f>
        <v>-1.2395633098064612E-2</v>
      </c>
      <c r="D421" s="7">
        <f>-RETURNS!D421</f>
        <v>-4.5334405461766619E-2</v>
      </c>
      <c r="E421" s="7">
        <f>-RETURNS!E421</f>
        <v>-8.1708481749025782E-3</v>
      </c>
      <c r="F421" s="7">
        <f>-RETURNS!F421</f>
        <v>-3.0260499219591324E-2</v>
      </c>
      <c r="G421" s="7">
        <f>-RETURNS!G421</f>
        <v>-4.4588483223743171E-4</v>
      </c>
      <c r="P421" s="4"/>
      <c r="Q421" s="4"/>
      <c r="R421" s="4"/>
      <c r="S421" s="4"/>
      <c r="T421" s="4"/>
    </row>
    <row r="422" spans="1:20" x14ac:dyDescent="0.3">
      <c r="A422" s="1">
        <v>45322</v>
      </c>
      <c r="B422" s="7">
        <f>-RETURNS!B422</f>
        <v>2.6389209760201777E-2</v>
      </c>
      <c r="C422" s="7">
        <f>-RETURNS!C422</f>
        <v>2.1284218411581683E-2</v>
      </c>
      <c r="D422" s="7">
        <f>-RETURNS!D422</f>
        <v>4.4709679689421591E-2</v>
      </c>
      <c r="E422" s="7">
        <f>-RETURNS!E422</f>
        <v>3.5560358367992114E-3</v>
      </c>
      <c r="F422" s="7">
        <f>-RETURNS!F422</f>
        <v>3.683716564992965E-2</v>
      </c>
      <c r="G422" s="7">
        <f>-RETURNS!G422</f>
        <v>1.0676879298930898E-2</v>
      </c>
      <c r="P422" s="4"/>
      <c r="Q422" s="4"/>
      <c r="R422" s="4"/>
      <c r="S422" s="4"/>
      <c r="T422" s="4"/>
    </row>
    <row r="423" spans="1:20" x14ac:dyDescent="0.3">
      <c r="A423" s="1">
        <v>45351</v>
      </c>
      <c r="B423" s="7">
        <f>-RETURNS!B423</f>
        <v>2.9423492858742507E-2</v>
      </c>
      <c r="C423" s="7">
        <f>-RETURNS!C423</f>
        <v>2.4889309044716112E-3</v>
      </c>
      <c r="D423" s="7">
        <f>-RETURNS!D423</f>
        <v>2.5013174058653997E-2</v>
      </c>
      <c r="E423" s="7">
        <f>-RETURNS!E423</f>
        <v>5.2068066705118462E-3</v>
      </c>
      <c r="F423" s="7">
        <f>-RETURNS!F423</f>
        <v>1.1796987174807112E-2</v>
      </c>
      <c r="G423" s="7">
        <f>-RETURNS!G423</f>
        <v>4.8035590438533469E-3</v>
      </c>
      <c r="P423" s="4"/>
      <c r="Q423" s="4"/>
      <c r="R423" s="4"/>
      <c r="S423" s="4"/>
      <c r="T423" s="4"/>
    </row>
    <row r="424" spans="1:20" x14ac:dyDescent="0.3">
      <c r="A424" s="1">
        <v>45380</v>
      </c>
      <c r="B424" s="7">
        <f>-RETURNS!B424</f>
        <v>2.2023835607642064E-2</v>
      </c>
      <c r="C424" s="7">
        <f>-RETURNS!C424</f>
        <v>2.6482047205521179E-3</v>
      </c>
      <c r="D424" s="7">
        <f>-RETURNS!D424</f>
        <v>1.3961369865926778E-2</v>
      </c>
      <c r="E424" s="7">
        <f>-RETURNS!E424</f>
        <v>3.4686530380802547E-4</v>
      </c>
      <c r="F424" s="7">
        <f>-RETURNS!F424</f>
        <v>-2.7186114169377973E-3</v>
      </c>
      <c r="G424" s="7">
        <f>-RETURNS!G424</f>
        <v>8.5452142017302633E-3</v>
      </c>
      <c r="P424" s="4"/>
      <c r="Q424" s="4"/>
      <c r="R424" s="4"/>
      <c r="S424" s="4"/>
      <c r="T424" s="4"/>
    </row>
    <row r="425" spans="1:20" x14ac:dyDescent="0.3">
      <c r="A425" s="1">
        <v>45412</v>
      </c>
      <c r="B425" s="7">
        <f>-RETURNS!B425</f>
        <v>2.2905448202560113E-2</v>
      </c>
      <c r="C425" s="7">
        <f>-RETURNS!C425</f>
        <v>1.2683490357325898E-2</v>
      </c>
      <c r="D425" s="7">
        <f>-RETURNS!D425</f>
        <v>4.5244615448615223E-2</v>
      </c>
      <c r="E425" s="7">
        <f>-RETURNS!E425</f>
        <v>1.0540923305040344E-2</v>
      </c>
      <c r="F425" s="7">
        <f>-RETURNS!F425</f>
        <v>8.2110259722152044E-3</v>
      </c>
      <c r="G425" s="7">
        <f>-RETURNS!G425</f>
        <v>9.9905000000005705E-4</v>
      </c>
      <c r="P425" s="4"/>
      <c r="Q425" s="4"/>
      <c r="R425" s="4"/>
      <c r="S425" s="4"/>
      <c r="T425" s="4"/>
    </row>
    <row r="426" spans="1:20" x14ac:dyDescent="0.3">
      <c r="A426" s="1">
        <v>45443</v>
      </c>
      <c r="B426" s="7">
        <f>-RETURNS!B426</f>
        <v>-1.5496147322287743E-2</v>
      </c>
      <c r="C426" s="7">
        <f>-RETURNS!C426</f>
        <v>-1.5809281058359388E-2</v>
      </c>
      <c r="D426" s="7">
        <f>-RETURNS!D426</f>
        <v>1.6638098601546951E-3</v>
      </c>
      <c r="E426" s="7">
        <f>-RETURNS!E426</f>
        <v>-1.9847895233079404E-2</v>
      </c>
      <c r="F426" s="7">
        <f>-RETURNS!F426</f>
        <v>-2.6811621044313651E-2</v>
      </c>
      <c r="G426" s="7">
        <f>-RETURNS!G426</f>
        <v>2.1387668049347493E-3</v>
      </c>
      <c r="P426" s="4"/>
      <c r="Q426" s="4"/>
      <c r="R426" s="4"/>
      <c r="S426" s="4"/>
      <c r="T426" s="4"/>
    </row>
    <row r="427" spans="1:20" x14ac:dyDescent="0.3">
      <c r="A427" s="1">
        <v>45471</v>
      </c>
      <c r="B427" s="7">
        <f>-RETURNS!B427</f>
        <v>-4.3722171185597462E-4</v>
      </c>
      <c r="C427" s="7">
        <f>-RETURNS!C427</f>
        <v>1.379199876275226E-2</v>
      </c>
      <c r="D427" s="7">
        <f>-RETURNS!D427</f>
        <v>2.6779492114016097E-2</v>
      </c>
      <c r="E427" s="7">
        <f>-RETURNS!E427</f>
        <v>7.7660258145617455E-3</v>
      </c>
      <c r="F427" s="7">
        <f>-RETURNS!F427</f>
        <v>-1.6503954792079787E-3</v>
      </c>
      <c r="G427" s="7">
        <f>-RETURNS!G427</f>
        <v>7.5445828874362202E-3</v>
      </c>
      <c r="P427" s="4"/>
      <c r="Q427" s="4"/>
      <c r="R427" s="4"/>
      <c r="S427" s="4"/>
      <c r="T427" s="4"/>
    </row>
    <row r="428" spans="1:20" x14ac:dyDescent="0.3">
      <c r="A428" s="1">
        <v>45504</v>
      </c>
      <c r="B428" s="7">
        <f>-RETURNS!B428</f>
        <v>-1.9830801233665908E-2</v>
      </c>
      <c r="C428" s="7">
        <f>-RETURNS!C428</f>
        <v>-9.0775971910621832E-3</v>
      </c>
      <c r="D428" s="7">
        <f>-RETURNS!D428</f>
        <v>-6.7511778754697438E-2</v>
      </c>
      <c r="E428" s="7">
        <f>-RETURNS!E428</f>
        <v>-1.6503153247180598E-2</v>
      </c>
      <c r="F428" s="7">
        <f>-RETURNS!F428</f>
        <v>2.001611835305183E-2</v>
      </c>
      <c r="G428" s="7">
        <f>-RETURNS!G428</f>
        <v>-7.7277781021897378E-3</v>
      </c>
      <c r="P428" s="4"/>
      <c r="Q428" s="4"/>
      <c r="R428" s="4"/>
      <c r="S428" s="4"/>
      <c r="T428" s="4"/>
    </row>
    <row r="429" spans="1:20" x14ac:dyDescent="0.3">
      <c r="A429" s="1">
        <v>45534</v>
      </c>
      <c r="B429" s="7">
        <f>-RETURNS!B429</f>
        <v>-2.9633059783406447E-2</v>
      </c>
      <c r="C429" s="7">
        <f>-RETURNS!C429</f>
        <v>-1.8990785917857342E-2</v>
      </c>
      <c r="D429" s="7">
        <f>-RETURNS!D429</f>
        <v>-2.1233375865246672E-2</v>
      </c>
      <c r="E429" s="7">
        <f>-RETURNS!E429</f>
        <v>-2.0760465380302587E-2</v>
      </c>
      <c r="F429" s="7">
        <f>-RETURNS!F429</f>
        <v>-3.3218785796105287E-2</v>
      </c>
      <c r="G429" s="7">
        <f>-RETURNS!G429</f>
        <v>-1.6231771167630124E-2</v>
      </c>
      <c r="P429" s="4"/>
      <c r="Q429" s="4"/>
      <c r="R429" s="4"/>
      <c r="S429" s="4"/>
      <c r="T429" s="4"/>
    </row>
    <row r="430" spans="1:20" x14ac:dyDescent="0.3">
      <c r="A430" s="1">
        <v>45565</v>
      </c>
      <c r="B430" s="7">
        <f>-RETURNS!B430</f>
        <v>-1.1317958123864373E-3</v>
      </c>
      <c r="C430" s="7">
        <f>-RETURNS!C430</f>
        <v>-6.4945336545197321E-3</v>
      </c>
      <c r="D430" s="7">
        <f>-RETURNS!D430</f>
        <v>-1.3263121591726313E-2</v>
      </c>
      <c r="E430" s="7">
        <f>-RETURNS!E430</f>
        <v>-1.8610683569638353E-2</v>
      </c>
      <c r="F430" s="7">
        <f>-RETURNS!F430</f>
        <v>-2.1113549953767071E-2</v>
      </c>
      <c r="G430" s="7">
        <f>-RETURNS!G430</f>
        <v>-8.4708292886526027E-3</v>
      </c>
      <c r="P430" s="4"/>
      <c r="Q430" s="4"/>
      <c r="R430" s="4"/>
      <c r="S430" s="4"/>
      <c r="T430" s="4"/>
    </row>
    <row r="431" spans="1:20" x14ac:dyDescent="0.3">
      <c r="A431" s="1">
        <v>45596</v>
      </c>
      <c r="B431" s="7">
        <f>-RETURNS!B431</f>
        <v>2.5079540158379814E-2</v>
      </c>
      <c r="C431" s="7">
        <f>-RETURNS!C431</f>
        <v>2.3885391732800652E-2</v>
      </c>
      <c r="D431" s="7">
        <f>-RETURNS!D431</f>
        <v>5.9518436005688152E-2</v>
      </c>
      <c r="E431" s="7">
        <f>-RETURNS!E431</f>
        <v>3.5570758331931379E-2</v>
      </c>
      <c r="F431" s="7">
        <f>-RETURNS!F431</f>
        <v>4.837636989272192E-2</v>
      </c>
      <c r="G431" s="7">
        <f>-RETURNS!G431</f>
        <v>1.879936950245268E-2</v>
      </c>
      <c r="P431" s="4"/>
      <c r="Q431" s="4"/>
      <c r="R431" s="4"/>
      <c r="S431" s="4"/>
      <c r="T431" s="4"/>
    </row>
    <row r="432" spans="1:20" x14ac:dyDescent="0.3">
      <c r="A432" s="1">
        <v>45625</v>
      </c>
      <c r="B432" s="7">
        <f>-RETURNS!B432</f>
        <v>2.2360860143437345E-2</v>
      </c>
      <c r="C432" s="7">
        <f>-RETURNS!C432</f>
        <v>2.939082046161973E-2</v>
      </c>
      <c r="D432" s="7">
        <f>-RETURNS!D432</f>
        <v>-1.1139448324080254E-2</v>
      </c>
      <c r="E432" s="7">
        <f>-RETURNS!E432</f>
        <v>1.2671299785090224E-2</v>
      </c>
      <c r="F432" s="7">
        <f>-RETURNS!F432</f>
        <v>1.094461472100808E-2</v>
      </c>
      <c r="G432" s="7">
        <f>-RETURNS!G432</f>
        <v>1.9757552806267783E-2</v>
      </c>
      <c r="P432" s="4"/>
      <c r="Q432" s="4"/>
      <c r="R432" s="4"/>
      <c r="S432" s="4"/>
      <c r="T432" s="4"/>
    </row>
    <row r="433" spans="1:20" x14ac:dyDescent="0.3">
      <c r="A433" s="1">
        <v>45657</v>
      </c>
      <c r="B433" s="7">
        <f>-RETURNS!B433</f>
        <v>3.2696033229213162E-2</v>
      </c>
      <c r="C433" s="7">
        <f>-RETURNS!C433</f>
        <v>2.2432871331998942E-2</v>
      </c>
      <c r="D433" s="7">
        <f>-RETURNS!D433</f>
        <v>5.1744358202261448E-2</v>
      </c>
      <c r="E433" s="7">
        <f>-RETURNS!E433</f>
        <v>1.718126707918469E-2</v>
      </c>
      <c r="F433" s="7">
        <f>-RETURNS!F433</f>
        <v>5.0015428805656958E-2</v>
      </c>
      <c r="G433" s="7">
        <f>-RETURNS!G433</f>
        <v>1.3192822687382075E-2</v>
      </c>
      <c r="P433" s="4"/>
      <c r="Q433" s="4"/>
      <c r="R433" s="4"/>
      <c r="S433" s="4"/>
      <c r="T433" s="4"/>
    </row>
    <row r="434" spans="1:20" x14ac:dyDescent="0.3">
      <c r="A434" s="1">
        <v>45688</v>
      </c>
      <c r="B434" s="7">
        <f>-RETURNS!B434</f>
        <v>7.3794727192085935E-3</v>
      </c>
      <c r="C434" s="7">
        <f>-RETURNS!C434</f>
        <v>4.5626730897801684E-4</v>
      </c>
      <c r="D434" s="7">
        <f>-RETURNS!D434</f>
        <v>-9.3307192517528299E-3</v>
      </c>
      <c r="E434" s="7">
        <f>-RETURNS!E434</f>
        <v>9.4040680366381298E-3</v>
      </c>
      <c r="F434" s="7">
        <f>-RETURNS!F434</f>
        <v>-4.804250622548795E-3</v>
      </c>
      <c r="G434" s="7">
        <f>-RETURNS!G434</f>
        <v>-1.927827146001452E-3</v>
      </c>
      <c r="P434" s="4"/>
      <c r="Q434" s="4"/>
      <c r="R434" s="4"/>
      <c r="S434" s="4"/>
      <c r="T434" s="4"/>
    </row>
    <row r="435" spans="1:20" x14ac:dyDescent="0.3">
      <c r="A435" s="1">
        <v>45716</v>
      </c>
      <c r="B435" s="7">
        <f>-RETURNS!B435</f>
        <v>-5.4934367783202017E-3</v>
      </c>
      <c r="C435" s="7">
        <f>-RETURNS!C435</f>
        <v>1.7349096593843644E-5</v>
      </c>
      <c r="D435" s="7">
        <f>-RETURNS!D435</f>
        <v>-2.6959796835009431E-2</v>
      </c>
      <c r="E435" s="7">
        <f>-RETURNS!E435</f>
        <v>-1.4769302764655347E-2</v>
      </c>
      <c r="F435" s="7">
        <f>-RETURNS!F435</f>
        <v>1.5421502301969467E-3</v>
      </c>
      <c r="G435" s="7">
        <f>-RETURNS!G435</f>
        <v>-2.4572696083455456E-3</v>
      </c>
      <c r="P435" s="4"/>
      <c r="Q435" s="4"/>
      <c r="R435" s="4"/>
      <c r="S435" s="4"/>
      <c r="T435" s="4"/>
    </row>
    <row r="436" spans="1:20" x14ac:dyDescent="0.3">
      <c r="A436" s="1">
        <v>45747</v>
      </c>
      <c r="B436" s="7">
        <f>-RETURNS!B436</f>
        <v>-1.7662558746536671E-2</v>
      </c>
      <c r="C436" s="7">
        <f>-RETURNS!C436</f>
        <v>-4.0868725051292541E-2</v>
      </c>
      <c r="D436" s="7">
        <f>-RETURNS!D436</f>
        <v>-8.1408373007999825E-4</v>
      </c>
      <c r="E436" s="7">
        <f>-RETURNS!E436</f>
        <v>-2.7183221560828721E-2</v>
      </c>
      <c r="F436" s="7">
        <f>-RETURNS!F436</f>
        <v>-5.8803828367533402E-3</v>
      </c>
      <c r="G436" s="7">
        <f>-RETURNS!G436</f>
        <v>-1.6926402123997239E-3</v>
      </c>
      <c r="P436" s="4"/>
      <c r="Q436" s="4"/>
      <c r="R436" s="4"/>
      <c r="S436" s="4"/>
      <c r="T436" s="4"/>
    </row>
    <row r="437" spans="1:20" x14ac:dyDescent="0.3">
      <c r="A437" s="1">
        <v>45777</v>
      </c>
      <c r="B437" s="7">
        <f>-RETURNS!B437</f>
        <v>-6.6992095637810667E-2</v>
      </c>
      <c r="C437" s="7">
        <f>-RETURNS!C437</f>
        <v>-4.5643521219326834E-2</v>
      </c>
      <c r="D437" s="7">
        <f>-RETURNS!D437</f>
        <v>-4.4761090931613713E-2</v>
      </c>
      <c r="E437" s="7">
        <f>-RETURNS!E437</f>
        <v>-3.1886364762423826E-2</v>
      </c>
      <c r="F437" s="7">
        <f>-RETURNS!F437</f>
        <v>-2.4565895814995558E-2</v>
      </c>
      <c r="G437" s="7">
        <f>-RETURNS!G437</f>
        <v>2.254025599999977E-3</v>
      </c>
      <c r="P437" s="4"/>
      <c r="Q437" s="4"/>
      <c r="R437" s="4"/>
      <c r="S437" s="4"/>
      <c r="T437" s="4"/>
    </row>
    <row r="438" spans="1:20" x14ac:dyDescent="0.3">
      <c r="A438" s="1">
        <v>45807</v>
      </c>
      <c r="B438" s="7">
        <f>-RETURNS!B438</f>
        <v>-3.02486674566304E-4</v>
      </c>
      <c r="C438" s="7">
        <f>-RETURNS!C438</f>
        <v>1.9472721008777414E-4</v>
      </c>
      <c r="D438" s="7">
        <f>-RETURNS!D438</f>
        <v>1.0182893873247488E-2</v>
      </c>
      <c r="E438" s="7">
        <f>-RETURNS!E438</f>
        <v>-9.6425779755538402E-3</v>
      </c>
      <c r="F438" s="7">
        <f>-RETURNS!F438</f>
        <v>-4.2098425368986324E-3</v>
      </c>
      <c r="G438" s="7">
        <f>-RETURNS!G438</f>
        <v>-6.5090134325580563E-3</v>
      </c>
      <c r="P438" s="4"/>
      <c r="Q438" s="4"/>
      <c r="R438" s="4"/>
      <c r="S438" s="4"/>
      <c r="T438" s="4"/>
    </row>
    <row r="439" spans="1:20" x14ac:dyDescent="0.3">
      <c r="A439" s="1">
        <v>45838</v>
      </c>
      <c r="B439" s="7">
        <f>-RETURNS!B439</f>
        <v>-3.31853128018504E-2</v>
      </c>
      <c r="C439" s="7">
        <f>-RETURNS!C439</f>
        <v>-3.6773941588119245E-2</v>
      </c>
      <c r="D439" s="7">
        <f>-RETURNS!D439</f>
        <v>3.3888783000001225E-3</v>
      </c>
      <c r="E439" s="7">
        <f>-RETURNS!E439</f>
        <v>-2.0140570200038694E-2</v>
      </c>
      <c r="F439" s="7">
        <f>-RETURNS!F439</f>
        <v>-2.2883938965800831E-2</v>
      </c>
      <c r="G439" s="7">
        <f>-RETURNS!G439</f>
        <v>-4.0205403559075373E-3</v>
      </c>
      <c r="P439" s="4"/>
      <c r="Q439" s="4"/>
      <c r="R439" s="4"/>
      <c r="S439" s="4"/>
      <c r="T439" s="4"/>
    </row>
    <row r="440" spans="1:20" x14ac:dyDescent="0.3">
      <c r="A440" s="1">
        <v>45869</v>
      </c>
      <c r="B440" s="7">
        <f>-RETURNS!B440</f>
        <v>2.7679306884875729E-2</v>
      </c>
      <c r="C440" s="7">
        <f>-RETURNS!C440</f>
        <v>3.3666336795429457E-2</v>
      </c>
      <c r="D440" s="7">
        <f>-RETURNS!D440</f>
        <v>4.8025257493475443E-2</v>
      </c>
      <c r="E440" s="7">
        <f>-RETURNS!E440</f>
        <v>3.8371923693024591E-2</v>
      </c>
      <c r="F440" s="7">
        <f>-RETURNS!F440</f>
        <v>2.4318389586250381E-2</v>
      </c>
      <c r="G440" s="7">
        <f>-RETURNS!G440</f>
        <v>9.6270561345741645E-3</v>
      </c>
      <c r="P440" s="4"/>
      <c r="Q440" s="4"/>
      <c r="R440" s="4"/>
      <c r="S440" s="4"/>
      <c r="T440" s="4"/>
    </row>
    <row r="441" spans="1:20" x14ac:dyDescent="0.3">
      <c r="A441" s="1">
        <v>45898</v>
      </c>
      <c r="B441" s="7">
        <f>-RETURNS!B441</f>
        <v>-1.0758574357209061E-2</v>
      </c>
      <c r="C441" s="7">
        <f>-RETURNS!C441</f>
        <v>-2.1635666152614339E-2</v>
      </c>
      <c r="D441" s="7">
        <f>-RETURNS!D441</f>
        <v>-2.1495450792885087E-2</v>
      </c>
      <c r="E441" s="7">
        <f>-RETURNS!E441</f>
        <v>-2.2178487623949819E-2</v>
      </c>
      <c r="F441" s="7">
        <f>-RETURNS!F441</f>
        <v>-1.7316151993877486E-2</v>
      </c>
      <c r="G441" s="7">
        <f>-RETURNS!G441</f>
        <v>-9.796159069935171E-3</v>
      </c>
      <c r="P441" s="4"/>
      <c r="Q441" s="4"/>
      <c r="R441" s="4"/>
      <c r="S441" s="4"/>
      <c r="T441" s="4"/>
    </row>
    <row r="442" spans="1:20" x14ac:dyDescent="0.3">
      <c r="A442" s="1">
        <v>45930</v>
      </c>
      <c r="B442" s="7">
        <f>-RETURNS!B442</f>
        <v>-1.4067028984950643E-3</v>
      </c>
      <c r="C442" s="7">
        <f>-RETURNS!C442</f>
        <v>-2.1744811906522395E-3</v>
      </c>
      <c r="D442" s="7">
        <f>-RETURNS!D442</f>
        <v>9.0333099176469964E-3</v>
      </c>
      <c r="E442" s="7">
        <f>-RETURNS!E442</f>
        <v>4.5802928218882343E-3</v>
      </c>
      <c r="F442" s="7">
        <f>-RETURNS!F442</f>
        <v>-1.0632038548589946E-2</v>
      </c>
      <c r="G442" s="7">
        <f>-RETURNS!G442</f>
        <v>3.5042207122507039E-3</v>
      </c>
      <c r="P442" s="4"/>
      <c r="Q442" s="4"/>
      <c r="R442" s="4"/>
      <c r="S442" s="4"/>
      <c r="T442" s="4"/>
    </row>
    <row r="443" spans="1:20" x14ac:dyDescent="0.3">
      <c r="A443" s="1">
        <v>45961</v>
      </c>
      <c r="B443" s="7">
        <f>-RETURNS!B443</f>
        <v>1.3931632105798173E-2</v>
      </c>
      <c r="C443" s="7">
        <f>-RETURNS!C443</f>
        <v>1.8698067421235219E-2</v>
      </c>
      <c r="D443" s="7">
        <f>-RETURNS!D443</f>
        <v>4.2820023926697134E-2</v>
      </c>
      <c r="E443" s="7">
        <f>-RETURNS!E443</f>
        <v>2.2037614967464557E-2</v>
      </c>
      <c r="F443" s="7">
        <f>-RETURNS!F443</f>
        <v>1.0739036131830968E-2</v>
      </c>
      <c r="G443" s="7">
        <f>-RETURNS!G443</f>
        <v>1.5336416250891181E-3</v>
      </c>
      <c r="P443" s="4"/>
      <c r="Q443" s="4"/>
      <c r="R443" s="4"/>
      <c r="S443" s="4"/>
      <c r="T443" s="4"/>
    </row>
    <row r="444" spans="1:20" x14ac:dyDescent="0.3">
      <c r="A444" s="1"/>
    </row>
    <row r="445" spans="1:20" x14ac:dyDescent="0.3">
      <c r="A445" s="1"/>
    </row>
    <row r="446" spans="1:20" x14ac:dyDescent="0.3">
      <c r="A446" s="1"/>
    </row>
    <row r="447" spans="1:20" x14ac:dyDescent="0.3">
      <c r="A447" s="1"/>
    </row>
    <row r="448" spans="1:20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499984740745262"/>
  </sheetPr>
  <dimension ref="A1:G491"/>
  <sheetViews>
    <sheetView workbookViewId="0">
      <selection activeCell="C1" sqref="C1"/>
    </sheetView>
  </sheetViews>
  <sheetFormatPr defaultColWidth="8.77734375" defaultRowHeight="14.4" x14ac:dyDescent="0.3"/>
  <cols>
    <col min="1" max="1" width="10.109375" bestFit="1" customWidth="1"/>
    <col min="2" max="2" width="10.33203125" customWidth="1"/>
    <col min="4" max="4" width="11.109375" customWidth="1"/>
  </cols>
  <sheetData>
    <row r="1" spans="1:7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 s="1">
        <v>32507</v>
      </c>
      <c r="B2">
        <v>0.66579999999999995</v>
      </c>
      <c r="D2">
        <v>7.9970000000000006E-3</v>
      </c>
      <c r="E2">
        <v>0.85550000000000004</v>
      </c>
      <c r="F2">
        <v>1.8109999999999999</v>
      </c>
    </row>
    <row r="3" spans="1:7" x14ac:dyDescent="0.3">
      <c r="A3" s="1">
        <v>32539</v>
      </c>
      <c r="B3">
        <v>0.62509999999999999</v>
      </c>
      <c r="D3">
        <v>7.6629999999999997E-3</v>
      </c>
      <c r="E3">
        <v>0.88900000000000001</v>
      </c>
      <c r="F3">
        <v>1.752</v>
      </c>
    </row>
    <row r="4" spans="1:7" x14ac:dyDescent="0.3">
      <c r="A4" s="1">
        <v>32567</v>
      </c>
      <c r="B4">
        <v>0.6431</v>
      </c>
      <c r="D4">
        <v>7.8820000000000001E-3</v>
      </c>
      <c r="E4">
        <v>0.80149999999999999</v>
      </c>
      <c r="F4">
        <v>1.7434000000000001</v>
      </c>
    </row>
    <row r="5" spans="1:7" x14ac:dyDescent="0.3">
      <c r="A5" s="1">
        <v>32598</v>
      </c>
      <c r="B5">
        <v>0.60150000000000003</v>
      </c>
      <c r="D5">
        <v>7.5319999999999996E-3</v>
      </c>
      <c r="E5">
        <v>0.81950000000000001</v>
      </c>
      <c r="F5">
        <v>1.6855</v>
      </c>
    </row>
    <row r="6" spans="1:7" x14ac:dyDescent="0.3">
      <c r="A6" s="1">
        <v>32626</v>
      </c>
      <c r="B6">
        <v>0.59760000000000002</v>
      </c>
      <c r="D6">
        <v>7.5269999999999998E-3</v>
      </c>
      <c r="E6">
        <v>0.79420000000000002</v>
      </c>
      <c r="F6">
        <v>1.69</v>
      </c>
    </row>
    <row r="7" spans="1:7" x14ac:dyDescent="0.3">
      <c r="A7" s="1">
        <v>32659</v>
      </c>
      <c r="B7">
        <v>0.58620000000000005</v>
      </c>
      <c r="D7">
        <v>7.0260000000000001E-3</v>
      </c>
      <c r="E7">
        <v>0.75249999999999995</v>
      </c>
      <c r="F7">
        <v>1.57</v>
      </c>
    </row>
    <row r="8" spans="1:7" x14ac:dyDescent="0.3">
      <c r="A8" s="1">
        <v>32689</v>
      </c>
      <c r="B8">
        <v>0.59560000000000002</v>
      </c>
      <c r="D8">
        <v>6.9439999999999997E-3</v>
      </c>
      <c r="E8">
        <v>0.75600000000000001</v>
      </c>
      <c r="F8">
        <v>1.55</v>
      </c>
    </row>
    <row r="9" spans="1:7" x14ac:dyDescent="0.3">
      <c r="A9" s="1">
        <v>32720</v>
      </c>
      <c r="B9">
        <v>0.62250000000000005</v>
      </c>
      <c r="D9">
        <v>7.3020000000000003E-3</v>
      </c>
      <c r="E9">
        <v>0.76049999999999995</v>
      </c>
      <c r="F9">
        <v>1.6659999999999999</v>
      </c>
    </row>
    <row r="10" spans="1:7" x14ac:dyDescent="0.3">
      <c r="A10" s="1">
        <v>32751</v>
      </c>
      <c r="B10">
        <v>0.59240000000000004</v>
      </c>
      <c r="D10">
        <v>6.9160000000000003E-3</v>
      </c>
      <c r="E10">
        <v>0.76500000000000001</v>
      </c>
      <c r="F10">
        <v>1.5680000000000001</v>
      </c>
    </row>
    <row r="11" spans="1:7" x14ac:dyDescent="0.3">
      <c r="A11" s="1">
        <v>32780</v>
      </c>
      <c r="B11">
        <v>0.61619999999999997</v>
      </c>
      <c r="D11">
        <v>7.1630000000000001E-3</v>
      </c>
      <c r="E11">
        <v>0.77849999999999997</v>
      </c>
      <c r="F11">
        <v>1.6205000000000001</v>
      </c>
    </row>
    <row r="12" spans="1:7" x14ac:dyDescent="0.3">
      <c r="A12" s="1">
        <v>32812</v>
      </c>
      <c r="B12">
        <v>0.61939999999999995</v>
      </c>
      <c r="D12">
        <v>7.0060000000000001E-3</v>
      </c>
      <c r="E12">
        <v>0.78249999999999997</v>
      </c>
      <c r="F12">
        <v>1.581</v>
      </c>
    </row>
    <row r="13" spans="1:7" x14ac:dyDescent="0.3">
      <c r="A13" s="1">
        <v>32842</v>
      </c>
      <c r="B13">
        <v>0.62829999999999997</v>
      </c>
      <c r="D13">
        <v>6.9969999999999997E-3</v>
      </c>
      <c r="E13">
        <v>0.78649999999999998</v>
      </c>
      <c r="F13">
        <v>1.5705</v>
      </c>
    </row>
    <row r="14" spans="1:7" x14ac:dyDescent="0.3">
      <c r="A14" s="1">
        <v>32871</v>
      </c>
      <c r="B14">
        <v>0.64890000000000003</v>
      </c>
      <c r="D14">
        <v>6.9540000000000001E-3</v>
      </c>
      <c r="E14">
        <v>0.78900000000000003</v>
      </c>
      <c r="F14">
        <v>1.6125</v>
      </c>
    </row>
    <row r="15" spans="1:7" x14ac:dyDescent="0.3">
      <c r="A15" s="1">
        <v>32904</v>
      </c>
      <c r="B15">
        <v>0.66490000000000005</v>
      </c>
      <c r="D15">
        <v>6.9179999999999997E-3</v>
      </c>
      <c r="E15">
        <v>0.77359999999999995</v>
      </c>
      <c r="F15">
        <v>1.6779999999999999</v>
      </c>
    </row>
    <row r="16" spans="1:7" x14ac:dyDescent="0.3">
      <c r="A16" s="1">
        <v>32932</v>
      </c>
      <c r="B16">
        <v>0.67049999999999998</v>
      </c>
      <c r="D16">
        <v>6.7200000000000003E-3</v>
      </c>
      <c r="E16">
        <v>0.76060000000000005</v>
      </c>
      <c r="F16">
        <v>1.6775</v>
      </c>
    </row>
    <row r="17" spans="1:6" x14ac:dyDescent="0.3">
      <c r="A17" s="1">
        <v>32962</v>
      </c>
      <c r="B17">
        <v>0.66779999999999995</v>
      </c>
      <c r="D17">
        <v>6.3359999999999996E-3</v>
      </c>
      <c r="E17">
        <v>0.75549999999999995</v>
      </c>
      <c r="F17">
        <v>1.6479999999999999</v>
      </c>
    </row>
    <row r="18" spans="1:6" x14ac:dyDescent="0.3">
      <c r="A18" s="1">
        <v>32993</v>
      </c>
      <c r="B18">
        <v>0.68940000000000001</v>
      </c>
      <c r="D18">
        <v>6.2950000000000002E-3</v>
      </c>
      <c r="E18">
        <v>0.75329999999999997</v>
      </c>
      <c r="F18">
        <v>1.6419999999999999</v>
      </c>
    </row>
    <row r="19" spans="1:6" x14ac:dyDescent="0.3">
      <c r="A19" s="1">
        <v>33024</v>
      </c>
      <c r="B19">
        <v>0.69779999999999998</v>
      </c>
      <c r="D19">
        <v>6.5510000000000004E-3</v>
      </c>
      <c r="E19">
        <v>0.76880000000000004</v>
      </c>
      <c r="F19">
        <v>1.6779999999999999</v>
      </c>
    </row>
    <row r="20" spans="1:6" x14ac:dyDescent="0.3">
      <c r="A20" s="1">
        <v>33053</v>
      </c>
      <c r="B20">
        <v>0.70650000000000002</v>
      </c>
      <c r="D20">
        <v>6.5640000000000004E-3</v>
      </c>
      <c r="E20">
        <v>0.79500000000000004</v>
      </c>
      <c r="F20">
        <v>1.7490000000000001</v>
      </c>
    </row>
    <row r="21" spans="1:6" x14ac:dyDescent="0.3">
      <c r="A21" s="1">
        <v>33085</v>
      </c>
      <c r="B21">
        <v>0.74199999999999999</v>
      </c>
      <c r="D21">
        <v>6.8430000000000001E-3</v>
      </c>
      <c r="E21">
        <v>0.79679999999999995</v>
      </c>
      <c r="F21">
        <v>1.8634999999999999</v>
      </c>
    </row>
    <row r="22" spans="1:6" x14ac:dyDescent="0.3">
      <c r="A22" s="1">
        <v>33116</v>
      </c>
      <c r="B22">
        <v>0.76419999999999999</v>
      </c>
      <c r="D22">
        <v>6.9480000000000002E-3</v>
      </c>
      <c r="E22">
        <v>0.8145</v>
      </c>
      <c r="F22">
        <v>1.895</v>
      </c>
    </row>
    <row r="23" spans="1:6" x14ac:dyDescent="0.3">
      <c r="A23" s="1">
        <v>33144</v>
      </c>
      <c r="B23">
        <v>0.76949999999999996</v>
      </c>
      <c r="D23">
        <v>7.2319999999999997E-3</v>
      </c>
      <c r="E23">
        <v>0.82650000000000001</v>
      </c>
      <c r="F23">
        <v>1.8788</v>
      </c>
    </row>
    <row r="24" spans="1:6" x14ac:dyDescent="0.3">
      <c r="A24" s="1">
        <v>33177</v>
      </c>
      <c r="B24">
        <v>0.77700000000000002</v>
      </c>
      <c r="D24">
        <v>7.6949999999999996E-3</v>
      </c>
      <c r="E24">
        <v>0.7863</v>
      </c>
      <c r="F24">
        <v>1.9435</v>
      </c>
    </row>
    <row r="25" spans="1:6" x14ac:dyDescent="0.3">
      <c r="A25" s="1">
        <v>33207</v>
      </c>
      <c r="B25">
        <v>0.78339999999999999</v>
      </c>
      <c r="D25">
        <v>7.5129999999999997E-3</v>
      </c>
      <c r="E25">
        <v>0.77290000000000003</v>
      </c>
      <c r="F25">
        <v>1.9435</v>
      </c>
    </row>
    <row r="26" spans="1:6" x14ac:dyDescent="0.3">
      <c r="A26" s="1">
        <v>33238</v>
      </c>
      <c r="B26">
        <v>0.78310000000000002</v>
      </c>
      <c r="D26">
        <v>7.3660000000000002E-3</v>
      </c>
      <c r="E26">
        <v>0.77149999999999996</v>
      </c>
      <c r="F26">
        <v>1.93</v>
      </c>
    </row>
    <row r="27" spans="1:6" x14ac:dyDescent="0.3">
      <c r="A27" s="1">
        <v>33269</v>
      </c>
      <c r="B27">
        <v>0.79490000000000005</v>
      </c>
      <c r="D27">
        <v>7.607E-3</v>
      </c>
      <c r="E27">
        <v>0.78469999999999995</v>
      </c>
      <c r="F27">
        <v>1.9670000000000001</v>
      </c>
    </row>
    <row r="28" spans="1:6" x14ac:dyDescent="0.3">
      <c r="A28" s="1">
        <v>33297</v>
      </c>
      <c r="B28">
        <v>0.75390000000000001</v>
      </c>
      <c r="D28">
        <v>7.522E-3</v>
      </c>
      <c r="E28">
        <v>0.78769999999999996</v>
      </c>
      <c r="F28">
        <v>1.913</v>
      </c>
    </row>
    <row r="29" spans="1:6" x14ac:dyDescent="0.3">
      <c r="A29" s="1">
        <v>33326</v>
      </c>
      <c r="B29">
        <v>0.69199999999999995</v>
      </c>
      <c r="D29">
        <v>7.1120000000000003E-3</v>
      </c>
      <c r="E29">
        <v>0.77749999999999997</v>
      </c>
      <c r="F29">
        <v>1.7509999999999999</v>
      </c>
    </row>
    <row r="30" spans="1:6" x14ac:dyDescent="0.3">
      <c r="A30" s="1">
        <v>33358</v>
      </c>
      <c r="B30">
        <v>0.69010000000000005</v>
      </c>
      <c r="D30">
        <v>7.332E-3</v>
      </c>
      <c r="E30">
        <v>0.78380000000000005</v>
      </c>
      <c r="F30">
        <v>1.726</v>
      </c>
    </row>
    <row r="31" spans="1:6" x14ac:dyDescent="0.3">
      <c r="A31" s="1">
        <v>33389</v>
      </c>
      <c r="B31">
        <v>0.67469999999999997</v>
      </c>
      <c r="D31">
        <v>7.2230000000000003E-3</v>
      </c>
      <c r="E31">
        <v>0.75970000000000004</v>
      </c>
      <c r="F31">
        <v>1.698</v>
      </c>
    </row>
    <row r="32" spans="1:6" x14ac:dyDescent="0.3">
      <c r="A32" s="1">
        <v>33417</v>
      </c>
      <c r="B32">
        <v>0.64180000000000004</v>
      </c>
      <c r="D32">
        <v>7.2519999999999998E-3</v>
      </c>
      <c r="E32">
        <v>0.76729999999999998</v>
      </c>
      <c r="F32">
        <v>1.6220000000000001</v>
      </c>
    </row>
    <row r="33" spans="1:6" x14ac:dyDescent="0.3">
      <c r="A33" s="1">
        <v>33450</v>
      </c>
      <c r="B33">
        <v>0.65529999999999999</v>
      </c>
      <c r="D33">
        <v>7.2769999999999996E-3</v>
      </c>
      <c r="E33">
        <v>0.77790000000000004</v>
      </c>
      <c r="F33">
        <v>1.6870000000000001</v>
      </c>
    </row>
    <row r="34" spans="1:6" x14ac:dyDescent="0.3">
      <c r="A34" s="1">
        <v>33480</v>
      </c>
      <c r="B34">
        <v>0.6542</v>
      </c>
      <c r="D34">
        <v>7.3070000000000001E-3</v>
      </c>
      <c r="E34">
        <v>0.78480000000000005</v>
      </c>
      <c r="F34">
        <v>1.6815</v>
      </c>
    </row>
    <row r="35" spans="1:6" x14ac:dyDescent="0.3">
      <c r="A35" s="1">
        <v>33511</v>
      </c>
      <c r="B35">
        <v>0.69010000000000005</v>
      </c>
      <c r="D35">
        <v>7.5269999999999998E-3</v>
      </c>
      <c r="E35">
        <v>0.79749999999999999</v>
      </c>
      <c r="F35">
        <v>1.7509999999999999</v>
      </c>
    </row>
    <row r="36" spans="1:6" x14ac:dyDescent="0.3">
      <c r="A36" s="1">
        <v>33542</v>
      </c>
      <c r="B36">
        <v>0.68259999999999998</v>
      </c>
      <c r="D36">
        <v>7.6569999999999997E-3</v>
      </c>
      <c r="E36">
        <v>0.78339999999999999</v>
      </c>
      <c r="F36">
        <v>1.7392000000000001</v>
      </c>
    </row>
    <row r="37" spans="1:6" x14ac:dyDescent="0.3">
      <c r="A37" s="1">
        <v>33571</v>
      </c>
      <c r="B37">
        <v>0.69640000000000002</v>
      </c>
      <c r="D37">
        <v>7.6880000000000004E-3</v>
      </c>
      <c r="E37">
        <v>0.78480000000000005</v>
      </c>
      <c r="F37">
        <v>1.7679</v>
      </c>
    </row>
    <row r="38" spans="1:6" x14ac:dyDescent="0.3">
      <c r="A38" s="1">
        <v>33603</v>
      </c>
      <c r="B38">
        <v>0.73450000000000004</v>
      </c>
      <c r="D38">
        <v>8.0059999999999992E-3</v>
      </c>
      <c r="E38">
        <v>0.76219999999999999</v>
      </c>
      <c r="F38">
        <v>1.8707</v>
      </c>
    </row>
    <row r="39" spans="1:6" x14ac:dyDescent="0.3">
      <c r="A39" s="1">
        <v>33634</v>
      </c>
      <c r="B39">
        <v>0.69979999999999998</v>
      </c>
      <c r="D39">
        <v>7.9649999999999999E-3</v>
      </c>
      <c r="E39">
        <v>0.75090000000000001</v>
      </c>
      <c r="F39">
        <v>1.7875000000000001</v>
      </c>
    </row>
    <row r="40" spans="1:6" x14ac:dyDescent="0.3">
      <c r="A40" s="1">
        <v>33662</v>
      </c>
      <c r="B40">
        <v>0.67359999999999998</v>
      </c>
      <c r="D40">
        <v>7.7429999999999999E-3</v>
      </c>
      <c r="E40">
        <v>0.755</v>
      </c>
      <c r="F40">
        <v>1.7577</v>
      </c>
    </row>
    <row r="41" spans="1:6" x14ac:dyDescent="0.3">
      <c r="A41" s="1">
        <v>33694</v>
      </c>
      <c r="B41">
        <v>0.66579999999999995</v>
      </c>
      <c r="D41">
        <v>7.5230000000000002E-3</v>
      </c>
      <c r="E41">
        <v>0.77049999999999996</v>
      </c>
      <c r="F41">
        <v>1.7363</v>
      </c>
    </row>
    <row r="42" spans="1:6" x14ac:dyDescent="0.3">
      <c r="A42" s="1">
        <v>33724</v>
      </c>
      <c r="B42">
        <v>0.65920000000000001</v>
      </c>
      <c r="D42">
        <v>7.502E-3</v>
      </c>
      <c r="E42">
        <v>0.75660000000000005</v>
      </c>
      <c r="F42">
        <v>1.7768999999999999</v>
      </c>
    </row>
    <row r="43" spans="1:6" x14ac:dyDescent="0.3">
      <c r="A43" s="1">
        <v>33753</v>
      </c>
      <c r="B43">
        <v>0.68669999999999998</v>
      </c>
      <c r="D43">
        <v>7.8279999999999999E-3</v>
      </c>
      <c r="E43">
        <v>0.75780000000000003</v>
      </c>
      <c r="F43">
        <v>1.8297000000000001</v>
      </c>
    </row>
    <row r="44" spans="1:6" x14ac:dyDescent="0.3">
      <c r="A44" s="1">
        <v>33785</v>
      </c>
      <c r="B44">
        <v>0.72740000000000005</v>
      </c>
      <c r="D44">
        <v>7.9450000000000007E-3</v>
      </c>
      <c r="E44">
        <v>0.74719999999999998</v>
      </c>
      <c r="F44">
        <v>1.905</v>
      </c>
    </row>
    <row r="45" spans="1:6" x14ac:dyDescent="0.3">
      <c r="A45" s="1">
        <v>33816</v>
      </c>
      <c r="B45">
        <v>0.76019999999999999</v>
      </c>
      <c r="D45">
        <v>7.8619999999999992E-3</v>
      </c>
      <c r="E45">
        <v>0.74409999999999998</v>
      </c>
      <c r="F45">
        <v>1.9275</v>
      </c>
    </row>
    <row r="46" spans="1:6" x14ac:dyDescent="0.3">
      <c r="A46" s="1">
        <v>33847</v>
      </c>
      <c r="B46">
        <v>0.79969999999999997</v>
      </c>
      <c r="D46">
        <v>8.1250000000000003E-3</v>
      </c>
      <c r="E46">
        <v>0.71540000000000004</v>
      </c>
      <c r="F46">
        <v>1.9883999999999999</v>
      </c>
    </row>
    <row r="47" spans="1:6" x14ac:dyDescent="0.3">
      <c r="A47" s="1">
        <v>33877</v>
      </c>
      <c r="B47">
        <v>0.8085</v>
      </c>
      <c r="D47">
        <v>8.3280000000000003E-3</v>
      </c>
      <c r="E47">
        <v>0.71319999999999995</v>
      </c>
      <c r="F47">
        <v>1.7773000000000001</v>
      </c>
    </row>
    <row r="48" spans="1:6" x14ac:dyDescent="0.3">
      <c r="A48" s="1">
        <v>33907</v>
      </c>
      <c r="B48">
        <v>0.72760000000000002</v>
      </c>
      <c r="D48">
        <v>8.0999999999999996E-3</v>
      </c>
      <c r="E48">
        <v>0.69579999999999997</v>
      </c>
      <c r="F48">
        <v>1.5585</v>
      </c>
    </row>
    <row r="49" spans="1:6" x14ac:dyDescent="0.3">
      <c r="A49" s="1">
        <v>33938</v>
      </c>
      <c r="B49">
        <v>0.69750000000000001</v>
      </c>
      <c r="D49">
        <v>8.0160000000000006E-3</v>
      </c>
      <c r="E49">
        <v>0.6825</v>
      </c>
      <c r="F49">
        <v>1.5170999999999999</v>
      </c>
    </row>
    <row r="50" spans="1:6" x14ac:dyDescent="0.3">
      <c r="A50" s="1">
        <v>33969</v>
      </c>
      <c r="B50">
        <v>0.68140000000000001</v>
      </c>
      <c r="D50">
        <v>8.0090000000000005E-3</v>
      </c>
      <c r="E50">
        <v>0.6895</v>
      </c>
      <c r="F50">
        <v>1.5105</v>
      </c>
    </row>
    <row r="51" spans="1:6" x14ac:dyDescent="0.3">
      <c r="A51" s="1">
        <v>33998</v>
      </c>
      <c r="B51">
        <v>0.67200000000000004</v>
      </c>
      <c r="D51">
        <v>8.0169999999999998E-3</v>
      </c>
      <c r="E51">
        <v>0.68020000000000003</v>
      </c>
      <c r="F51">
        <v>1.4861</v>
      </c>
    </row>
    <row r="52" spans="1:6" x14ac:dyDescent="0.3">
      <c r="A52" s="1">
        <v>34026</v>
      </c>
      <c r="B52">
        <v>0.65449999999999997</v>
      </c>
      <c r="D52">
        <v>8.4569999999999992E-3</v>
      </c>
      <c r="E52">
        <v>0.69520000000000004</v>
      </c>
      <c r="F52">
        <v>1.4255</v>
      </c>
    </row>
    <row r="53" spans="1:6" x14ac:dyDescent="0.3">
      <c r="A53" s="1">
        <v>34059</v>
      </c>
      <c r="B53">
        <v>0.67069999999999996</v>
      </c>
      <c r="D53">
        <v>8.7049999999999992E-3</v>
      </c>
      <c r="E53">
        <v>0.70550000000000002</v>
      </c>
      <c r="F53">
        <v>1.5145</v>
      </c>
    </row>
    <row r="54" spans="1:6" x14ac:dyDescent="0.3">
      <c r="A54" s="1">
        <v>34089</v>
      </c>
      <c r="B54">
        <v>0.6986</v>
      </c>
      <c r="D54">
        <v>9.0050000000000009E-3</v>
      </c>
      <c r="E54">
        <v>0.70730000000000004</v>
      </c>
      <c r="F54">
        <v>1.5740000000000001</v>
      </c>
    </row>
    <row r="55" spans="1:6" x14ac:dyDescent="0.3">
      <c r="A55" s="1">
        <v>34120</v>
      </c>
      <c r="B55">
        <v>0.70399999999999996</v>
      </c>
      <c r="D55">
        <v>9.3390000000000001E-3</v>
      </c>
      <c r="E55">
        <v>0.67849999999999999</v>
      </c>
      <c r="F55">
        <v>1.5629999999999999</v>
      </c>
    </row>
    <row r="56" spans="1:6" x14ac:dyDescent="0.3">
      <c r="A56" s="1">
        <v>34150</v>
      </c>
      <c r="B56">
        <v>0.66049999999999998</v>
      </c>
      <c r="D56">
        <v>9.3200000000000002E-3</v>
      </c>
      <c r="E56">
        <v>0.66549999999999998</v>
      </c>
      <c r="F56">
        <v>1.4912000000000001</v>
      </c>
    </row>
    <row r="57" spans="1:6" x14ac:dyDescent="0.3">
      <c r="A57" s="1">
        <v>34180</v>
      </c>
      <c r="B57">
        <v>0.65620000000000001</v>
      </c>
      <c r="D57">
        <v>9.5149999999999992E-3</v>
      </c>
      <c r="E57">
        <v>0.69</v>
      </c>
      <c r="F57">
        <v>1.4824999999999999</v>
      </c>
    </row>
    <row r="58" spans="1:6" x14ac:dyDescent="0.3">
      <c r="A58" s="1">
        <v>34212</v>
      </c>
      <c r="B58">
        <v>0.6764</v>
      </c>
      <c r="D58">
        <v>9.5469999999999999E-3</v>
      </c>
      <c r="E58">
        <v>0.67349999999999999</v>
      </c>
      <c r="F58">
        <v>1.4924999999999999</v>
      </c>
    </row>
    <row r="59" spans="1:6" x14ac:dyDescent="0.3">
      <c r="A59" s="1">
        <v>34242</v>
      </c>
      <c r="B59">
        <v>0.70140000000000002</v>
      </c>
      <c r="D59">
        <v>9.4070000000000004E-3</v>
      </c>
      <c r="E59">
        <v>0.64600000000000002</v>
      </c>
      <c r="F59">
        <v>1.496</v>
      </c>
    </row>
    <row r="60" spans="1:6" x14ac:dyDescent="0.3">
      <c r="A60" s="1">
        <v>34271</v>
      </c>
      <c r="B60">
        <v>0.67</v>
      </c>
      <c r="D60">
        <v>9.2079999999999992E-3</v>
      </c>
      <c r="E60">
        <v>0.66649999999999998</v>
      </c>
      <c r="F60">
        <v>1.48</v>
      </c>
    </row>
    <row r="61" spans="1:6" x14ac:dyDescent="0.3">
      <c r="A61" s="1">
        <v>34303</v>
      </c>
      <c r="B61">
        <v>0.66710000000000003</v>
      </c>
      <c r="D61">
        <v>9.1680000000000008E-3</v>
      </c>
      <c r="E61">
        <v>0.65939999999999999</v>
      </c>
      <c r="F61">
        <v>1.4858</v>
      </c>
    </row>
    <row r="62" spans="1:6" x14ac:dyDescent="0.3">
      <c r="A62" s="1">
        <v>34334</v>
      </c>
      <c r="B62">
        <v>0.67179999999999995</v>
      </c>
      <c r="D62">
        <v>8.9409999999999993E-3</v>
      </c>
      <c r="E62">
        <v>0.67930000000000001</v>
      </c>
      <c r="F62">
        <v>1.4775</v>
      </c>
    </row>
    <row r="63" spans="1:6" x14ac:dyDescent="0.3">
      <c r="A63" s="1">
        <v>34365</v>
      </c>
      <c r="B63">
        <v>0.68640000000000001</v>
      </c>
      <c r="D63">
        <v>9.2169999999999995E-3</v>
      </c>
      <c r="E63">
        <v>0.70860000000000001</v>
      </c>
      <c r="F63">
        <v>1.5068999999999999</v>
      </c>
    </row>
    <row r="64" spans="1:6" x14ac:dyDescent="0.3">
      <c r="A64" s="1">
        <v>34393</v>
      </c>
      <c r="B64">
        <v>0.70099999999999996</v>
      </c>
      <c r="D64">
        <v>9.5689999999999994E-3</v>
      </c>
      <c r="E64">
        <v>0.71350000000000002</v>
      </c>
      <c r="F64">
        <v>1.4855</v>
      </c>
    </row>
    <row r="65" spans="1:6" x14ac:dyDescent="0.3">
      <c r="A65" s="1">
        <v>34424</v>
      </c>
      <c r="B65">
        <v>0.70750000000000002</v>
      </c>
      <c r="D65">
        <v>9.7319999999999993E-3</v>
      </c>
      <c r="E65">
        <v>0.70450000000000002</v>
      </c>
      <c r="F65">
        <v>1.484</v>
      </c>
    </row>
    <row r="66" spans="1:6" x14ac:dyDescent="0.3">
      <c r="A66" s="1">
        <v>34453</v>
      </c>
      <c r="B66">
        <v>0.71250000000000002</v>
      </c>
      <c r="D66">
        <v>9.8329999999999997E-3</v>
      </c>
      <c r="E66">
        <v>0.71550000000000002</v>
      </c>
      <c r="F66">
        <v>1.5185</v>
      </c>
    </row>
    <row r="67" spans="1:6" x14ac:dyDescent="0.3">
      <c r="A67" s="1">
        <v>34485</v>
      </c>
      <c r="B67">
        <v>0.71299999999999997</v>
      </c>
      <c r="D67">
        <v>9.5440000000000004E-3</v>
      </c>
      <c r="E67">
        <v>0.73709999999999998</v>
      </c>
      <c r="F67">
        <v>1.5113000000000001</v>
      </c>
    </row>
    <row r="68" spans="1:6" x14ac:dyDescent="0.3">
      <c r="A68" s="1">
        <v>34515</v>
      </c>
      <c r="B68">
        <v>0.74990000000000001</v>
      </c>
      <c r="D68">
        <v>1.0158E-2</v>
      </c>
      <c r="E68">
        <v>0.72850000000000004</v>
      </c>
      <c r="F68">
        <v>1.5443</v>
      </c>
    </row>
    <row r="69" spans="1:6" x14ac:dyDescent="0.3">
      <c r="A69" s="1">
        <v>34544</v>
      </c>
      <c r="B69">
        <v>0.74629999999999996</v>
      </c>
      <c r="D69">
        <v>9.9850000000000008E-3</v>
      </c>
      <c r="E69">
        <v>0.73950000000000005</v>
      </c>
      <c r="F69">
        <v>1.544</v>
      </c>
    </row>
    <row r="70" spans="1:6" x14ac:dyDescent="0.3">
      <c r="A70" s="1">
        <v>34577</v>
      </c>
      <c r="B70">
        <v>0.75080000000000002</v>
      </c>
      <c r="D70">
        <v>9.9950000000000004E-3</v>
      </c>
      <c r="E70">
        <v>0.7429</v>
      </c>
      <c r="F70">
        <v>1.534</v>
      </c>
    </row>
    <row r="71" spans="1:6" x14ac:dyDescent="0.3">
      <c r="A71" s="1">
        <v>34607</v>
      </c>
      <c r="B71">
        <v>0.77669999999999995</v>
      </c>
      <c r="D71">
        <v>1.0085999999999999E-2</v>
      </c>
      <c r="E71">
        <v>0.74019999999999997</v>
      </c>
      <c r="F71">
        <v>1.5774999999999999</v>
      </c>
    </row>
    <row r="72" spans="1:6" x14ac:dyDescent="0.3">
      <c r="A72" s="1">
        <v>34638</v>
      </c>
      <c r="B72">
        <v>0.79590000000000005</v>
      </c>
      <c r="D72">
        <v>1.0314E-2</v>
      </c>
      <c r="E72">
        <v>0.74260000000000004</v>
      </c>
      <c r="F72">
        <v>1.6355</v>
      </c>
    </row>
    <row r="73" spans="1:6" x14ac:dyDescent="0.3">
      <c r="A73" s="1">
        <v>34668</v>
      </c>
      <c r="B73">
        <v>0.75390000000000001</v>
      </c>
      <c r="D73">
        <v>1.0104E-2</v>
      </c>
      <c r="E73">
        <v>0.76880000000000004</v>
      </c>
      <c r="F73">
        <v>1.5645</v>
      </c>
    </row>
    <row r="74" spans="1:6" x14ac:dyDescent="0.3">
      <c r="A74" s="1">
        <v>34698</v>
      </c>
      <c r="B74">
        <v>0.76419999999999999</v>
      </c>
      <c r="D74">
        <v>1.0042000000000001E-2</v>
      </c>
      <c r="E74">
        <v>0.77539999999999998</v>
      </c>
      <c r="F74">
        <v>1.5648</v>
      </c>
    </row>
    <row r="75" spans="1:6" x14ac:dyDescent="0.3">
      <c r="A75" s="1">
        <v>34730</v>
      </c>
      <c r="B75">
        <v>0.77790000000000004</v>
      </c>
      <c r="D75">
        <v>1.0045E-2</v>
      </c>
      <c r="E75">
        <v>0.75670000000000004</v>
      </c>
      <c r="F75">
        <v>1.5794999999999999</v>
      </c>
    </row>
    <row r="76" spans="1:6" x14ac:dyDescent="0.3">
      <c r="A76" s="1">
        <v>34758</v>
      </c>
      <c r="B76">
        <v>0.80810000000000004</v>
      </c>
      <c r="D76">
        <v>1.0343E-2</v>
      </c>
      <c r="E76">
        <v>0.73899999999999999</v>
      </c>
      <c r="F76">
        <v>1.5839000000000001</v>
      </c>
    </row>
    <row r="77" spans="1:6" x14ac:dyDescent="0.3">
      <c r="A77" s="1">
        <v>34789</v>
      </c>
      <c r="B77">
        <v>0.8861</v>
      </c>
      <c r="D77">
        <v>1.1554E-2</v>
      </c>
      <c r="E77">
        <v>0.73450000000000004</v>
      </c>
      <c r="F77">
        <v>1.6214999999999999</v>
      </c>
    </row>
    <row r="78" spans="1:6" x14ac:dyDescent="0.3">
      <c r="A78" s="1">
        <v>34817</v>
      </c>
      <c r="B78">
        <v>0.87409999999999999</v>
      </c>
      <c r="D78">
        <v>1.1856999999999999E-2</v>
      </c>
      <c r="E78">
        <v>0.72819999999999996</v>
      </c>
      <c r="F78">
        <v>1.6125</v>
      </c>
    </row>
    <row r="79" spans="1:6" x14ac:dyDescent="0.3">
      <c r="A79" s="1">
        <v>34850</v>
      </c>
      <c r="B79">
        <v>0.85680000000000001</v>
      </c>
      <c r="D79">
        <v>1.1818E-2</v>
      </c>
      <c r="E79">
        <v>0.71779999999999999</v>
      </c>
      <c r="F79">
        <v>1.5863</v>
      </c>
    </row>
    <row r="80" spans="1:6" x14ac:dyDescent="0.3">
      <c r="A80" s="1">
        <v>34880</v>
      </c>
      <c r="B80">
        <v>0.87109999999999999</v>
      </c>
      <c r="D80">
        <v>1.1816999999999999E-2</v>
      </c>
      <c r="E80">
        <v>0.71030000000000004</v>
      </c>
      <c r="F80">
        <v>1.5954999999999999</v>
      </c>
    </row>
    <row r="81" spans="1:6" x14ac:dyDescent="0.3">
      <c r="A81" s="1">
        <v>34911</v>
      </c>
      <c r="B81">
        <v>0.86770000000000003</v>
      </c>
      <c r="D81">
        <v>1.1306E-2</v>
      </c>
      <c r="E81">
        <v>0.73860000000000003</v>
      </c>
      <c r="F81">
        <v>1.597</v>
      </c>
    </row>
    <row r="82" spans="1:6" x14ac:dyDescent="0.3">
      <c r="A82" s="1">
        <v>34942</v>
      </c>
      <c r="B82">
        <v>0.83099999999999996</v>
      </c>
      <c r="D82">
        <v>1.0260999999999999E-2</v>
      </c>
      <c r="E82">
        <v>0.751</v>
      </c>
      <c r="F82">
        <v>1.5496000000000001</v>
      </c>
    </row>
    <row r="83" spans="1:6" x14ac:dyDescent="0.3">
      <c r="A83" s="1">
        <v>34971</v>
      </c>
      <c r="B83">
        <v>0.86629999999999996</v>
      </c>
      <c r="D83">
        <v>1.0028E-2</v>
      </c>
      <c r="E83">
        <v>0.75570000000000004</v>
      </c>
      <c r="F83">
        <v>1.5848</v>
      </c>
    </row>
    <row r="84" spans="1:6" x14ac:dyDescent="0.3">
      <c r="A84" s="1">
        <v>35003</v>
      </c>
      <c r="B84">
        <v>0.88</v>
      </c>
      <c r="D84">
        <v>9.8080000000000007E-3</v>
      </c>
      <c r="E84">
        <v>0.75960000000000005</v>
      </c>
      <c r="F84">
        <v>1.5798000000000001</v>
      </c>
    </row>
    <row r="85" spans="1:6" x14ac:dyDescent="0.3">
      <c r="A85" s="1">
        <v>35033</v>
      </c>
      <c r="B85">
        <v>0.85029999999999994</v>
      </c>
      <c r="D85">
        <v>9.8010000000000007E-3</v>
      </c>
      <c r="E85">
        <v>0.74380000000000002</v>
      </c>
      <c r="F85">
        <v>1.5336000000000001</v>
      </c>
    </row>
    <row r="86" spans="1:6" x14ac:dyDescent="0.3">
      <c r="A86" s="1">
        <v>35062</v>
      </c>
      <c r="B86">
        <v>0.86629999999999996</v>
      </c>
      <c r="D86">
        <v>9.6600000000000002E-3</v>
      </c>
      <c r="E86">
        <v>0.74280000000000002</v>
      </c>
      <c r="F86">
        <v>1.5496000000000001</v>
      </c>
    </row>
    <row r="87" spans="1:6" x14ac:dyDescent="0.3">
      <c r="A87" s="1">
        <v>35095</v>
      </c>
      <c r="B87">
        <v>0.8256</v>
      </c>
      <c r="D87">
        <v>9.3419999999999996E-3</v>
      </c>
      <c r="E87">
        <v>0.74639999999999995</v>
      </c>
      <c r="F87">
        <v>1.5137</v>
      </c>
    </row>
    <row r="88" spans="1:6" x14ac:dyDescent="0.3">
      <c r="A88" s="1">
        <v>35124</v>
      </c>
      <c r="B88">
        <v>0.83230000000000004</v>
      </c>
      <c r="D88">
        <v>9.5029999999999993E-3</v>
      </c>
      <c r="E88">
        <v>0.76470000000000005</v>
      </c>
      <c r="F88">
        <v>1.5319</v>
      </c>
    </row>
    <row r="89" spans="1:6" x14ac:dyDescent="0.3">
      <c r="A89" s="1">
        <v>35153</v>
      </c>
      <c r="B89">
        <v>0.84050000000000002</v>
      </c>
      <c r="D89">
        <v>9.3240000000000007E-3</v>
      </c>
      <c r="E89">
        <v>0.78290000000000004</v>
      </c>
      <c r="F89">
        <v>1.5269999999999999</v>
      </c>
    </row>
    <row r="90" spans="1:6" x14ac:dyDescent="0.3">
      <c r="A90" s="1">
        <v>35185</v>
      </c>
      <c r="B90">
        <v>0.80349999999999999</v>
      </c>
      <c r="D90">
        <v>9.5119999999999996E-3</v>
      </c>
      <c r="E90">
        <v>0.78749999999999998</v>
      </c>
      <c r="F90">
        <v>1.5065</v>
      </c>
    </row>
    <row r="91" spans="1:6" x14ac:dyDescent="0.3">
      <c r="A91" s="1">
        <v>35216</v>
      </c>
      <c r="B91">
        <v>0.80089999999999995</v>
      </c>
      <c r="D91">
        <v>9.2530000000000008E-3</v>
      </c>
      <c r="E91">
        <v>0.79869999999999997</v>
      </c>
      <c r="F91">
        <v>1.5510999999999999</v>
      </c>
    </row>
    <row r="92" spans="1:6" x14ac:dyDescent="0.3">
      <c r="A92" s="1">
        <v>35244</v>
      </c>
      <c r="B92">
        <v>0.79710000000000003</v>
      </c>
      <c r="D92">
        <v>9.1140000000000006E-3</v>
      </c>
      <c r="E92">
        <v>0.78810000000000002</v>
      </c>
      <c r="F92">
        <v>1.5527</v>
      </c>
    </row>
    <row r="93" spans="1:6" x14ac:dyDescent="0.3">
      <c r="A93" s="1">
        <v>35277</v>
      </c>
      <c r="B93">
        <v>0.83489999999999998</v>
      </c>
      <c r="D93">
        <v>9.3620000000000005E-3</v>
      </c>
      <c r="E93">
        <v>0.77270000000000005</v>
      </c>
      <c r="F93">
        <v>1.5566</v>
      </c>
    </row>
    <row r="94" spans="1:6" x14ac:dyDescent="0.3">
      <c r="A94" s="1">
        <v>35307</v>
      </c>
      <c r="B94">
        <v>0.83220000000000005</v>
      </c>
      <c r="D94">
        <v>9.1830000000000002E-3</v>
      </c>
      <c r="E94">
        <v>0.78959999999999997</v>
      </c>
      <c r="F94">
        <v>1.5647</v>
      </c>
    </row>
    <row r="95" spans="1:6" x14ac:dyDescent="0.3">
      <c r="A95" s="1">
        <v>35338</v>
      </c>
      <c r="B95">
        <v>0.79690000000000005</v>
      </c>
      <c r="D95">
        <v>8.9770000000000006E-3</v>
      </c>
      <c r="E95">
        <v>0.79139999999999999</v>
      </c>
      <c r="F95">
        <v>1.5652999999999999</v>
      </c>
    </row>
    <row r="96" spans="1:6" x14ac:dyDescent="0.3">
      <c r="A96" s="1">
        <v>35369</v>
      </c>
      <c r="B96">
        <v>0.78820000000000001</v>
      </c>
      <c r="D96">
        <v>8.7670000000000005E-3</v>
      </c>
      <c r="E96">
        <v>0.79169999999999996</v>
      </c>
      <c r="F96">
        <v>1.6271</v>
      </c>
    </row>
    <row r="97" spans="1:6" x14ac:dyDescent="0.3">
      <c r="A97" s="1">
        <v>35398</v>
      </c>
      <c r="B97">
        <v>0.76629999999999998</v>
      </c>
      <c r="D97">
        <v>8.7829999999999991E-3</v>
      </c>
      <c r="E97">
        <v>0.81610000000000005</v>
      </c>
      <c r="F97">
        <v>1.6820999999999999</v>
      </c>
    </row>
    <row r="98" spans="1:6" x14ac:dyDescent="0.3">
      <c r="A98" s="1">
        <v>35430</v>
      </c>
      <c r="B98">
        <v>0.74539999999999995</v>
      </c>
      <c r="D98">
        <v>8.6429999999999996E-3</v>
      </c>
      <c r="E98">
        <v>0.79420000000000002</v>
      </c>
      <c r="F98">
        <v>1.714</v>
      </c>
    </row>
    <row r="99" spans="1:6" x14ac:dyDescent="0.3">
      <c r="A99" s="1">
        <v>35461</v>
      </c>
      <c r="B99">
        <v>0.70299999999999996</v>
      </c>
      <c r="D99">
        <v>8.2439999999999996E-3</v>
      </c>
      <c r="E99">
        <v>0.76239999999999997</v>
      </c>
      <c r="F99">
        <v>1.6024</v>
      </c>
    </row>
    <row r="100" spans="1:6" x14ac:dyDescent="0.3">
      <c r="A100" s="1">
        <v>35489</v>
      </c>
      <c r="B100">
        <v>0.67610000000000003</v>
      </c>
      <c r="D100">
        <v>8.3070000000000001E-3</v>
      </c>
      <c r="E100">
        <v>0.77849999999999997</v>
      </c>
      <c r="F100">
        <v>1.6286</v>
      </c>
    </row>
    <row r="101" spans="1:6" x14ac:dyDescent="0.3">
      <c r="A101" s="1">
        <v>35520</v>
      </c>
      <c r="B101">
        <v>0.69020000000000004</v>
      </c>
      <c r="D101">
        <v>8.0780000000000001E-3</v>
      </c>
      <c r="E101">
        <v>0.78569999999999995</v>
      </c>
      <c r="F101">
        <v>1.6374</v>
      </c>
    </row>
    <row r="102" spans="1:6" x14ac:dyDescent="0.3">
      <c r="A102" s="1">
        <v>35550</v>
      </c>
      <c r="B102">
        <v>0.67869999999999997</v>
      </c>
      <c r="D102">
        <v>7.868E-3</v>
      </c>
      <c r="E102">
        <v>0.78059999999999996</v>
      </c>
      <c r="F102">
        <v>1.6235999999999999</v>
      </c>
    </row>
    <row r="103" spans="1:6" x14ac:dyDescent="0.3">
      <c r="A103" s="1">
        <v>35580</v>
      </c>
      <c r="B103">
        <v>0.70709999999999995</v>
      </c>
      <c r="D103">
        <v>8.5970000000000005E-3</v>
      </c>
      <c r="E103">
        <v>0.76019999999999999</v>
      </c>
      <c r="F103">
        <v>1.6387</v>
      </c>
    </row>
    <row r="104" spans="1:6" x14ac:dyDescent="0.3">
      <c r="A104" s="1">
        <v>35611</v>
      </c>
      <c r="B104">
        <v>0.68410000000000004</v>
      </c>
      <c r="D104">
        <v>8.7279999999999996E-3</v>
      </c>
      <c r="E104">
        <v>0.754</v>
      </c>
      <c r="F104">
        <v>1.6656</v>
      </c>
    </row>
    <row r="105" spans="1:6" x14ac:dyDescent="0.3">
      <c r="A105" s="1">
        <v>35642</v>
      </c>
      <c r="B105">
        <v>0.66120000000000001</v>
      </c>
      <c r="D105">
        <v>8.4349999999999998E-3</v>
      </c>
      <c r="E105">
        <v>0.74780000000000002</v>
      </c>
      <c r="F105">
        <v>1.6408</v>
      </c>
    </row>
    <row r="106" spans="1:6" x14ac:dyDescent="0.3">
      <c r="A106" s="1">
        <v>35671</v>
      </c>
      <c r="B106">
        <v>0.67</v>
      </c>
      <c r="D106">
        <v>8.2679999999999993E-3</v>
      </c>
      <c r="E106">
        <v>0.73229999999999995</v>
      </c>
      <c r="F106">
        <v>1.6153</v>
      </c>
    </row>
    <row r="107" spans="1:6" x14ac:dyDescent="0.3">
      <c r="A107" s="1">
        <v>35703</v>
      </c>
      <c r="B107">
        <v>0.69079999999999997</v>
      </c>
      <c r="D107">
        <v>8.2979999999999998E-3</v>
      </c>
      <c r="E107">
        <v>0.72509999999999997</v>
      </c>
      <c r="F107">
        <v>1.6155999999999999</v>
      </c>
    </row>
    <row r="108" spans="1:6" x14ac:dyDescent="0.3">
      <c r="A108" s="1">
        <v>35734</v>
      </c>
      <c r="B108">
        <v>0.71450000000000002</v>
      </c>
      <c r="D108">
        <v>8.3000000000000001E-3</v>
      </c>
      <c r="E108">
        <v>0.70120000000000005</v>
      </c>
      <c r="F108">
        <v>1.6727000000000001</v>
      </c>
    </row>
    <row r="109" spans="1:6" x14ac:dyDescent="0.3">
      <c r="A109" s="1">
        <v>35762</v>
      </c>
      <c r="B109">
        <v>0.70089999999999997</v>
      </c>
      <c r="D109">
        <v>7.8220000000000008E-3</v>
      </c>
      <c r="E109">
        <v>0.68130000000000002</v>
      </c>
      <c r="F109">
        <v>1.6890000000000001</v>
      </c>
    </row>
    <row r="110" spans="1:6" x14ac:dyDescent="0.3">
      <c r="A110" s="1">
        <v>35795</v>
      </c>
      <c r="B110">
        <v>0.68400000000000005</v>
      </c>
      <c r="D110">
        <v>7.6579999999999999E-3</v>
      </c>
      <c r="E110">
        <v>0.65039999999999998</v>
      </c>
      <c r="F110">
        <v>1.6452</v>
      </c>
    </row>
    <row r="111" spans="1:6" x14ac:dyDescent="0.3">
      <c r="A111" s="1">
        <v>35825</v>
      </c>
      <c r="B111">
        <v>0.6774</v>
      </c>
      <c r="D111">
        <v>7.8709999999999995E-3</v>
      </c>
      <c r="E111">
        <v>0.68330000000000002</v>
      </c>
      <c r="F111">
        <v>1.6319999999999999</v>
      </c>
    </row>
    <row r="112" spans="1:6" x14ac:dyDescent="0.3">
      <c r="A112" s="1">
        <v>35853</v>
      </c>
      <c r="B112">
        <v>0.6825</v>
      </c>
      <c r="D112">
        <v>7.9299999999999995E-3</v>
      </c>
      <c r="E112">
        <v>0.68</v>
      </c>
      <c r="F112">
        <v>1.643</v>
      </c>
    </row>
    <row r="113" spans="1:6" x14ac:dyDescent="0.3">
      <c r="A113" s="1">
        <v>35885</v>
      </c>
      <c r="B113">
        <v>0.65690000000000004</v>
      </c>
      <c r="D113">
        <v>7.515E-3</v>
      </c>
      <c r="E113">
        <v>0.66239999999999999</v>
      </c>
      <c r="F113">
        <v>1.6725000000000001</v>
      </c>
    </row>
    <row r="114" spans="1:6" x14ac:dyDescent="0.3">
      <c r="A114" s="1">
        <v>35915</v>
      </c>
      <c r="B114">
        <v>0.66610000000000003</v>
      </c>
      <c r="D114">
        <v>7.5259999999999997E-3</v>
      </c>
      <c r="E114">
        <v>0.64929999999999999</v>
      </c>
      <c r="F114">
        <v>1.6711</v>
      </c>
    </row>
    <row r="115" spans="1:6" x14ac:dyDescent="0.3">
      <c r="A115" s="1">
        <v>35944</v>
      </c>
      <c r="B115">
        <v>0.67430000000000001</v>
      </c>
      <c r="D115">
        <v>7.2049999999999996E-3</v>
      </c>
      <c r="E115">
        <v>0.623</v>
      </c>
      <c r="F115">
        <v>1.631</v>
      </c>
    </row>
    <row r="116" spans="1:6" x14ac:dyDescent="0.3">
      <c r="A116" s="1">
        <v>35976</v>
      </c>
      <c r="B116">
        <v>0.65780000000000005</v>
      </c>
      <c r="D116">
        <v>7.2059999999999997E-3</v>
      </c>
      <c r="E116">
        <v>0.62080000000000002</v>
      </c>
      <c r="F116">
        <v>1.6678999999999999</v>
      </c>
    </row>
    <row r="117" spans="1:6" x14ac:dyDescent="0.3">
      <c r="A117" s="1">
        <v>36007</v>
      </c>
      <c r="B117">
        <v>0.67049999999999998</v>
      </c>
      <c r="D117">
        <v>6.914E-3</v>
      </c>
      <c r="E117">
        <v>0.60560000000000003</v>
      </c>
      <c r="F117">
        <v>1.6326000000000001</v>
      </c>
    </row>
    <row r="118" spans="1:6" x14ac:dyDescent="0.3">
      <c r="A118" s="1">
        <v>36038</v>
      </c>
      <c r="B118">
        <v>0.69840000000000002</v>
      </c>
      <c r="D118">
        <v>7.1789999999999996E-3</v>
      </c>
      <c r="E118">
        <v>0.56779999999999997</v>
      </c>
      <c r="F118">
        <v>1.6798</v>
      </c>
    </row>
    <row r="119" spans="1:6" x14ac:dyDescent="0.3">
      <c r="A119" s="1">
        <v>36068</v>
      </c>
      <c r="B119">
        <v>0.72540000000000004</v>
      </c>
      <c r="D119">
        <v>7.3280000000000003E-3</v>
      </c>
      <c r="E119">
        <v>0.59350000000000003</v>
      </c>
      <c r="F119">
        <v>1.6989000000000001</v>
      </c>
    </row>
    <row r="120" spans="1:6" x14ac:dyDescent="0.3">
      <c r="A120" s="1">
        <v>36098</v>
      </c>
      <c r="B120">
        <v>0.7399</v>
      </c>
      <c r="D120">
        <v>8.6230000000000005E-3</v>
      </c>
      <c r="E120">
        <v>0.625</v>
      </c>
      <c r="F120">
        <v>1.6755</v>
      </c>
    </row>
    <row r="121" spans="1:6" x14ac:dyDescent="0.3">
      <c r="A121" s="1">
        <v>36129</v>
      </c>
      <c r="B121">
        <v>0.71740000000000004</v>
      </c>
      <c r="D121">
        <v>8.1239999999999993E-3</v>
      </c>
      <c r="E121">
        <v>0.62890000000000001</v>
      </c>
      <c r="F121">
        <v>1.6476999999999999</v>
      </c>
    </row>
    <row r="122" spans="1:6" x14ac:dyDescent="0.3">
      <c r="A122" s="1">
        <v>36160</v>
      </c>
      <c r="B122">
        <v>0.72709999999999997</v>
      </c>
      <c r="D122">
        <v>8.7790000000000003E-3</v>
      </c>
      <c r="E122">
        <v>0.61029999999999995</v>
      </c>
      <c r="F122">
        <v>1.66</v>
      </c>
    </row>
    <row r="123" spans="1:6" x14ac:dyDescent="0.3">
      <c r="A123" s="1">
        <v>36189</v>
      </c>
      <c r="B123">
        <v>0.70620000000000005</v>
      </c>
      <c r="D123">
        <v>8.5959999999999995E-3</v>
      </c>
      <c r="E123">
        <v>0.63029999999999997</v>
      </c>
      <c r="F123">
        <v>1.6449</v>
      </c>
    </row>
    <row r="124" spans="1:6" x14ac:dyDescent="0.3">
      <c r="A124" s="1">
        <v>36217</v>
      </c>
      <c r="B124">
        <v>0.69140000000000001</v>
      </c>
      <c r="D124">
        <v>8.3890000000000006E-3</v>
      </c>
      <c r="E124">
        <v>0.61880000000000002</v>
      </c>
      <c r="F124">
        <v>1.6025</v>
      </c>
    </row>
    <row r="125" spans="1:6" x14ac:dyDescent="0.3">
      <c r="A125" s="1">
        <v>36250</v>
      </c>
      <c r="B125">
        <v>0.67469999999999997</v>
      </c>
      <c r="D125">
        <v>8.4130000000000003E-3</v>
      </c>
      <c r="E125">
        <v>0.63429999999999997</v>
      </c>
      <c r="F125">
        <v>1.6112</v>
      </c>
    </row>
    <row r="126" spans="1:6" x14ac:dyDescent="0.3">
      <c r="A126" s="1">
        <v>36280</v>
      </c>
      <c r="B126">
        <v>0.65549999999999997</v>
      </c>
      <c r="D126">
        <v>8.3859999999999994E-3</v>
      </c>
      <c r="E126">
        <v>0.6613</v>
      </c>
      <c r="F126">
        <v>1.6094999999999999</v>
      </c>
    </row>
    <row r="127" spans="1:6" x14ac:dyDescent="0.3">
      <c r="A127" s="1">
        <v>36311</v>
      </c>
      <c r="B127">
        <v>0.65510000000000002</v>
      </c>
      <c r="D127">
        <v>8.2310000000000005E-3</v>
      </c>
      <c r="E127">
        <v>0.64890000000000003</v>
      </c>
      <c r="F127">
        <v>1.6026</v>
      </c>
    </row>
    <row r="128" spans="1:6" x14ac:dyDescent="0.3">
      <c r="A128" s="1">
        <v>36341</v>
      </c>
      <c r="B128">
        <v>0.6462</v>
      </c>
      <c r="D128">
        <v>8.2579999999999997E-3</v>
      </c>
      <c r="E128">
        <v>0.66739999999999999</v>
      </c>
      <c r="F128">
        <v>1.5778000000000001</v>
      </c>
    </row>
    <row r="129" spans="1:6" x14ac:dyDescent="0.3">
      <c r="A129" s="1">
        <v>36371</v>
      </c>
      <c r="B129">
        <v>0.67079999999999995</v>
      </c>
      <c r="D129">
        <v>8.7320000000000002E-3</v>
      </c>
      <c r="E129">
        <v>0.6522</v>
      </c>
      <c r="F129">
        <v>1.6215999999999999</v>
      </c>
    </row>
    <row r="130" spans="1:6" x14ac:dyDescent="0.3">
      <c r="A130" s="1">
        <v>36403</v>
      </c>
      <c r="B130">
        <v>0.6603</v>
      </c>
      <c r="D130">
        <v>9.1149999999999998E-3</v>
      </c>
      <c r="E130">
        <v>0.64070000000000005</v>
      </c>
      <c r="F130">
        <v>1.6037999999999999</v>
      </c>
    </row>
    <row r="131" spans="1:6" x14ac:dyDescent="0.3">
      <c r="A131" s="1">
        <v>36433</v>
      </c>
      <c r="B131">
        <v>0.66879999999999995</v>
      </c>
      <c r="D131">
        <v>9.4050000000000002E-3</v>
      </c>
      <c r="E131">
        <v>0.65200000000000002</v>
      </c>
      <c r="F131">
        <v>1.6473</v>
      </c>
    </row>
    <row r="132" spans="1:6" x14ac:dyDescent="0.3">
      <c r="A132" s="1">
        <v>36462</v>
      </c>
      <c r="B132">
        <v>0.65749999999999997</v>
      </c>
      <c r="D132">
        <v>9.6069999999999992E-3</v>
      </c>
      <c r="E132">
        <v>0.63900000000000001</v>
      </c>
      <c r="F132">
        <v>1.6448</v>
      </c>
    </row>
    <row r="133" spans="1:6" x14ac:dyDescent="0.3">
      <c r="A133" s="1">
        <v>36494</v>
      </c>
      <c r="B133">
        <v>0.63039999999999996</v>
      </c>
      <c r="D133">
        <v>9.7890000000000008E-3</v>
      </c>
      <c r="E133">
        <v>0.63560000000000005</v>
      </c>
      <c r="F133">
        <v>1.5981000000000001</v>
      </c>
    </row>
    <row r="134" spans="1:6" x14ac:dyDescent="0.3">
      <c r="A134" s="1">
        <v>36525</v>
      </c>
      <c r="B134">
        <v>0.62870000000000004</v>
      </c>
      <c r="D134">
        <v>9.7549999999999998E-3</v>
      </c>
      <c r="E134">
        <v>0.65669999999999995</v>
      </c>
      <c r="F134">
        <v>1.6182000000000001</v>
      </c>
    </row>
    <row r="135" spans="1:6" x14ac:dyDescent="0.3">
      <c r="A135" s="1">
        <v>36556</v>
      </c>
      <c r="B135">
        <v>0.60329999999999995</v>
      </c>
      <c r="C135">
        <v>0.97070000000000001</v>
      </c>
      <c r="D135">
        <v>9.3130000000000001E-3</v>
      </c>
      <c r="E135">
        <v>0.63700000000000001</v>
      </c>
      <c r="F135">
        <v>1.6162000000000001</v>
      </c>
    </row>
    <row r="136" spans="1:6" x14ac:dyDescent="0.3">
      <c r="A136" s="1">
        <v>36585</v>
      </c>
      <c r="B136">
        <v>0.60050000000000003</v>
      </c>
      <c r="C136">
        <v>0.96419999999999995</v>
      </c>
      <c r="D136">
        <v>9.0670000000000004E-3</v>
      </c>
      <c r="E136">
        <v>0.61780000000000002</v>
      </c>
      <c r="F136">
        <v>1.5791999999999999</v>
      </c>
    </row>
    <row r="137" spans="1:6" x14ac:dyDescent="0.3">
      <c r="A137" s="1">
        <v>36616</v>
      </c>
      <c r="B137">
        <v>0.60050000000000003</v>
      </c>
      <c r="C137">
        <v>0.95550000000000002</v>
      </c>
      <c r="D137">
        <v>9.7280000000000005E-3</v>
      </c>
      <c r="E137">
        <v>0.60709999999999997</v>
      </c>
      <c r="F137">
        <v>1.5911</v>
      </c>
    </row>
    <row r="138" spans="1:6" x14ac:dyDescent="0.3">
      <c r="A138" s="1">
        <v>36644</v>
      </c>
      <c r="B138">
        <v>0.5827</v>
      </c>
      <c r="C138">
        <v>0.91190000000000004</v>
      </c>
      <c r="D138">
        <v>9.2429999999999995E-3</v>
      </c>
      <c r="E138">
        <v>0.58389999999999997</v>
      </c>
      <c r="F138">
        <v>1.5512999999999999</v>
      </c>
    </row>
    <row r="139" spans="1:6" x14ac:dyDescent="0.3">
      <c r="A139" s="1">
        <v>36677</v>
      </c>
      <c r="B139">
        <v>0.59519999999999995</v>
      </c>
      <c r="C139">
        <v>0.93799999999999994</v>
      </c>
      <c r="D139">
        <v>9.2890000000000004E-3</v>
      </c>
      <c r="E139">
        <v>0.57250000000000001</v>
      </c>
      <c r="F139">
        <v>1.5014000000000001</v>
      </c>
    </row>
    <row r="140" spans="1:6" x14ac:dyDescent="0.3">
      <c r="A140" s="1">
        <v>36707</v>
      </c>
      <c r="B140">
        <v>0.61250000000000004</v>
      </c>
      <c r="C140">
        <v>0.95250000000000001</v>
      </c>
      <c r="D140">
        <v>9.4359999999999999E-3</v>
      </c>
      <c r="E140">
        <v>0.59740000000000004</v>
      </c>
      <c r="F140">
        <v>1.5141</v>
      </c>
    </row>
    <row r="141" spans="1:6" x14ac:dyDescent="0.3">
      <c r="A141" s="1">
        <v>36738</v>
      </c>
      <c r="B141">
        <v>0.59889999999999999</v>
      </c>
      <c r="C141">
        <v>0.92659999999999998</v>
      </c>
      <c r="D141">
        <v>9.1400000000000006E-3</v>
      </c>
      <c r="E141">
        <v>0.58079999999999998</v>
      </c>
      <c r="F141">
        <v>1.4997</v>
      </c>
    </row>
    <row r="142" spans="1:6" x14ac:dyDescent="0.3">
      <c r="A142" s="1">
        <v>36769</v>
      </c>
      <c r="B142">
        <v>0.57389999999999997</v>
      </c>
      <c r="C142">
        <v>0.88780000000000003</v>
      </c>
      <c r="D142">
        <v>9.3720000000000001E-3</v>
      </c>
      <c r="E142">
        <v>0.57640000000000002</v>
      </c>
      <c r="F142">
        <v>1.4473</v>
      </c>
    </row>
    <row r="143" spans="1:6" x14ac:dyDescent="0.3">
      <c r="A143" s="1">
        <v>36798</v>
      </c>
      <c r="B143">
        <v>0.57979999999999998</v>
      </c>
      <c r="C143">
        <v>0.88280000000000003</v>
      </c>
      <c r="D143">
        <v>9.247E-3</v>
      </c>
      <c r="E143">
        <v>0.54279999999999995</v>
      </c>
      <c r="F143">
        <v>1.4754</v>
      </c>
    </row>
    <row r="144" spans="1:6" x14ac:dyDescent="0.3">
      <c r="A144" s="1">
        <v>36830</v>
      </c>
      <c r="B144">
        <v>0.55649999999999999</v>
      </c>
      <c r="C144">
        <v>0.84889999999999999</v>
      </c>
      <c r="D144">
        <v>9.1730000000000006E-3</v>
      </c>
      <c r="E144">
        <v>0.51849999999999996</v>
      </c>
      <c r="F144">
        <v>1.4477</v>
      </c>
    </row>
    <row r="145" spans="1:6" x14ac:dyDescent="0.3">
      <c r="A145" s="1">
        <v>36860</v>
      </c>
      <c r="B145">
        <v>0.57820000000000005</v>
      </c>
      <c r="C145">
        <v>0.87290000000000001</v>
      </c>
      <c r="D145">
        <v>9.0589999999999993E-3</v>
      </c>
      <c r="E145">
        <v>0.52780000000000005</v>
      </c>
      <c r="F145">
        <v>1.4251</v>
      </c>
    </row>
    <row r="146" spans="1:6" x14ac:dyDescent="0.3">
      <c r="A146" s="1">
        <v>36889</v>
      </c>
      <c r="B146">
        <v>0.62070000000000003</v>
      </c>
      <c r="C146">
        <v>0.94269999999999998</v>
      </c>
      <c r="D146">
        <v>8.7410000000000005E-3</v>
      </c>
      <c r="E146">
        <v>0.55879999999999996</v>
      </c>
      <c r="F146">
        <v>1.4930000000000001</v>
      </c>
    </row>
    <row r="147" spans="1:6" x14ac:dyDescent="0.3">
      <c r="A147" s="1">
        <v>36922</v>
      </c>
      <c r="B147">
        <v>0.61150000000000004</v>
      </c>
      <c r="C147">
        <v>0.93659999999999999</v>
      </c>
      <c r="D147">
        <v>8.5789999999999998E-3</v>
      </c>
      <c r="E147">
        <v>0.55059999999999998</v>
      </c>
      <c r="F147">
        <v>1.4645999999999999</v>
      </c>
    </row>
    <row r="148" spans="1:6" x14ac:dyDescent="0.3">
      <c r="A148" s="1">
        <v>36950</v>
      </c>
      <c r="B148">
        <v>0.59940000000000004</v>
      </c>
      <c r="C148">
        <v>0.92359999999999998</v>
      </c>
      <c r="D148">
        <v>8.5220000000000001E-3</v>
      </c>
      <c r="E148">
        <v>0.52629999999999999</v>
      </c>
      <c r="F148">
        <v>1.4455</v>
      </c>
    </row>
    <row r="149" spans="1:6" x14ac:dyDescent="0.3">
      <c r="A149" s="1">
        <v>36980</v>
      </c>
      <c r="B149">
        <v>0.57379999999999998</v>
      </c>
      <c r="C149">
        <v>0.87670000000000003</v>
      </c>
      <c r="D149">
        <v>7.9159999999999994E-3</v>
      </c>
      <c r="E149">
        <v>0.48559999999999998</v>
      </c>
      <c r="F149">
        <v>1.4160999999999999</v>
      </c>
    </row>
    <row r="150" spans="1:6" x14ac:dyDescent="0.3">
      <c r="A150" s="1">
        <v>37011</v>
      </c>
      <c r="B150">
        <v>0.57709999999999995</v>
      </c>
      <c r="C150">
        <v>0.8891</v>
      </c>
      <c r="D150">
        <v>8.0949999999999998E-3</v>
      </c>
      <c r="E150">
        <v>0.51239999999999997</v>
      </c>
      <c r="F150">
        <v>1.4319999999999999</v>
      </c>
    </row>
    <row r="151" spans="1:6" x14ac:dyDescent="0.3">
      <c r="A151" s="1">
        <v>37042</v>
      </c>
      <c r="B151">
        <v>0.55659999999999998</v>
      </c>
      <c r="C151">
        <v>0.84530000000000005</v>
      </c>
      <c r="D151">
        <v>8.3890000000000006E-3</v>
      </c>
      <c r="E151">
        <v>0.50649999999999995</v>
      </c>
      <c r="F151">
        <v>1.4184000000000001</v>
      </c>
    </row>
    <row r="152" spans="1:6" x14ac:dyDescent="0.3">
      <c r="A152" s="1">
        <v>37071</v>
      </c>
      <c r="B152">
        <v>0.55779999999999996</v>
      </c>
      <c r="C152">
        <v>0.84899999999999998</v>
      </c>
      <c r="D152">
        <v>8.0210000000000004E-3</v>
      </c>
      <c r="E152">
        <v>0.51190000000000002</v>
      </c>
      <c r="F152">
        <v>1.4153</v>
      </c>
    </row>
    <row r="153" spans="1:6" x14ac:dyDescent="0.3">
      <c r="A153" s="1">
        <v>37103</v>
      </c>
      <c r="B153">
        <v>0.57930000000000004</v>
      </c>
      <c r="C153">
        <v>0.87639999999999996</v>
      </c>
      <c r="D153">
        <v>7.9979999999999999E-3</v>
      </c>
      <c r="E153">
        <v>0.51</v>
      </c>
      <c r="F153">
        <v>1.4252</v>
      </c>
    </row>
    <row r="154" spans="1:6" x14ac:dyDescent="0.3">
      <c r="A154" s="1">
        <v>37134</v>
      </c>
      <c r="B154">
        <v>0.60189999999999999</v>
      </c>
      <c r="C154">
        <v>0.9123</v>
      </c>
      <c r="D154">
        <v>8.4180000000000001E-3</v>
      </c>
      <c r="E154">
        <v>0.52959999999999996</v>
      </c>
      <c r="F154">
        <v>1.4539</v>
      </c>
    </row>
    <row r="155" spans="1:6" x14ac:dyDescent="0.3">
      <c r="A155" s="1">
        <v>37162</v>
      </c>
      <c r="B155">
        <v>0.61719999999999997</v>
      </c>
      <c r="C155">
        <v>0.91139999999999999</v>
      </c>
      <c r="D155">
        <v>8.3639999999999999E-3</v>
      </c>
      <c r="E155">
        <v>0.49130000000000001</v>
      </c>
      <c r="F155">
        <v>1.4743999999999999</v>
      </c>
    </row>
    <row r="156" spans="1:6" x14ac:dyDescent="0.3">
      <c r="A156" s="1">
        <v>37195</v>
      </c>
      <c r="B156">
        <v>0.61199999999999999</v>
      </c>
      <c r="C156">
        <v>0.90049999999999997</v>
      </c>
      <c r="D156">
        <v>8.1670000000000006E-3</v>
      </c>
      <c r="E156">
        <v>0.50309999999999999</v>
      </c>
      <c r="F156">
        <v>1.4544999999999999</v>
      </c>
    </row>
    <row r="157" spans="1:6" x14ac:dyDescent="0.3">
      <c r="A157" s="1">
        <v>37225</v>
      </c>
      <c r="B157">
        <v>0.60919999999999996</v>
      </c>
      <c r="C157">
        <v>0.89639999999999997</v>
      </c>
      <c r="D157">
        <v>8.0979999999999993E-3</v>
      </c>
      <c r="E157">
        <v>0.52190000000000003</v>
      </c>
      <c r="F157">
        <v>1.4240999999999999</v>
      </c>
    </row>
    <row r="158" spans="1:6" x14ac:dyDescent="0.3">
      <c r="A158" s="1">
        <v>37256</v>
      </c>
      <c r="B158">
        <v>0.60229999999999995</v>
      </c>
      <c r="C158">
        <v>0.88949999999999996</v>
      </c>
      <c r="D158">
        <v>7.5950000000000002E-3</v>
      </c>
      <c r="E158">
        <v>0.50949999999999995</v>
      </c>
      <c r="F158">
        <v>1.4545999999999999</v>
      </c>
    </row>
    <row r="159" spans="1:6" x14ac:dyDescent="0.3">
      <c r="A159" s="1">
        <v>37287</v>
      </c>
      <c r="B159">
        <v>0.58179999999999998</v>
      </c>
      <c r="C159">
        <v>0.85940000000000005</v>
      </c>
      <c r="D159">
        <v>7.4250000000000002E-3</v>
      </c>
      <c r="E159">
        <v>0.50770000000000004</v>
      </c>
      <c r="F159">
        <v>1.4108000000000001</v>
      </c>
    </row>
    <row r="160" spans="1:6" x14ac:dyDescent="0.3">
      <c r="A160" s="1">
        <v>37315</v>
      </c>
      <c r="B160">
        <v>0.58919999999999995</v>
      </c>
      <c r="C160">
        <v>0.86939999999999995</v>
      </c>
      <c r="D160">
        <v>7.4970000000000002E-3</v>
      </c>
      <c r="E160">
        <v>0.5181</v>
      </c>
      <c r="F160">
        <v>1.4174</v>
      </c>
    </row>
    <row r="161" spans="1:6" x14ac:dyDescent="0.3">
      <c r="A161" s="1">
        <v>37344</v>
      </c>
      <c r="B161">
        <v>0.5948</v>
      </c>
      <c r="C161">
        <v>0.87170000000000003</v>
      </c>
      <c r="D161">
        <v>7.5339999999999999E-3</v>
      </c>
      <c r="E161">
        <v>0.53280000000000005</v>
      </c>
      <c r="F161">
        <v>1.4258999999999999</v>
      </c>
    </row>
    <row r="162" spans="1:6" x14ac:dyDescent="0.3">
      <c r="A162" s="1">
        <v>37376</v>
      </c>
      <c r="B162">
        <v>0.61850000000000005</v>
      </c>
      <c r="C162">
        <v>0.90049999999999997</v>
      </c>
      <c r="D162">
        <v>7.7780000000000002E-3</v>
      </c>
      <c r="E162">
        <v>0.5383</v>
      </c>
      <c r="F162">
        <v>1.458</v>
      </c>
    </row>
    <row r="163" spans="1:6" x14ac:dyDescent="0.3">
      <c r="A163" s="1">
        <v>37407</v>
      </c>
      <c r="B163">
        <v>0.63780000000000003</v>
      </c>
      <c r="C163">
        <v>0.93420000000000003</v>
      </c>
      <c r="D163">
        <v>8.0499999999999999E-3</v>
      </c>
      <c r="E163">
        <v>0.56740000000000002</v>
      </c>
      <c r="F163">
        <v>1.4553</v>
      </c>
    </row>
    <row r="164" spans="1:6" x14ac:dyDescent="0.3">
      <c r="A164" s="1">
        <v>37435</v>
      </c>
      <c r="B164">
        <v>0.67530000000000001</v>
      </c>
      <c r="C164">
        <v>0.99150000000000005</v>
      </c>
      <c r="D164">
        <v>8.3630000000000006E-3</v>
      </c>
      <c r="E164">
        <v>0.56340000000000001</v>
      </c>
      <c r="F164">
        <v>1.5335000000000001</v>
      </c>
    </row>
    <row r="165" spans="1:6" x14ac:dyDescent="0.3">
      <c r="A165" s="1">
        <v>37468</v>
      </c>
      <c r="B165">
        <v>0.67320000000000002</v>
      </c>
      <c r="C165">
        <v>0.97760000000000002</v>
      </c>
      <c r="D165">
        <v>8.3420000000000005E-3</v>
      </c>
      <c r="E165">
        <v>0.54259999999999997</v>
      </c>
      <c r="F165">
        <v>1.5637000000000001</v>
      </c>
    </row>
    <row r="166" spans="1:6" x14ac:dyDescent="0.3">
      <c r="A166" s="1">
        <v>37498</v>
      </c>
      <c r="B166">
        <v>0.66739999999999999</v>
      </c>
      <c r="C166">
        <v>0.98229999999999995</v>
      </c>
      <c r="D166">
        <v>8.4419999999999999E-3</v>
      </c>
      <c r="E166">
        <v>0.55049999999999999</v>
      </c>
      <c r="F166">
        <v>1.5505</v>
      </c>
    </row>
    <row r="167" spans="1:6" x14ac:dyDescent="0.3">
      <c r="A167" s="1">
        <v>37529</v>
      </c>
      <c r="B167">
        <v>0.67820000000000003</v>
      </c>
      <c r="C167">
        <v>0.98660000000000003</v>
      </c>
      <c r="D167">
        <v>8.2150000000000001E-3</v>
      </c>
      <c r="E167">
        <v>0.54259999999999997</v>
      </c>
      <c r="F167">
        <v>1.5684</v>
      </c>
    </row>
    <row r="168" spans="1:6" x14ac:dyDescent="0.3">
      <c r="A168" s="1">
        <v>37560</v>
      </c>
      <c r="B168">
        <v>0.67700000000000005</v>
      </c>
      <c r="C168">
        <v>0.99029999999999996</v>
      </c>
      <c r="D168">
        <v>8.1620000000000009E-3</v>
      </c>
      <c r="E168">
        <v>0.55469999999999997</v>
      </c>
      <c r="F168">
        <v>1.5650999999999999</v>
      </c>
    </row>
    <row r="169" spans="1:6" x14ac:dyDescent="0.3">
      <c r="A169" s="1">
        <v>37589</v>
      </c>
      <c r="B169">
        <v>0.6744</v>
      </c>
      <c r="C169">
        <v>0.99429999999999996</v>
      </c>
      <c r="D169">
        <v>8.1600000000000006E-3</v>
      </c>
      <c r="E169">
        <v>0.56100000000000005</v>
      </c>
      <c r="F169">
        <v>1.5575000000000001</v>
      </c>
    </row>
    <row r="170" spans="1:6" x14ac:dyDescent="0.3">
      <c r="A170" s="1">
        <v>37621</v>
      </c>
      <c r="B170">
        <v>0.72299999999999998</v>
      </c>
      <c r="C170">
        <v>1.0491999999999999</v>
      </c>
      <c r="D170">
        <v>8.4159999999999999E-3</v>
      </c>
      <c r="E170">
        <v>0.56159999999999999</v>
      </c>
      <c r="F170">
        <v>1.61</v>
      </c>
    </row>
    <row r="171" spans="1:6" x14ac:dyDescent="0.3">
      <c r="A171" s="1">
        <v>37652</v>
      </c>
      <c r="B171">
        <v>0.73329999999999995</v>
      </c>
      <c r="C171">
        <v>1.0768</v>
      </c>
      <c r="D171">
        <v>8.3409999999999995E-3</v>
      </c>
      <c r="E171">
        <v>0.58709999999999996</v>
      </c>
      <c r="F171">
        <v>1.6463000000000001</v>
      </c>
    </row>
    <row r="172" spans="1:6" x14ac:dyDescent="0.3">
      <c r="A172" s="1">
        <v>37680</v>
      </c>
      <c r="B172">
        <v>0.73950000000000005</v>
      </c>
      <c r="C172">
        <v>1.0807</v>
      </c>
      <c r="D172">
        <v>8.4659999999999996E-3</v>
      </c>
      <c r="E172">
        <v>0.60850000000000004</v>
      </c>
      <c r="F172">
        <v>1.5724</v>
      </c>
    </row>
    <row r="173" spans="1:6" x14ac:dyDescent="0.3">
      <c r="A173" s="1">
        <v>37711</v>
      </c>
      <c r="B173">
        <v>0.74</v>
      </c>
      <c r="C173">
        <v>1.0914999999999999</v>
      </c>
      <c r="D173">
        <v>8.4659999999999996E-3</v>
      </c>
      <c r="E173">
        <v>0.60450000000000004</v>
      </c>
      <c r="F173">
        <v>1.5827</v>
      </c>
    </row>
    <row r="174" spans="1:6" x14ac:dyDescent="0.3">
      <c r="A174" s="1">
        <v>37741</v>
      </c>
      <c r="B174">
        <v>0.73819999999999997</v>
      </c>
      <c r="C174">
        <v>1.1184000000000001</v>
      </c>
      <c r="D174">
        <v>8.4119999999999993E-3</v>
      </c>
      <c r="E174">
        <v>0.62670000000000003</v>
      </c>
      <c r="F174">
        <v>1.5985</v>
      </c>
    </row>
    <row r="175" spans="1:6" x14ac:dyDescent="0.3">
      <c r="A175" s="1">
        <v>37771</v>
      </c>
      <c r="B175">
        <v>0.77059999999999995</v>
      </c>
      <c r="C175">
        <v>1.1783999999999999</v>
      </c>
      <c r="D175">
        <v>8.3829999999999998E-3</v>
      </c>
      <c r="E175">
        <v>0.65280000000000005</v>
      </c>
      <c r="F175">
        <v>1.6364000000000001</v>
      </c>
    </row>
    <row r="176" spans="1:6" x14ac:dyDescent="0.3">
      <c r="A176" s="1">
        <v>37802</v>
      </c>
      <c r="B176">
        <v>0.74019999999999997</v>
      </c>
      <c r="C176">
        <v>1.1512</v>
      </c>
      <c r="D176">
        <v>8.3479999999999995E-3</v>
      </c>
      <c r="E176">
        <v>0.67359999999999998</v>
      </c>
      <c r="F176">
        <v>1.6546000000000001</v>
      </c>
    </row>
    <row r="177" spans="1:6" x14ac:dyDescent="0.3">
      <c r="A177" s="1">
        <v>37833</v>
      </c>
      <c r="B177">
        <v>0.72960000000000003</v>
      </c>
      <c r="C177">
        <v>1.1232</v>
      </c>
      <c r="D177">
        <v>8.2959999999999996E-3</v>
      </c>
      <c r="E177">
        <v>0.64880000000000004</v>
      </c>
      <c r="F177">
        <v>1.6108</v>
      </c>
    </row>
    <row r="178" spans="1:6" x14ac:dyDescent="0.3">
      <c r="A178" s="1">
        <v>37862</v>
      </c>
      <c r="B178">
        <v>0.71430000000000005</v>
      </c>
      <c r="C178">
        <v>1.0984</v>
      </c>
      <c r="D178">
        <v>8.5570000000000004E-3</v>
      </c>
      <c r="E178">
        <v>0.64749999999999996</v>
      </c>
      <c r="F178">
        <v>1.5777000000000001</v>
      </c>
    </row>
    <row r="179" spans="1:6" x14ac:dyDescent="0.3">
      <c r="A179" s="1">
        <v>37894</v>
      </c>
      <c r="B179">
        <v>0.7581</v>
      </c>
      <c r="C179">
        <v>1.1657</v>
      </c>
      <c r="D179">
        <v>8.9680000000000003E-3</v>
      </c>
      <c r="E179">
        <v>0.68010000000000004</v>
      </c>
      <c r="F179">
        <v>1.6617999999999999</v>
      </c>
    </row>
    <row r="180" spans="1:6" x14ac:dyDescent="0.3">
      <c r="A180" s="1">
        <v>37925</v>
      </c>
      <c r="B180">
        <v>0.74680000000000002</v>
      </c>
      <c r="C180">
        <v>1.1593</v>
      </c>
      <c r="D180">
        <v>9.0959999999999999E-3</v>
      </c>
      <c r="E180">
        <v>0.70860000000000001</v>
      </c>
      <c r="F180">
        <v>1.6957</v>
      </c>
    </row>
    <row r="181" spans="1:6" x14ac:dyDescent="0.3">
      <c r="A181" s="1">
        <v>37953</v>
      </c>
      <c r="B181">
        <v>0.77459999999999996</v>
      </c>
      <c r="C181">
        <v>1.1996</v>
      </c>
      <c r="D181">
        <v>9.1219999999999999E-3</v>
      </c>
      <c r="E181">
        <v>0.72430000000000005</v>
      </c>
      <c r="F181">
        <v>1.7222</v>
      </c>
    </row>
    <row r="182" spans="1:6" x14ac:dyDescent="0.3">
      <c r="A182" s="1">
        <v>37986</v>
      </c>
      <c r="B182">
        <v>0.80689999999999995</v>
      </c>
      <c r="C182">
        <v>1.2595000000000001</v>
      </c>
      <c r="D182">
        <v>9.3270000000000002E-3</v>
      </c>
      <c r="E182">
        <v>0.752</v>
      </c>
      <c r="F182">
        <v>1.7858000000000001</v>
      </c>
    </row>
    <row r="183" spans="1:6" x14ac:dyDescent="0.3">
      <c r="A183" s="1">
        <v>38016</v>
      </c>
      <c r="B183">
        <v>0.79579999999999995</v>
      </c>
      <c r="C183">
        <v>1.2478</v>
      </c>
      <c r="D183">
        <v>9.4610000000000007E-3</v>
      </c>
      <c r="E183">
        <v>0.76419999999999999</v>
      </c>
      <c r="F183">
        <v>1.8238000000000001</v>
      </c>
    </row>
    <row r="184" spans="1:6" x14ac:dyDescent="0.3">
      <c r="A184" s="1">
        <v>38044</v>
      </c>
      <c r="B184">
        <v>0.79210000000000003</v>
      </c>
      <c r="C184">
        <v>1.2493000000000001</v>
      </c>
      <c r="D184">
        <v>9.1649999999999995E-3</v>
      </c>
      <c r="E184">
        <v>0.77380000000000004</v>
      </c>
      <c r="F184">
        <v>1.8685</v>
      </c>
    </row>
    <row r="185" spans="1:6" x14ac:dyDescent="0.3">
      <c r="A185" s="1">
        <v>38077</v>
      </c>
      <c r="B185">
        <v>0.79</v>
      </c>
      <c r="C185">
        <v>1.2316</v>
      </c>
      <c r="D185">
        <v>9.5910000000000006E-3</v>
      </c>
      <c r="E185">
        <v>0.76680000000000004</v>
      </c>
      <c r="F185">
        <v>1.8462000000000001</v>
      </c>
    </row>
    <row r="186" spans="1:6" x14ac:dyDescent="0.3">
      <c r="A186" s="1">
        <v>38107</v>
      </c>
      <c r="B186">
        <v>0.77180000000000004</v>
      </c>
      <c r="C186">
        <v>1.198</v>
      </c>
      <c r="D186">
        <v>9.0489999999999998E-3</v>
      </c>
      <c r="E186">
        <v>0.72070000000000001</v>
      </c>
      <c r="F186">
        <v>1.7781</v>
      </c>
    </row>
    <row r="187" spans="1:6" x14ac:dyDescent="0.3">
      <c r="A187" s="1">
        <v>38138</v>
      </c>
      <c r="B187">
        <v>0.79730000000000001</v>
      </c>
      <c r="C187">
        <v>1.2188000000000001</v>
      </c>
      <c r="D187">
        <v>9.1330000000000005E-3</v>
      </c>
      <c r="E187">
        <v>0.71519999999999995</v>
      </c>
      <c r="F187">
        <v>1.8323</v>
      </c>
    </row>
    <row r="188" spans="1:6" x14ac:dyDescent="0.3">
      <c r="A188" s="1">
        <v>38168</v>
      </c>
      <c r="B188">
        <v>0.80100000000000005</v>
      </c>
      <c r="C188">
        <v>1.22</v>
      </c>
      <c r="D188">
        <v>9.1940000000000008E-3</v>
      </c>
      <c r="E188">
        <v>0.69930000000000003</v>
      </c>
      <c r="F188">
        <v>1.8204</v>
      </c>
    </row>
    <row r="189" spans="1:6" x14ac:dyDescent="0.3">
      <c r="A189" s="1">
        <v>38198</v>
      </c>
      <c r="B189">
        <v>0.78029999999999999</v>
      </c>
      <c r="C189">
        <v>1.2019</v>
      </c>
      <c r="D189">
        <v>8.9809999999999994E-3</v>
      </c>
      <c r="E189">
        <v>0.70269999999999999</v>
      </c>
      <c r="F189">
        <v>1.8199000000000001</v>
      </c>
    </row>
    <row r="190" spans="1:6" x14ac:dyDescent="0.3">
      <c r="A190" s="1">
        <v>38230</v>
      </c>
      <c r="B190">
        <v>0.78979999999999995</v>
      </c>
      <c r="C190">
        <v>1.2182999999999999</v>
      </c>
      <c r="D190">
        <v>9.1599999999999997E-3</v>
      </c>
      <c r="E190">
        <v>0.70420000000000005</v>
      </c>
      <c r="F190">
        <v>1.8024</v>
      </c>
    </row>
    <row r="191" spans="1:6" x14ac:dyDescent="0.3">
      <c r="A191" s="1">
        <v>38260</v>
      </c>
      <c r="B191">
        <v>0.80259999999999998</v>
      </c>
      <c r="C191">
        <v>1.2436</v>
      </c>
      <c r="D191">
        <v>9.0869999999999996E-3</v>
      </c>
      <c r="E191">
        <v>0.72770000000000001</v>
      </c>
      <c r="F191">
        <v>1.8120000000000001</v>
      </c>
    </row>
    <row r="192" spans="1:6" x14ac:dyDescent="0.3">
      <c r="A192" s="1">
        <v>38289</v>
      </c>
      <c r="B192">
        <v>0.83709999999999996</v>
      </c>
      <c r="C192">
        <v>1.2798</v>
      </c>
      <c r="D192">
        <v>9.4520000000000003E-3</v>
      </c>
      <c r="E192">
        <v>0.74839999999999995</v>
      </c>
      <c r="F192">
        <v>1.8372999999999999</v>
      </c>
    </row>
    <row r="193" spans="1:6" x14ac:dyDescent="0.3">
      <c r="A193" s="1">
        <v>38321</v>
      </c>
      <c r="B193">
        <v>0.87619999999999998</v>
      </c>
      <c r="C193">
        <v>1.3279000000000001</v>
      </c>
      <c r="D193">
        <v>9.7029999999999998E-3</v>
      </c>
      <c r="E193">
        <v>0.77290000000000003</v>
      </c>
      <c r="F193">
        <v>1.9095</v>
      </c>
    </row>
    <row r="194" spans="1:6" x14ac:dyDescent="0.3">
      <c r="A194" s="1">
        <v>38352</v>
      </c>
      <c r="B194">
        <v>0.87749999999999995</v>
      </c>
      <c r="C194">
        <v>1.3553999999999999</v>
      </c>
      <c r="D194">
        <v>9.7439999999999992E-3</v>
      </c>
      <c r="E194">
        <v>0.78029999999999999</v>
      </c>
      <c r="F194">
        <v>1.9181999999999999</v>
      </c>
    </row>
    <row r="195" spans="1:6" x14ac:dyDescent="0.3">
      <c r="A195" s="1">
        <v>38383</v>
      </c>
      <c r="B195">
        <v>0.84109999999999996</v>
      </c>
      <c r="C195">
        <v>1.3039000000000001</v>
      </c>
      <c r="D195">
        <v>9.6439999999999998E-3</v>
      </c>
      <c r="E195">
        <v>0.77569999999999995</v>
      </c>
      <c r="F195">
        <v>1.8829</v>
      </c>
    </row>
    <row r="196" spans="1:6" x14ac:dyDescent="0.3">
      <c r="A196" s="1">
        <v>38411</v>
      </c>
      <c r="B196">
        <v>0.85960000000000003</v>
      </c>
      <c r="C196">
        <v>1.3228</v>
      </c>
      <c r="D196">
        <v>9.5580000000000005E-3</v>
      </c>
      <c r="E196">
        <v>0.79179999999999995</v>
      </c>
      <c r="F196">
        <v>1.9211</v>
      </c>
    </row>
    <row r="197" spans="1:6" x14ac:dyDescent="0.3">
      <c r="A197" s="1">
        <v>38442</v>
      </c>
      <c r="B197">
        <v>0.83579999999999999</v>
      </c>
      <c r="C197">
        <v>1.2964</v>
      </c>
      <c r="D197">
        <v>9.3329999999999993E-3</v>
      </c>
      <c r="E197">
        <v>0.77300000000000002</v>
      </c>
      <c r="F197">
        <v>1.8905000000000001</v>
      </c>
    </row>
    <row r="198" spans="1:6" x14ac:dyDescent="0.3">
      <c r="A198" s="1">
        <v>38471</v>
      </c>
      <c r="B198">
        <v>0.8367</v>
      </c>
      <c r="C198">
        <v>1.2873000000000001</v>
      </c>
      <c r="D198">
        <v>9.5449999999999997E-3</v>
      </c>
      <c r="E198">
        <v>0.78129999999999999</v>
      </c>
      <c r="F198">
        <v>1.9088000000000001</v>
      </c>
    </row>
    <row r="199" spans="1:6" x14ac:dyDescent="0.3">
      <c r="A199" s="1">
        <v>38503</v>
      </c>
      <c r="B199">
        <v>0.80110000000000003</v>
      </c>
      <c r="C199">
        <v>1.2303999999999999</v>
      </c>
      <c r="D199">
        <v>9.2099999999999994E-3</v>
      </c>
      <c r="E199">
        <v>0.75590000000000002</v>
      </c>
      <c r="F199">
        <v>1.8170999999999999</v>
      </c>
    </row>
    <row r="200" spans="1:6" x14ac:dyDescent="0.3">
      <c r="A200" s="1">
        <v>38533</v>
      </c>
      <c r="B200">
        <v>0.78039999999999998</v>
      </c>
      <c r="C200">
        <v>1.2108000000000001</v>
      </c>
      <c r="D200">
        <v>9.0150000000000004E-3</v>
      </c>
      <c r="E200">
        <v>0.76249999999999996</v>
      </c>
      <c r="F200">
        <v>1.7915000000000001</v>
      </c>
    </row>
    <row r="201" spans="1:6" x14ac:dyDescent="0.3">
      <c r="A201" s="1">
        <v>38562</v>
      </c>
      <c r="B201">
        <v>0.77549999999999997</v>
      </c>
      <c r="C201">
        <v>1.2122999999999999</v>
      </c>
      <c r="D201">
        <v>8.8880000000000001E-3</v>
      </c>
      <c r="E201">
        <v>0.75660000000000005</v>
      </c>
      <c r="F201">
        <v>1.7579</v>
      </c>
    </row>
    <row r="202" spans="1:6" x14ac:dyDescent="0.3">
      <c r="A202" s="1">
        <v>38595</v>
      </c>
      <c r="B202">
        <v>0.79810000000000003</v>
      </c>
      <c r="C202">
        <v>1.2345999999999999</v>
      </c>
      <c r="D202">
        <v>9.0410000000000004E-3</v>
      </c>
      <c r="E202">
        <v>0.75529999999999997</v>
      </c>
      <c r="F202">
        <v>1.8041</v>
      </c>
    </row>
    <row r="203" spans="1:6" x14ac:dyDescent="0.3">
      <c r="A203" s="1">
        <v>38625</v>
      </c>
      <c r="B203">
        <v>0.77280000000000004</v>
      </c>
      <c r="C203">
        <v>1.2025999999999999</v>
      </c>
      <c r="D203">
        <v>8.8120000000000004E-3</v>
      </c>
      <c r="E203">
        <v>0.76200000000000001</v>
      </c>
      <c r="F203">
        <v>1.7643</v>
      </c>
    </row>
    <row r="204" spans="1:6" x14ac:dyDescent="0.3">
      <c r="A204" s="1">
        <v>38656</v>
      </c>
      <c r="B204">
        <v>0.77610000000000001</v>
      </c>
      <c r="C204">
        <v>1.1992</v>
      </c>
      <c r="D204">
        <v>8.5909999999999997E-3</v>
      </c>
      <c r="E204">
        <v>0.74819999999999998</v>
      </c>
      <c r="F204">
        <v>1.77</v>
      </c>
    </row>
    <row r="205" spans="1:6" x14ac:dyDescent="0.3">
      <c r="A205" s="1">
        <v>38686</v>
      </c>
      <c r="B205">
        <v>0.76029999999999998</v>
      </c>
      <c r="C205">
        <v>1.1788000000000001</v>
      </c>
      <c r="D205">
        <v>8.3470000000000003E-3</v>
      </c>
      <c r="E205">
        <v>0.73799999999999999</v>
      </c>
      <c r="F205">
        <v>1.7293000000000001</v>
      </c>
    </row>
    <row r="206" spans="1:6" x14ac:dyDescent="0.3">
      <c r="A206" s="1">
        <v>38716</v>
      </c>
      <c r="B206">
        <v>0.76139999999999997</v>
      </c>
      <c r="C206">
        <v>1.1849000000000001</v>
      </c>
      <c r="D206">
        <v>8.4939999999999998E-3</v>
      </c>
      <c r="E206">
        <v>0.73280000000000001</v>
      </c>
      <c r="F206">
        <v>1.7230000000000001</v>
      </c>
    </row>
    <row r="207" spans="1:6" x14ac:dyDescent="0.3">
      <c r="A207" s="1">
        <v>38748</v>
      </c>
      <c r="B207">
        <v>0.78249999999999997</v>
      </c>
      <c r="C207">
        <v>1.2156</v>
      </c>
      <c r="D207">
        <v>8.5339999999999999E-3</v>
      </c>
      <c r="E207">
        <v>0.75819999999999999</v>
      </c>
      <c r="F207">
        <v>1.7793000000000001</v>
      </c>
    </row>
    <row r="208" spans="1:6" x14ac:dyDescent="0.3">
      <c r="A208" s="1">
        <v>38776</v>
      </c>
      <c r="B208">
        <v>0.76229999999999998</v>
      </c>
      <c r="C208">
        <v>1.1920999999999999</v>
      </c>
      <c r="D208">
        <v>8.6390000000000008E-3</v>
      </c>
      <c r="E208">
        <v>0.74229999999999996</v>
      </c>
      <c r="F208">
        <v>1.7536</v>
      </c>
    </row>
    <row r="209" spans="1:6" x14ac:dyDescent="0.3">
      <c r="A209" s="1">
        <v>38807</v>
      </c>
      <c r="B209">
        <v>0.76680000000000004</v>
      </c>
      <c r="C209">
        <v>1.2118</v>
      </c>
      <c r="D209">
        <v>8.4910000000000003E-3</v>
      </c>
      <c r="E209">
        <v>0.71650000000000003</v>
      </c>
      <c r="F209">
        <v>1.7372000000000001</v>
      </c>
    </row>
    <row r="210" spans="1:6" x14ac:dyDescent="0.3">
      <c r="A210" s="1">
        <v>38835</v>
      </c>
      <c r="B210">
        <v>0.80730000000000002</v>
      </c>
      <c r="C210">
        <v>1.2635000000000001</v>
      </c>
      <c r="D210">
        <v>8.7840000000000001E-3</v>
      </c>
      <c r="E210">
        <v>0.75960000000000005</v>
      </c>
      <c r="F210">
        <v>1.8259000000000001</v>
      </c>
    </row>
    <row r="211" spans="1:6" x14ac:dyDescent="0.3">
      <c r="A211" s="1">
        <v>38868</v>
      </c>
      <c r="B211">
        <v>0.82020000000000004</v>
      </c>
      <c r="C211">
        <v>1.2809999999999999</v>
      </c>
      <c r="D211">
        <v>8.8780000000000005E-3</v>
      </c>
      <c r="E211">
        <v>0.75219999999999998</v>
      </c>
      <c r="F211">
        <v>1.8697999999999999</v>
      </c>
    </row>
    <row r="212" spans="1:6" x14ac:dyDescent="0.3">
      <c r="A212" s="1">
        <v>38898</v>
      </c>
      <c r="B212">
        <v>0.81740000000000002</v>
      </c>
      <c r="C212">
        <v>1.2790999999999999</v>
      </c>
      <c r="D212">
        <v>8.7390000000000002E-3</v>
      </c>
      <c r="E212">
        <v>0.74209999999999998</v>
      </c>
      <c r="F212">
        <v>1.8483000000000001</v>
      </c>
    </row>
    <row r="213" spans="1:6" x14ac:dyDescent="0.3">
      <c r="A213" s="1">
        <v>38929</v>
      </c>
      <c r="B213">
        <v>0.81220000000000003</v>
      </c>
      <c r="C213">
        <v>1.2766999999999999</v>
      </c>
      <c r="D213">
        <v>8.7200000000000003E-3</v>
      </c>
      <c r="E213">
        <v>0.76649999999999996</v>
      </c>
      <c r="F213">
        <v>1.8676999999999999</v>
      </c>
    </row>
    <row r="214" spans="1:6" x14ac:dyDescent="0.3">
      <c r="A214" s="1">
        <v>38960</v>
      </c>
      <c r="B214">
        <v>0.81269999999999998</v>
      </c>
      <c r="C214">
        <v>1.2813000000000001</v>
      </c>
      <c r="D214">
        <v>8.5179999999999995E-3</v>
      </c>
      <c r="E214">
        <v>0.76380000000000003</v>
      </c>
      <c r="F214">
        <v>1.9047000000000001</v>
      </c>
    </row>
    <row r="215" spans="1:6" x14ac:dyDescent="0.3">
      <c r="A215" s="1">
        <v>38989</v>
      </c>
      <c r="B215">
        <v>0.79959999999999998</v>
      </c>
      <c r="C215">
        <v>1.2674000000000001</v>
      </c>
      <c r="D215">
        <v>8.4620000000000008E-3</v>
      </c>
      <c r="E215">
        <v>0.74609999999999999</v>
      </c>
      <c r="F215">
        <v>1.8721000000000001</v>
      </c>
    </row>
    <row r="216" spans="1:6" x14ac:dyDescent="0.3">
      <c r="A216" s="1">
        <v>39021</v>
      </c>
      <c r="B216">
        <v>0.80369999999999997</v>
      </c>
      <c r="C216">
        <v>1.2762</v>
      </c>
      <c r="D216">
        <v>8.5489999999999993E-3</v>
      </c>
      <c r="E216">
        <v>0.77380000000000004</v>
      </c>
      <c r="F216">
        <v>1.9074</v>
      </c>
    </row>
    <row r="217" spans="1:6" x14ac:dyDescent="0.3">
      <c r="A217" s="1">
        <v>39051</v>
      </c>
      <c r="B217">
        <v>0.83479999999999999</v>
      </c>
      <c r="C217">
        <v>1.3242</v>
      </c>
      <c r="D217">
        <v>8.6350000000000003E-3</v>
      </c>
      <c r="E217">
        <v>0.78890000000000005</v>
      </c>
      <c r="F217">
        <v>1.9659</v>
      </c>
    </row>
    <row r="218" spans="1:6" x14ac:dyDescent="0.3">
      <c r="A218" s="1">
        <v>39080</v>
      </c>
      <c r="B218">
        <v>0.8196</v>
      </c>
      <c r="C218">
        <v>1.3197000000000001</v>
      </c>
      <c r="D218">
        <v>8.3990000000000002E-3</v>
      </c>
      <c r="E218">
        <v>0.78849999999999998</v>
      </c>
      <c r="F218">
        <v>1.9588000000000001</v>
      </c>
    </row>
    <row r="219" spans="1:6" x14ac:dyDescent="0.3">
      <c r="A219" s="1">
        <v>39113</v>
      </c>
      <c r="B219">
        <v>0.80379999999999996</v>
      </c>
      <c r="C219">
        <v>1.3031999999999999</v>
      </c>
      <c r="D219">
        <v>8.2850000000000007E-3</v>
      </c>
      <c r="E219">
        <v>0.77690000000000003</v>
      </c>
      <c r="F219">
        <v>1.9655</v>
      </c>
    </row>
    <row r="220" spans="1:6" x14ac:dyDescent="0.3">
      <c r="A220" s="1">
        <v>39141</v>
      </c>
      <c r="B220">
        <v>0.81989999999999996</v>
      </c>
      <c r="C220">
        <v>1.3229</v>
      </c>
      <c r="D220">
        <v>8.4349999999999998E-3</v>
      </c>
      <c r="E220">
        <v>0.78790000000000004</v>
      </c>
      <c r="F220">
        <v>1.9639</v>
      </c>
    </row>
    <row r="221" spans="1:6" x14ac:dyDescent="0.3">
      <c r="A221" s="1">
        <v>39171</v>
      </c>
      <c r="B221">
        <v>0.82269999999999999</v>
      </c>
      <c r="C221">
        <v>1.3353999999999999</v>
      </c>
      <c r="D221">
        <v>8.4869999999999998E-3</v>
      </c>
      <c r="E221">
        <v>0.80859999999999999</v>
      </c>
      <c r="F221">
        <v>1.9678</v>
      </c>
    </row>
    <row r="222" spans="1:6" x14ac:dyDescent="0.3">
      <c r="A222" s="1">
        <v>39202</v>
      </c>
      <c r="B222">
        <v>0.82830000000000004</v>
      </c>
      <c r="C222">
        <v>1.3648</v>
      </c>
      <c r="D222">
        <v>8.3660000000000002E-3</v>
      </c>
      <c r="E222">
        <v>0.83009999999999995</v>
      </c>
      <c r="F222">
        <v>1.9995000000000001</v>
      </c>
    </row>
    <row r="223" spans="1:6" x14ac:dyDescent="0.3">
      <c r="A223" s="1">
        <v>39233</v>
      </c>
      <c r="B223">
        <v>0.81610000000000005</v>
      </c>
      <c r="C223">
        <v>1.3452999999999999</v>
      </c>
      <c r="D223">
        <v>8.2150000000000001E-3</v>
      </c>
      <c r="E223">
        <v>0.82789999999999997</v>
      </c>
      <c r="F223">
        <v>1.9798</v>
      </c>
    </row>
    <row r="224" spans="1:6" x14ac:dyDescent="0.3">
      <c r="A224" s="1">
        <v>39262</v>
      </c>
      <c r="B224">
        <v>0.81859999999999999</v>
      </c>
      <c r="C224">
        <v>1.3541000000000001</v>
      </c>
      <c r="D224">
        <v>8.1189999999999995E-3</v>
      </c>
      <c r="E224">
        <v>0.84940000000000004</v>
      </c>
      <c r="F224">
        <v>2.0087000000000002</v>
      </c>
    </row>
    <row r="225" spans="1:6" x14ac:dyDescent="0.3">
      <c r="A225" s="1">
        <v>39294</v>
      </c>
      <c r="B225">
        <v>0.83250000000000002</v>
      </c>
      <c r="C225">
        <v>1.3684000000000001</v>
      </c>
      <c r="D225">
        <v>8.4309999999999993E-3</v>
      </c>
      <c r="E225">
        <v>0.85170000000000001</v>
      </c>
      <c r="F225">
        <v>2.0312999999999999</v>
      </c>
    </row>
    <row r="226" spans="1:6" x14ac:dyDescent="0.3">
      <c r="A226" s="1">
        <v>39325</v>
      </c>
      <c r="B226">
        <v>0.82750000000000001</v>
      </c>
      <c r="C226">
        <v>1.363</v>
      </c>
      <c r="D226">
        <v>8.6379999999999998E-3</v>
      </c>
      <c r="E226">
        <v>0.81859999999999999</v>
      </c>
      <c r="F226">
        <v>2.0171000000000001</v>
      </c>
    </row>
    <row r="227" spans="1:6" x14ac:dyDescent="0.3">
      <c r="A227" s="1">
        <v>39353</v>
      </c>
      <c r="B227">
        <v>0.85929999999999995</v>
      </c>
      <c r="C227">
        <v>1.4267000000000001</v>
      </c>
      <c r="D227">
        <v>8.7100000000000007E-3</v>
      </c>
      <c r="E227">
        <v>0.88790000000000002</v>
      </c>
      <c r="F227">
        <v>2.0472999999999999</v>
      </c>
    </row>
    <row r="228" spans="1:6" x14ac:dyDescent="0.3">
      <c r="A228" s="1">
        <v>39386</v>
      </c>
      <c r="B228">
        <v>0.86350000000000005</v>
      </c>
      <c r="C228">
        <v>1.4487000000000001</v>
      </c>
      <c r="D228">
        <v>8.6630000000000006E-3</v>
      </c>
      <c r="E228">
        <v>0.93410000000000004</v>
      </c>
      <c r="F228">
        <v>2.0798000000000001</v>
      </c>
    </row>
    <row r="229" spans="1:6" x14ac:dyDescent="0.3">
      <c r="A229" s="1">
        <v>39416</v>
      </c>
      <c r="B229">
        <v>0.88339999999999996</v>
      </c>
      <c r="C229">
        <v>1.4633</v>
      </c>
      <c r="D229">
        <v>8.9899999999999997E-3</v>
      </c>
      <c r="E229">
        <v>0.88439999999999996</v>
      </c>
      <c r="F229">
        <v>2.0562999999999998</v>
      </c>
    </row>
    <row r="230" spans="1:6" x14ac:dyDescent="0.3">
      <c r="A230" s="1">
        <v>39447</v>
      </c>
      <c r="B230">
        <v>0.8821</v>
      </c>
      <c r="C230">
        <v>1.4589000000000001</v>
      </c>
      <c r="D230">
        <v>8.9479999999999994E-3</v>
      </c>
      <c r="E230">
        <v>0.87509999999999999</v>
      </c>
      <c r="F230">
        <v>1.9850000000000001</v>
      </c>
    </row>
    <row r="231" spans="1:6" x14ac:dyDescent="0.3">
      <c r="A231" s="1">
        <v>39478</v>
      </c>
      <c r="B231">
        <v>0.92469999999999997</v>
      </c>
      <c r="C231">
        <v>1.4861</v>
      </c>
      <c r="D231">
        <v>9.3950000000000006E-3</v>
      </c>
      <c r="E231">
        <v>0.89559999999999995</v>
      </c>
      <c r="F231">
        <v>1.9872000000000001</v>
      </c>
    </row>
    <row r="232" spans="1:6" x14ac:dyDescent="0.3">
      <c r="A232" s="1">
        <v>39507</v>
      </c>
      <c r="B232">
        <v>0.96040000000000003</v>
      </c>
      <c r="C232">
        <v>1.5179</v>
      </c>
      <c r="D232">
        <v>9.6399999999999993E-3</v>
      </c>
      <c r="E232">
        <v>0.93089999999999995</v>
      </c>
      <c r="F232">
        <v>1.9891000000000001</v>
      </c>
    </row>
    <row r="233" spans="1:6" x14ac:dyDescent="0.3">
      <c r="A233" s="1">
        <v>39538</v>
      </c>
      <c r="B233">
        <v>1.0071000000000001</v>
      </c>
      <c r="C233">
        <v>1.5788</v>
      </c>
      <c r="D233">
        <v>1.0031E-2</v>
      </c>
      <c r="E233">
        <v>0.91310000000000002</v>
      </c>
      <c r="F233">
        <v>1.9837</v>
      </c>
    </row>
    <row r="234" spans="1:6" x14ac:dyDescent="0.3">
      <c r="A234" s="1">
        <v>39568</v>
      </c>
      <c r="B234">
        <v>0.96660000000000001</v>
      </c>
      <c r="C234">
        <v>1.5622</v>
      </c>
      <c r="D234">
        <v>9.6240000000000006E-3</v>
      </c>
      <c r="E234">
        <v>0.94369999999999998</v>
      </c>
      <c r="F234">
        <v>1.9869000000000001</v>
      </c>
    </row>
    <row r="235" spans="1:6" x14ac:dyDescent="0.3">
      <c r="A235" s="1">
        <v>39598</v>
      </c>
      <c r="B235">
        <v>0.95950000000000002</v>
      </c>
      <c r="C235">
        <v>1.5553999999999999</v>
      </c>
      <c r="D235">
        <v>9.4769999999999993E-3</v>
      </c>
      <c r="E235">
        <v>0.95599999999999996</v>
      </c>
      <c r="F235">
        <v>1.9823</v>
      </c>
    </row>
    <row r="236" spans="1:6" x14ac:dyDescent="0.3">
      <c r="A236" s="1">
        <v>39629</v>
      </c>
      <c r="B236">
        <v>0.97929999999999995</v>
      </c>
      <c r="C236">
        <v>1.5754999999999999</v>
      </c>
      <c r="D236">
        <v>9.4149999999999998E-3</v>
      </c>
      <c r="E236">
        <v>0.95860000000000001</v>
      </c>
      <c r="F236">
        <v>1.9923</v>
      </c>
    </row>
    <row r="237" spans="1:6" x14ac:dyDescent="0.3">
      <c r="A237" s="1">
        <v>39660</v>
      </c>
      <c r="B237">
        <v>0.95509999999999995</v>
      </c>
      <c r="C237">
        <v>1.5603</v>
      </c>
      <c r="D237">
        <v>9.2680000000000002E-3</v>
      </c>
      <c r="E237">
        <v>0.94230000000000003</v>
      </c>
      <c r="F237">
        <v>1.9841</v>
      </c>
    </row>
    <row r="238" spans="1:6" x14ac:dyDescent="0.3">
      <c r="A238" s="1">
        <v>39689</v>
      </c>
      <c r="B238">
        <v>0.90800000000000003</v>
      </c>
      <c r="C238">
        <v>1.4673</v>
      </c>
      <c r="D238">
        <v>9.1920000000000005E-3</v>
      </c>
      <c r="E238">
        <v>0.85780000000000001</v>
      </c>
      <c r="F238">
        <v>1.8210999999999999</v>
      </c>
    </row>
    <row r="239" spans="1:6" x14ac:dyDescent="0.3">
      <c r="A239" s="1">
        <v>39721</v>
      </c>
      <c r="B239">
        <v>0.89119999999999999</v>
      </c>
      <c r="C239">
        <v>1.4092</v>
      </c>
      <c r="D239">
        <v>9.4240000000000001E-3</v>
      </c>
      <c r="E239">
        <v>0.79239999999999999</v>
      </c>
      <c r="F239">
        <v>1.7805</v>
      </c>
    </row>
    <row r="240" spans="1:6" x14ac:dyDescent="0.3">
      <c r="A240" s="1">
        <v>39752</v>
      </c>
      <c r="B240">
        <v>0.86140000000000005</v>
      </c>
      <c r="C240">
        <v>1.2726</v>
      </c>
      <c r="D240">
        <v>1.0156E-2</v>
      </c>
      <c r="E240">
        <v>0.66779999999999995</v>
      </c>
      <c r="F240">
        <v>1.6075999999999999</v>
      </c>
    </row>
    <row r="241" spans="1:6" x14ac:dyDescent="0.3">
      <c r="A241" s="1">
        <v>39780</v>
      </c>
      <c r="B241">
        <v>0.82410000000000005</v>
      </c>
      <c r="C241">
        <v>1.2690999999999999</v>
      </c>
      <c r="D241">
        <v>1.0468E-2</v>
      </c>
      <c r="E241">
        <v>0.65529999999999999</v>
      </c>
      <c r="F241">
        <v>1.5377000000000001</v>
      </c>
    </row>
    <row r="242" spans="1:6" x14ac:dyDescent="0.3">
      <c r="A242" s="1">
        <v>39813</v>
      </c>
      <c r="B242">
        <v>0.93259999999999998</v>
      </c>
      <c r="C242">
        <v>1.3971</v>
      </c>
      <c r="D242">
        <v>1.1021E-2</v>
      </c>
      <c r="E242">
        <v>0.70269999999999999</v>
      </c>
      <c r="F242">
        <v>1.4593</v>
      </c>
    </row>
    <row r="243" spans="1:6" x14ac:dyDescent="0.3">
      <c r="A243" s="1">
        <v>39843</v>
      </c>
      <c r="B243">
        <v>0.8619</v>
      </c>
      <c r="C243">
        <v>1.2813000000000001</v>
      </c>
      <c r="D243">
        <v>1.1115E-2</v>
      </c>
      <c r="E243">
        <v>0.63749999999999996</v>
      </c>
      <c r="F243">
        <v>1.454</v>
      </c>
    </row>
    <row r="244" spans="1:6" x14ac:dyDescent="0.3">
      <c r="A244" s="1">
        <v>39871</v>
      </c>
      <c r="B244">
        <v>0.85529999999999995</v>
      </c>
      <c r="C244">
        <v>1.2668999999999999</v>
      </c>
      <c r="D244">
        <v>1.0248E-2</v>
      </c>
      <c r="E244">
        <v>0.63900000000000001</v>
      </c>
      <c r="F244">
        <v>1.4318</v>
      </c>
    </row>
    <row r="245" spans="1:6" x14ac:dyDescent="0.3">
      <c r="A245" s="1">
        <v>39903</v>
      </c>
      <c r="B245">
        <v>0.87760000000000005</v>
      </c>
      <c r="C245">
        <v>1.325</v>
      </c>
      <c r="D245">
        <v>1.0104E-2</v>
      </c>
      <c r="E245">
        <v>0.69130000000000003</v>
      </c>
      <c r="F245">
        <v>1.4322999999999999</v>
      </c>
    </row>
    <row r="246" spans="1:6" x14ac:dyDescent="0.3">
      <c r="A246" s="1">
        <v>39933</v>
      </c>
      <c r="B246">
        <v>0.87690000000000001</v>
      </c>
      <c r="C246">
        <v>1.323</v>
      </c>
      <c r="D246">
        <v>1.0139E-2</v>
      </c>
      <c r="E246">
        <v>0.72560000000000002</v>
      </c>
      <c r="F246">
        <v>1.4790000000000001</v>
      </c>
    </row>
    <row r="247" spans="1:6" x14ac:dyDescent="0.3">
      <c r="A247" s="1">
        <v>39962</v>
      </c>
      <c r="B247">
        <v>0.93720000000000003</v>
      </c>
      <c r="C247">
        <v>1.4157999999999999</v>
      </c>
      <c r="D247">
        <v>1.0489999999999999E-2</v>
      </c>
      <c r="E247">
        <v>0.80110000000000003</v>
      </c>
      <c r="F247">
        <v>1.619</v>
      </c>
    </row>
    <row r="248" spans="1:6" x14ac:dyDescent="0.3">
      <c r="A248" s="1">
        <v>39994</v>
      </c>
      <c r="B248">
        <v>0.92079999999999995</v>
      </c>
      <c r="C248">
        <v>1.4033</v>
      </c>
      <c r="D248">
        <v>1.0377000000000001E-2</v>
      </c>
      <c r="E248">
        <v>0.80640000000000001</v>
      </c>
      <c r="F248">
        <v>1.6457999999999999</v>
      </c>
    </row>
    <row r="249" spans="1:6" x14ac:dyDescent="0.3">
      <c r="A249" s="1">
        <v>40025</v>
      </c>
      <c r="B249">
        <v>0.93610000000000004</v>
      </c>
      <c r="C249">
        <v>1.4257</v>
      </c>
      <c r="D249">
        <v>1.0562E-2</v>
      </c>
      <c r="E249">
        <v>0.83589999999999998</v>
      </c>
      <c r="F249">
        <v>1.6713</v>
      </c>
    </row>
    <row r="250" spans="1:6" x14ac:dyDescent="0.3">
      <c r="A250" s="1">
        <v>40056</v>
      </c>
      <c r="B250">
        <v>0.94440000000000002</v>
      </c>
      <c r="C250">
        <v>1.4334</v>
      </c>
      <c r="D250">
        <v>1.0737999999999999E-2</v>
      </c>
      <c r="E250">
        <v>0.84389999999999998</v>
      </c>
      <c r="F250">
        <v>1.6288</v>
      </c>
    </row>
    <row r="251" spans="1:6" x14ac:dyDescent="0.3">
      <c r="A251" s="1">
        <v>40086</v>
      </c>
      <c r="B251">
        <v>0.96509999999999996</v>
      </c>
      <c r="C251">
        <v>1.464</v>
      </c>
      <c r="D251">
        <v>1.115E-2</v>
      </c>
      <c r="E251">
        <v>0.88280000000000003</v>
      </c>
      <c r="F251">
        <v>1.5982000000000001</v>
      </c>
    </row>
    <row r="252" spans="1:6" x14ac:dyDescent="0.3">
      <c r="A252" s="1">
        <v>40116</v>
      </c>
      <c r="B252">
        <v>0.97450000000000003</v>
      </c>
      <c r="C252">
        <v>1.4719</v>
      </c>
      <c r="D252">
        <v>1.1098999999999999E-2</v>
      </c>
      <c r="E252">
        <v>0.89970000000000006</v>
      </c>
      <c r="F252">
        <v>1.6453</v>
      </c>
    </row>
    <row r="253" spans="1:6" x14ac:dyDescent="0.3">
      <c r="A253" s="1">
        <v>40147</v>
      </c>
      <c r="B253">
        <v>0.99470000000000003</v>
      </c>
      <c r="C253">
        <v>1.5004999999999999</v>
      </c>
      <c r="D253">
        <v>1.1573999999999999E-2</v>
      </c>
      <c r="E253">
        <v>0.91600000000000004</v>
      </c>
      <c r="F253">
        <v>1.6439999999999999</v>
      </c>
    </row>
    <row r="254" spans="1:6" x14ac:dyDescent="0.3">
      <c r="A254" s="1">
        <v>40178</v>
      </c>
      <c r="B254">
        <v>0.96750000000000003</v>
      </c>
      <c r="C254">
        <v>1.4320999999999999</v>
      </c>
      <c r="D254">
        <v>1.0753E-2</v>
      </c>
      <c r="E254">
        <v>0.89770000000000005</v>
      </c>
      <c r="F254">
        <v>1.617</v>
      </c>
    </row>
    <row r="255" spans="1:6" x14ac:dyDescent="0.3">
      <c r="A255" s="1">
        <v>40207</v>
      </c>
      <c r="B255">
        <v>0.94289999999999996</v>
      </c>
      <c r="C255">
        <v>1.3863000000000001</v>
      </c>
      <c r="D255">
        <v>1.1077999999999999E-2</v>
      </c>
      <c r="E255">
        <v>0.88380000000000003</v>
      </c>
      <c r="F255">
        <v>1.5986</v>
      </c>
    </row>
    <row r="256" spans="1:6" x14ac:dyDescent="0.3">
      <c r="A256" s="1">
        <v>40235</v>
      </c>
      <c r="B256">
        <v>0.93159999999999998</v>
      </c>
      <c r="C256">
        <v>1.3631</v>
      </c>
      <c r="D256">
        <v>1.1246000000000001E-2</v>
      </c>
      <c r="E256">
        <v>0.89539999999999997</v>
      </c>
      <c r="F256">
        <v>1.5238</v>
      </c>
    </row>
    <row r="257" spans="1:7" x14ac:dyDescent="0.3">
      <c r="A257" s="1">
        <v>40268</v>
      </c>
      <c r="B257">
        <v>0.94879999999999998</v>
      </c>
      <c r="C257">
        <v>1.351</v>
      </c>
      <c r="D257">
        <v>1.0699999999999999E-2</v>
      </c>
      <c r="E257">
        <v>0.91720000000000002</v>
      </c>
      <c r="F257">
        <v>1.5184</v>
      </c>
    </row>
    <row r="258" spans="1:7" x14ac:dyDescent="0.3">
      <c r="A258" s="1">
        <v>40298</v>
      </c>
      <c r="B258">
        <v>0.92810000000000004</v>
      </c>
      <c r="C258">
        <v>1.3293999999999999</v>
      </c>
      <c r="D258">
        <v>1.0654E-2</v>
      </c>
      <c r="E258">
        <v>0.92430000000000001</v>
      </c>
      <c r="F258">
        <v>1.5274000000000001</v>
      </c>
    </row>
    <row r="259" spans="1:7" x14ac:dyDescent="0.3">
      <c r="A259" s="1">
        <v>40329</v>
      </c>
      <c r="B259">
        <v>0.8659</v>
      </c>
      <c r="C259">
        <v>1.2305999999999999</v>
      </c>
      <c r="D259">
        <v>1.0957E-2</v>
      </c>
      <c r="E259">
        <v>0.84589999999999999</v>
      </c>
      <c r="F259">
        <v>1.4538</v>
      </c>
    </row>
    <row r="260" spans="1:7" x14ac:dyDescent="0.3">
      <c r="A260" s="1">
        <v>40359</v>
      </c>
      <c r="B260">
        <v>0.92830000000000001</v>
      </c>
      <c r="C260">
        <v>1.2238</v>
      </c>
      <c r="D260">
        <v>1.1308E-2</v>
      </c>
      <c r="E260">
        <v>0.84079999999999999</v>
      </c>
      <c r="F260">
        <v>1.4944999999999999</v>
      </c>
    </row>
    <row r="261" spans="1:7" x14ac:dyDescent="0.3">
      <c r="A261" s="1">
        <v>40389</v>
      </c>
      <c r="B261">
        <v>0.96050000000000002</v>
      </c>
      <c r="C261">
        <v>1.3051999999999999</v>
      </c>
      <c r="D261">
        <v>1.1568E-2</v>
      </c>
      <c r="E261">
        <v>0.9042</v>
      </c>
      <c r="F261">
        <v>1.5689</v>
      </c>
    </row>
    <row r="262" spans="1:7" x14ac:dyDescent="0.3">
      <c r="A262" s="1">
        <v>40421</v>
      </c>
      <c r="B262">
        <v>0.98509999999999998</v>
      </c>
      <c r="C262">
        <v>1.268</v>
      </c>
      <c r="D262">
        <v>1.1878E-2</v>
      </c>
      <c r="E262">
        <v>0.89059999999999995</v>
      </c>
      <c r="F262">
        <v>1.5347999999999999</v>
      </c>
      <c r="G262">
        <v>0.14760000000000001</v>
      </c>
    </row>
    <row r="263" spans="1:7" x14ac:dyDescent="0.3">
      <c r="A263" s="1">
        <v>40451</v>
      </c>
      <c r="B263">
        <v>1.0177</v>
      </c>
      <c r="C263">
        <v>1.3633999999999999</v>
      </c>
      <c r="D263">
        <v>1.1972999999999999E-2</v>
      </c>
      <c r="E263">
        <v>0.96709999999999996</v>
      </c>
      <c r="F263">
        <v>1.5716000000000001</v>
      </c>
      <c r="G263">
        <v>0.151</v>
      </c>
    </row>
    <row r="264" spans="1:7" x14ac:dyDescent="0.3">
      <c r="A264" s="1">
        <v>40480</v>
      </c>
      <c r="B264">
        <v>1.018</v>
      </c>
      <c r="C264">
        <v>1.3947000000000001</v>
      </c>
      <c r="D264">
        <v>1.2437999999999999E-2</v>
      </c>
      <c r="E264">
        <v>0.98350000000000004</v>
      </c>
      <c r="F264">
        <v>1.6037999999999999</v>
      </c>
      <c r="G264">
        <v>0.15190000000000001</v>
      </c>
    </row>
    <row r="265" spans="1:7" x14ac:dyDescent="0.3">
      <c r="A265" s="1">
        <v>40512</v>
      </c>
      <c r="B265">
        <v>0.99660000000000004</v>
      </c>
      <c r="C265">
        <v>1.2983</v>
      </c>
      <c r="D265">
        <v>1.1950000000000001E-2</v>
      </c>
      <c r="E265">
        <v>0.95879999999999999</v>
      </c>
      <c r="F265">
        <v>1.5562</v>
      </c>
      <c r="G265">
        <v>0.15029999999999999</v>
      </c>
    </row>
    <row r="266" spans="1:7" x14ac:dyDescent="0.3">
      <c r="A266" s="1">
        <v>40543</v>
      </c>
      <c r="B266">
        <v>1.0692999999999999</v>
      </c>
      <c r="C266">
        <v>1.3384</v>
      </c>
      <c r="D266">
        <v>1.2323000000000001E-2</v>
      </c>
      <c r="E266">
        <v>1.0233000000000001</v>
      </c>
      <c r="F266">
        <v>1.5611999999999999</v>
      </c>
      <c r="G266">
        <v>0.15190000000000001</v>
      </c>
    </row>
    <row r="267" spans="1:7" x14ac:dyDescent="0.3">
      <c r="A267" s="1">
        <v>40574</v>
      </c>
      <c r="B267">
        <v>1.0592999999999999</v>
      </c>
      <c r="C267">
        <v>1.3694</v>
      </c>
      <c r="D267">
        <v>1.2189E-2</v>
      </c>
      <c r="E267">
        <v>0.99739999999999995</v>
      </c>
      <c r="F267">
        <v>1.6013999999999999</v>
      </c>
      <c r="G267">
        <v>0.15179999999999999</v>
      </c>
    </row>
    <row r="268" spans="1:7" x14ac:dyDescent="0.3">
      <c r="A268" s="1">
        <v>40602</v>
      </c>
      <c r="B268">
        <v>1.0765</v>
      </c>
      <c r="C268">
        <v>1.3806</v>
      </c>
      <c r="D268">
        <v>1.2227999999999999E-2</v>
      </c>
      <c r="E268">
        <v>1.0185999999999999</v>
      </c>
      <c r="F268">
        <v>1.6256999999999999</v>
      </c>
      <c r="G268">
        <v>0.15229999999999999</v>
      </c>
    </row>
    <row r="269" spans="1:7" x14ac:dyDescent="0.3">
      <c r="A269" s="1">
        <v>40633</v>
      </c>
      <c r="B269">
        <v>1.0881000000000001</v>
      </c>
      <c r="C269">
        <v>1.4157999999999999</v>
      </c>
      <c r="D269">
        <v>1.2029E-2</v>
      </c>
      <c r="E269">
        <v>1.0328999999999999</v>
      </c>
      <c r="F269">
        <v>1.6028</v>
      </c>
      <c r="G269">
        <v>0.1527</v>
      </c>
    </row>
    <row r="270" spans="1:7" x14ac:dyDescent="0.3">
      <c r="A270" s="1">
        <v>40662</v>
      </c>
      <c r="B270">
        <v>1.1556999999999999</v>
      </c>
      <c r="C270">
        <v>1.4806999999999999</v>
      </c>
      <c r="D270">
        <v>1.2312999999999999E-2</v>
      </c>
      <c r="E270">
        <v>1.0971</v>
      </c>
      <c r="F270">
        <v>1.6707000000000001</v>
      </c>
      <c r="G270">
        <v>0.15479999999999999</v>
      </c>
    </row>
    <row r="271" spans="1:7" x14ac:dyDescent="0.3">
      <c r="A271" s="1">
        <v>40694</v>
      </c>
      <c r="B271">
        <v>1.1711</v>
      </c>
      <c r="C271">
        <v>1.4396</v>
      </c>
      <c r="D271">
        <v>1.2266000000000001E-2</v>
      </c>
      <c r="E271">
        <v>1.0671999999999999</v>
      </c>
      <c r="F271">
        <v>1.6448</v>
      </c>
      <c r="G271">
        <v>0.15429999999999999</v>
      </c>
    </row>
    <row r="272" spans="1:7" x14ac:dyDescent="0.3">
      <c r="A272" s="1">
        <v>40724</v>
      </c>
      <c r="B272">
        <v>1.1898</v>
      </c>
      <c r="C272">
        <v>1.4501999999999999</v>
      </c>
      <c r="D272">
        <v>1.2413E-2</v>
      </c>
      <c r="E272">
        <v>1.0722</v>
      </c>
      <c r="F272">
        <v>1.6052999999999999</v>
      </c>
      <c r="G272">
        <v>0.1547</v>
      </c>
    </row>
    <row r="273" spans="1:7" x14ac:dyDescent="0.3">
      <c r="A273" s="1">
        <v>40753</v>
      </c>
      <c r="B273">
        <v>1.2727999999999999</v>
      </c>
      <c r="C273">
        <v>1.4398</v>
      </c>
      <c r="D273">
        <v>1.3027E-2</v>
      </c>
      <c r="E273">
        <v>1.0992999999999999</v>
      </c>
      <c r="F273">
        <v>1.6426000000000001</v>
      </c>
      <c r="G273">
        <v>0.1555</v>
      </c>
    </row>
    <row r="274" spans="1:7" x14ac:dyDescent="0.3">
      <c r="A274" s="1">
        <v>40786</v>
      </c>
      <c r="B274">
        <v>1.2407999999999999</v>
      </c>
      <c r="C274">
        <v>1.4369000000000001</v>
      </c>
      <c r="D274">
        <v>1.3044999999999999E-2</v>
      </c>
      <c r="E274">
        <v>1.0707</v>
      </c>
      <c r="F274">
        <v>1.625</v>
      </c>
      <c r="G274">
        <v>0.1573</v>
      </c>
    </row>
    <row r="275" spans="1:7" x14ac:dyDescent="0.3">
      <c r="A275" s="1">
        <v>40816</v>
      </c>
      <c r="B275">
        <v>1.1011</v>
      </c>
      <c r="C275">
        <v>1.3387</v>
      </c>
      <c r="D275">
        <v>1.2983E-2</v>
      </c>
      <c r="E275">
        <v>0.96619999999999995</v>
      </c>
      <c r="F275">
        <v>1.5584</v>
      </c>
      <c r="G275">
        <v>0.15379999999999999</v>
      </c>
    </row>
    <row r="276" spans="1:7" x14ac:dyDescent="0.3">
      <c r="A276" s="1">
        <v>40847</v>
      </c>
      <c r="B276">
        <v>1.1403000000000001</v>
      </c>
      <c r="C276">
        <v>1.3857999999999999</v>
      </c>
      <c r="D276">
        <v>1.2793000000000001E-2</v>
      </c>
      <c r="E276">
        <v>1.0529999999999999</v>
      </c>
      <c r="F276">
        <v>1.6087</v>
      </c>
      <c r="G276">
        <v>0.1565</v>
      </c>
    </row>
    <row r="277" spans="1:7" x14ac:dyDescent="0.3">
      <c r="A277" s="1">
        <v>40877</v>
      </c>
      <c r="B277">
        <v>1.095</v>
      </c>
      <c r="C277">
        <v>1.3446</v>
      </c>
      <c r="D277">
        <v>1.2884E-2</v>
      </c>
      <c r="E277">
        <v>1.0283</v>
      </c>
      <c r="F277">
        <v>1.5704</v>
      </c>
      <c r="G277">
        <v>0.1565</v>
      </c>
    </row>
    <row r="278" spans="1:7" x14ac:dyDescent="0.3">
      <c r="A278" s="1">
        <v>40907</v>
      </c>
      <c r="B278">
        <v>1.0647</v>
      </c>
      <c r="C278">
        <v>1.2961</v>
      </c>
      <c r="D278">
        <v>1.3001E-2</v>
      </c>
      <c r="E278">
        <v>1.0208999999999999</v>
      </c>
      <c r="F278">
        <v>1.5543</v>
      </c>
      <c r="G278">
        <v>0.15759999999999999</v>
      </c>
    </row>
    <row r="279" spans="1:7" x14ac:dyDescent="0.3">
      <c r="A279" s="1">
        <v>40939</v>
      </c>
      <c r="B279">
        <v>1.0868</v>
      </c>
      <c r="C279">
        <v>1.3084</v>
      </c>
      <c r="D279">
        <v>1.3112E-2</v>
      </c>
      <c r="E279">
        <v>1.0621</v>
      </c>
      <c r="F279">
        <v>1.5760000000000001</v>
      </c>
      <c r="G279">
        <v>0.15870000000000001</v>
      </c>
    </row>
    <row r="280" spans="1:7" x14ac:dyDescent="0.3">
      <c r="A280" s="1">
        <v>40968</v>
      </c>
      <c r="B280">
        <v>1.1055999999999999</v>
      </c>
      <c r="C280">
        <v>1.3325</v>
      </c>
      <c r="D280">
        <v>1.2323000000000001E-2</v>
      </c>
      <c r="E280">
        <v>1.0731999999999999</v>
      </c>
      <c r="F280">
        <v>1.5916999999999999</v>
      </c>
      <c r="G280">
        <v>0.15890000000000001</v>
      </c>
    </row>
    <row r="281" spans="1:7" x14ac:dyDescent="0.3">
      <c r="A281" s="1">
        <v>40998</v>
      </c>
      <c r="B281">
        <v>1.1080000000000001</v>
      </c>
      <c r="C281">
        <v>1.3343</v>
      </c>
      <c r="D281">
        <v>1.2068000000000001E-2</v>
      </c>
      <c r="E281">
        <v>1.0346</v>
      </c>
      <c r="F281">
        <v>1.6008</v>
      </c>
      <c r="G281">
        <v>0.15840000000000001</v>
      </c>
    </row>
    <row r="282" spans="1:7" x14ac:dyDescent="0.3">
      <c r="A282" s="1">
        <v>41029</v>
      </c>
      <c r="B282">
        <v>1.1019000000000001</v>
      </c>
      <c r="C282">
        <v>1.3239000000000001</v>
      </c>
      <c r="D282">
        <v>1.2527E-2</v>
      </c>
      <c r="E282">
        <v>1.0428999999999999</v>
      </c>
      <c r="F282">
        <v>1.6234</v>
      </c>
      <c r="G282">
        <v>0.15870000000000001</v>
      </c>
    </row>
    <row r="283" spans="1:7" x14ac:dyDescent="0.3">
      <c r="A283" s="1">
        <v>41060</v>
      </c>
      <c r="B283">
        <v>1.0295000000000001</v>
      </c>
      <c r="C283">
        <v>1.2364999999999999</v>
      </c>
      <c r="D283">
        <v>1.2769000000000001E-2</v>
      </c>
      <c r="E283">
        <v>0.97340000000000004</v>
      </c>
      <c r="F283">
        <v>1.5405</v>
      </c>
      <c r="G283">
        <v>0.15709999999999999</v>
      </c>
    </row>
    <row r="284" spans="1:7" x14ac:dyDescent="0.3">
      <c r="A284" s="1">
        <v>41089</v>
      </c>
      <c r="B284">
        <v>1.0542</v>
      </c>
      <c r="C284">
        <v>1.2666999999999999</v>
      </c>
      <c r="D284">
        <v>1.2529999999999999E-2</v>
      </c>
      <c r="E284">
        <v>1.0238</v>
      </c>
      <c r="F284">
        <v>1.5707</v>
      </c>
      <c r="G284">
        <v>0.15720000000000001</v>
      </c>
    </row>
    <row r="285" spans="1:7" x14ac:dyDescent="0.3">
      <c r="A285" s="1">
        <v>41121</v>
      </c>
      <c r="B285">
        <v>1.0241</v>
      </c>
      <c r="C285">
        <v>1.2303999999999999</v>
      </c>
      <c r="D285">
        <v>1.2801E-2</v>
      </c>
      <c r="E285">
        <v>1.0503</v>
      </c>
      <c r="F285">
        <v>1.5678000000000001</v>
      </c>
      <c r="G285">
        <v>0.15690000000000001</v>
      </c>
    </row>
    <row r="286" spans="1:7" x14ac:dyDescent="0.3">
      <c r="A286" s="1">
        <v>41152</v>
      </c>
      <c r="B286">
        <v>1.0471999999999999</v>
      </c>
      <c r="C286">
        <v>1.2579</v>
      </c>
      <c r="D286">
        <v>1.2756999999999999E-2</v>
      </c>
      <c r="E286">
        <v>1.0322</v>
      </c>
      <c r="F286">
        <v>1.5866</v>
      </c>
      <c r="G286">
        <v>0.15740000000000001</v>
      </c>
    </row>
    <row r="287" spans="1:7" x14ac:dyDescent="0.3">
      <c r="A287" s="1">
        <v>41180</v>
      </c>
      <c r="B287">
        <v>1.0640000000000001</v>
      </c>
      <c r="C287">
        <v>1.286</v>
      </c>
      <c r="D287">
        <v>1.2829999999999999E-2</v>
      </c>
      <c r="E287">
        <v>1.0378000000000001</v>
      </c>
      <c r="F287">
        <v>1.6167</v>
      </c>
      <c r="G287">
        <v>0.15870000000000001</v>
      </c>
    </row>
    <row r="288" spans="1:7" x14ac:dyDescent="0.3">
      <c r="A288" s="1">
        <v>41213</v>
      </c>
      <c r="B288">
        <v>1.0736000000000001</v>
      </c>
      <c r="C288">
        <v>1.296</v>
      </c>
      <c r="D288">
        <v>1.2533000000000001E-2</v>
      </c>
      <c r="E288">
        <v>1.0376000000000001</v>
      </c>
      <c r="F288">
        <v>1.6129</v>
      </c>
      <c r="G288">
        <v>0.16020000000000001</v>
      </c>
    </row>
    <row r="289" spans="1:7" x14ac:dyDescent="0.3">
      <c r="A289" s="1">
        <v>41243</v>
      </c>
      <c r="B289">
        <v>1.0774999999999999</v>
      </c>
      <c r="C289">
        <v>1.2986</v>
      </c>
      <c r="D289">
        <v>1.2125E-2</v>
      </c>
      <c r="E289">
        <v>1.0427999999999999</v>
      </c>
      <c r="F289">
        <v>1.6012999999999999</v>
      </c>
      <c r="G289">
        <v>0.16089999999999999</v>
      </c>
    </row>
    <row r="290" spans="1:7" x14ac:dyDescent="0.3">
      <c r="A290" s="1">
        <v>41274</v>
      </c>
      <c r="B290">
        <v>1.0924</v>
      </c>
      <c r="C290">
        <v>1.3192999999999999</v>
      </c>
      <c r="D290">
        <v>1.153E-2</v>
      </c>
      <c r="E290">
        <v>1.0394000000000001</v>
      </c>
      <c r="F290">
        <v>1.6254999999999999</v>
      </c>
      <c r="G290">
        <v>0.16070000000000001</v>
      </c>
    </row>
    <row r="291" spans="1:7" x14ac:dyDescent="0.3">
      <c r="A291" s="1">
        <v>41305</v>
      </c>
      <c r="B291">
        <v>1.0989</v>
      </c>
      <c r="C291">
        <v>1.3579000000000001</v>
      </c>
      <c r="D291">
        <v>1.0902999999999999E-2</v>
      </c>
      <c r="E291">
        <v>1.0425</v>
      </c>
      <c r="F291">
        <v>1.5857000000000001</v>
      </c>
      <c r="G291">
        <v>0.161</v>
      </c>
    </row>
    <row r="292" spans="1:7" x14ac:dyDescent="0.3">
      <c r="A292" s="1">
        <v>41333</v>
      </c>
      <c r="B292">
        <v>1.0674999999999999</v>
      </c>
      <c r="C292">
        <v>1.3057000000000001</v>
      </c>
      <c r="D292">
        <v>1.0803999999999999E-2</v>
      </c>
      <c r="E292">
        <v>1.0215000000000001</v>
      </c>
      <c r="F292">
        <v>1.5163</v>
      </c>
      <c r="G292">
        <v>0.16070000000000001</v>
      </c>
    </row>
    <row r="293" spans="1:7" x14ac:dyDescent="0.3">
      <c r="A293" s="1">
        <v>41362</v>
      </c>
      <c r="B293">
        <v>1.0531999999999999</v>
      </c>
      <c r="C293">
        <v>1.2819</v>
      </c>
      <c r="D293">
        <v>1.0614E-2</v>
      </c>
      <c r="E293">
        <v>1.0419</v>
      </c>
      <c r="F293">
        <v>1.5198</v>
      </c>
      <c r="G293">
        <v>0.16120000000000001</v>
      </c>
    </row>
    <row r="294" spans="1:7" x14ac:dyDescent="0.3">
      <c r="A294" s="1">
        <v>41394</v>
      </c>
      <c r="B294">
        <v>1.0760000000000001</v>
      </c>
      <c r="C294">
        <v>1.3168</v>
      </c>
      <c r="D294">
        <v>1.0263E-2</v>
      </c>
      <c r="E294">
        <v>1.0370999999999999</v>
      </c>
      <c r="F294">
        <v>1.5531999999999999</v>
      </c>
      <c r="G294">
        <v>0.1623</v>
      </c>
    </row>
    <row r="295" spans="1:7" x14ac:dyDescent="0.3">
      <c r="A295" s="1">
        <v>41425</v>
      </c>
      <c r="B295">
        <v>1.0468</v>
      </c>
      <c r="C295">
        <v>1.2999000000000001</v>
      </c>
      <c r="D295">
        <v>9.9489999999999995E-3</v>
      </c>
      <c r="E295">
        <v>0.95709999999999995</v>
      </c>
      <c r="F295">
        <v>1.5198</v>
      </c>
      <c r="G295">
        <v>0.16259999999999999</v>
      </c>
    </row>
    <row r="296" spans="1:7" x14ac:dyDescent="0.3">
      <c r="A296" s="1">
        <v>41453</v>
      </c>
      <c r="B296">
        <v>1.0582</v>
      </c>
      <c r="C296">
        <v>1.3009999999999999</v>
      </c>
      <c r="D296">
        <v>1.0085999999999999E-2</v>
      </c>
      <c r="E296">
        <v>0.91379999999999995</v>
      </c>
      <c r="F296">
        <v>1.5213000000000001</v>
      </c>
      <c r="G296">
        <v>0.16289999999999999</v>
      </c>
    </row>
    <row r="297" spans="1:7" x14ac:dyDescent="0.3">
      <c r="A297" s="1">
        <v>41486</v>
      </c>
      <c r="B297">
        <v>1.0794999999999999</v>
      </c>
      <c r="C297">
        <v>1.3302</v>
      </c>
      <c r="D297">
        <v>1.0215999999999999E-2</v>
      </c>
      <c r="E297">
        <v>0.8982</v>
      </c>
      <c r="F297">
        <v>1.5206999999999999</v>
      </c>
      <c r="G297">
        <v>0.16309999999999999</v>
      </c>
    </row>
    <row r="298" spans="1:7" x14ac:dyDescent="0.3">
      <c r="A298" s="1">
        <v>41516</v>
      </c>
      <c r="B298">
        <v>1.0753999999999999</v>
      </c>
      <c r="C298">
        <v>1.3222</v>
      </c>
      <c r="D298">
        <v>1.0187999999999999E-2</v>
      </c>
      <c r="E298">
        <v>0.8901</v>
      </c>
      <c r="F298">
        <v>1.5504</v>
      </c>
      <c r="G298">
        <v>0.16350000000000001</v>
      </c>
    </row>
    <row r="299" spans="1:7" x14ac:dyDescent="0.3">
      <c r="A299" s="1">
        <v>41547</v>
      </c>
      <c r="B299">
        <v>1.1052</v>
      </c>
      <c r="C299">
        <v>1.3527</v>
      </c>
      <c r="D299">
        <v>1.018E-2</v>
      </c>
      <c r="E299">
        <v>0.93169999999999997</v>
      </c>
      <c r="F299">
        <v>1.6186</v>
      </c>
      <c r="G299">
        <v>0.16350000000000001</v>
      </c>
    </row>
    <row r="300" spans="1:7" x14ac:dyDescent="0.3">
      <c r="A300" s="1">
        <v>41578</v>
      </c>
      <c r="B300">
        <v>1.1027</v>
      </c>
      <c r="C300">
        <v>1.3584000000000001</v>
      </c>
      <c r="D300">
        <v>1.0167000000000001E-2</v>
      </c>
      <c r="E300">
        <v>0.9456</v>
      </c>
      <c r="F300">
        <v>1.6040000000000001</v>
      </c>
      <c r="G300">
        <v>0.16420000000000001</v>
      </c>
    </row>
    <row r="301" spans="1:7" x14ac:dyDescent="0.3">
      <c r="A301" s="1">
        <v>41607</v>
      </c>
      <c r="B301">
        <v>1.1035999999999999</v>
      </c>
      <c r="C301">
        <v>1.3591</v>
      </c>
      <c r="D301">
        <v>9.7619999999999998E-3</v>
      </c>
      <c r="E301">
        <v>0.91080000000000005</v>
      </c>
      <c r="F301">
        <v>1.6368</v>
      </c>
      <c r="G301">
        <v>0.16439999999999999</v>
      </c>
    </row>
    <row r="302" spans="1:7" x14ac:dyDescent="0.3">
      <c r="A302" s="1">
        <v>41639</v>
      </c>
      <c r="B302">
        <v>1.1198999999999999</v>
      </c>
      <c r="C302">
        <v>1.3743000000000001</v>
      </c>
      <c r="D302">
        <v>9.4970000000000002E-3</v>
      </c>
      <c r="E302">
        <v>0.89170000000000005</v>
      </c>
      <c r="F302">
        <v>1.6556999999999999</v>
      </c>
      <c r="G302">
        <v>0.1651</v>
      </c>
    </row>
    <row r="303" spans="1:7" x14ac:dyDescent="0.3">
      <c r="A303" s="1">
        <v>41670</v>
      </c>
      <c r="B303">
        <v>1.1032999999999999</v>
      </c>
      <c r="C303">
        <v>1.3486</v>
      </c>
      <c r="D303">
        <v>9.7999999999999997E-3</v>
      </c>
      <c r="E303">
        <v>0.87560000000000004</v>
      </c>
      <c r="F303">
        <v>1.6438999999999999</v>
      </c>
      <c r="G303">
        <v>0.16569999999999999</v>
      </c>
    </row>
    <row r="304" spans="1:7" x14ac:dyDescent="0.3">
      <c r="A304" s="1">
        <v>41698</v>
      </c>
      <c r="B304">
        <v>1.1361000000000001</v>
      </c>
      <c r="C304">
        <v>1.3802000000000001</v>
      </c>
      <c r="D304">
        <v>9.8250000000000004E-3</v>
      </c>
      <c r="E304">
        <v>0.89239999999999997</v>
      </c>
      <c r="F304">
        <v>1.6745000000000001</v>
      </c>
      <c r="G304">
        <v>0.16339999999999999</v>
      </c>
    </row>
    <row r="305" spans="1:7" x14ac:dyDescent="0.3">
      <c r="A305" s="1">
        <v>41729</v>
      </c>
      <c r="B305">
        <v>1.1305000000000001</v>
      </c>
      <c r="C305">
        <v>1.3769</v>
      </c>
      <c r="D305">
        <v>9.6869999999999994E-3</v>
      </c>
      <c r="E305">
        <v>0.9264</v>
      </c>
      <c r="F305">
        <v>1.6661999999999999</v>
      </c>
      <c r="G305">
        <v>0.16089999999999999</v>
      </c>
    </row>
    <row r="306" spans="1:7" x14ac:dyDescent="0.3">
      <c r="A306" s="1">
        <v>41759</v>
      </c>
      <c r="B306">
        <v>1.1358999999999999</v>
      </c>
      <c r="C306">
        <v>1.3867</v>
      </c>
      <c r="D306">
        <v>9.7809999999999998E-3</v>
      </c>
      <c r="E306">
        <v>0.92869999999999997</v>
      </c>
      <c r="F306">
        <v>1.6873</v>
      </c>
      <c r="G306">
        <v>0.15989999999999999</v>
      </c>
    </row>
    <row r="307" spans="1:7" x14ac:dyDescent="0.3">
      <c r="A307" s="1">
        <v>41789</v>
      </c>
      <c r="B307">
        <v>1.1169</v>
      </c>
      <c r="C307">
        <v>1.3634999999999999</v>
      </c>
      <c r="D307">
        <v>9.8250000000000004E-3</v>
      </c>
      <c r="E307">
        <v>0.93100000000000005</v>
      </c>
      <c r="F307">
        <v>1.6755</v>
      </c>
      <c r="G307">
        <v>0.16009999999999999</v>
      </c>
    </row>
    <row r="308" spans="1:7" x14ac:dyDescent="0.3">
      <c r="A308" s="1">
        <v>41820</v>
      </c>
      <c r="B308">
        <v>1.1275999999999999</v>
      </c>
      <c r="C308">
        <v>1.3692</v>
      </c>
      <c r="D308">
        <v>9.8689999999999993E-3</v>
      </c>
      <c r="E308">
        <v>0.94330000000000003</v>
      </c>
      <c r="F308">
        <v>1.7105999999999999</v>
      </c>
      <c r="G308">
        <v>0.16120000000000001</v>
      </c>
    </row>
    <row r="309" spans="1:7" x14ac:dyDescent="0.3">
      <c r="A309" s="1">
        <v>41851</v>
      </c>
      <c r="B309">
        <v>1.1003000000000001</v>
      </c>
      <c r="C309">
        <v>1.339</v>
      </c>
      <c r="D309">
        <v>9.7280000000000005E-3</v>
      </c>
      <c r="E309">
        <v>0.92949999999999999</v>
      </c>
      <c r="F309">
        <v>1.6886000000000001</v>
      </c>
      <c r="G309">
        <v>0.1618</v>
      </c>
    </row>
    <row r="310" spans="1:7" x14ac:dyDescent="0.3">
      <c r="A310" s="1">
        <v>41880</v>
      </c>
      <c r="B310">
        <v>1.089</v>
      </c>
      <c r="C310">
        <v>1.3131999999999999</v>
      </c>
      <c r="D310">
        <v>9.606E-3</v>
      </c>
      <c r="E310">
        <v>0.93389999999999995</v>
      </c>
      <c r="F310">
        <v>1.6597999999999999</v>
      </c>
      <c r="G310">
        <v>0.16259999999999999</v>
      </c>
    </row>
    <row r="311" spans="1:7" x14ac:dyDescent="0.3">
      <c r="A311" s="1">
        <v>41912</v>
      </c>
      <c r="B311">
        <v>1.0470999999999999</v>
      </c>
      <c r="C311">
        <v>1.2630999999999999</v>
      </c>
      <c r="D311">
        <v>9.1199999999999996E-3</v>
      </c>
      <c r="E311">
        <v>0.87470000000000003</v>
      </c>
      <c r="F311">
        <v>1.6213</v>
      </c>
      <c r="G311">
        <v>0.1618</v>
      </c>
    </row>
    <row r="312" spans="1:7" x14ac:dyDescent="0.3">
      <c r="A312" s="1">
        <v>41943</v>
      </c>
      <c r="B312">
        <v>1.0387999999999999</v>
      </c>
      <c r="C312">
        <v>1.2524999999999999</v>
      </c>
      <c r="D312">
        <v>8.9009999999999992E-3</v>
      </c>
      <c r="E312">
        <v>0.87980000000000003</v>
      </c>
      <c r="F312">
        <v>1.5994999999999999</v>
      </c>
      <c r="G312">
        <v>0.16320000000000001</v>
      </c>
    </row>
    <row r="313" spans="1:7" x14ac:dyDescent="0.3">
      <c r="A313" s="1">
        <v>41971</v>
      </c>
      <c r="B313">
        <v>1.0354000000000001</v>
      </c>
      <c r="C313">
        <v>1.2452000000000001</v>
      </c>
      <c r="D313">
        <v>8.43E-3</v>
      </c>
      <c r="E313">
        <v>0.85060000000000002</v>
      </c>
      <c r="F313">
        <v>1.5645</v>
      </c>
      <c r="G313">
        <v>0.1623</v>
      </c>
    </row>
    <row r="314" spans="1:7" x14ac:dyDescent="0.3">
      <c r="A314" s="1">
        <v>42004</v>
      </c>
      <c r="B314">
        <v>1.0057</v>
      </c>
      <c r="C314">
        <v>1.2098</v>
      </c>
      <c r="D314">
        <v>8.3549999999999996E-3</v>
      </c>
      <c r="E314">
        <v>0.8175</v>
      </c>
      <c r="F314">
        <v>1.5577000000000001</v>
      </c>
      <c r="G314">
        <v>0.1608</v>
      </c>
    </row>
    <row r="315" spans="1:7" x14ac:dyDescent="0.3">
      <c r="A315" s="1">
        <v>42034</v>
      </c>
      <c r="B315">
        <v>1.0866</v>
      </c>
      <c r="C315">
        <v>1.1291</v>
      </c>
      <c r="D315">
        <v>8.5079999999999999E-3</v>
      </c>
      <c r="E315">
        <v>0.7762</v>
      </c>
      <c r="F315">
        <v>1.506</v>
      </c>
      <c r="G315">
        <v>0.15920000000000001</v>
      </c>
    </row>
    <row r="316" spans="1:7" x14ac:dyDescent="0.3">
      <c r="A316" s="1">
        <v>42062</v>
      </c>
      <c r="B316">
        <v>1.0484</v>
      </c>
      <c r="C316">
        <v>1.1195999999999999</v>
      </c>
      <c r="D316">
        <v>8.3599999999999994E-3</v>
      </c>
      <c r="E316">
        <v>0.78080000000000005</v>
      </c>
      <c r="F316">
        <v>1.5438000000000001</v>
      </c>
      <c r="G316">
        <v>0.159</v>
      </c>
    </row>
    <row r="317" spans="1:7" x14ac:dyDescent="0.3">
      <c r="A317" s="1">
        <v>42094</v>
      </c>
      <c r="B317">
        <v>1.0283</v>
      </c>
      <c r="C317">
        <v>1.0730999999999999</v>
      </c>
      <c r="D317">
        <v>8.3239999999999998E-3</v>
      </c>
      <c r="E317">
        <v>0.76070000000000004</v>
      </c>
      <c r="F317">
        <v>1.4818</v>
      </c>
      <c r="G317">
        <v>0.16109999999999999</v>
      </c>
    </row>
    <row r="318" spans="1:7" x14ac:dyDescent="0.3">
      <c r="A318" s="1">
        <v>42124</v>
      </c>
      <c r="B318">
        <v>1.0722</v>
      </c>
      <c r="C318">
        <v>1.1224000000000001</v>
      </c>
      <c r="D318">
        <v>8.3770000000000008E-3</v>
      </c>
      <c r="E318">
        <v>0.79049999999999998</v>
      </c>
      <c r="F318">
        <v>1.5350999999999999</v>
      </c>
      <c r="G318">
        <v>0.16109999999999999</v>
      </c>
    </row>
    <row r="319" spans="1:7" x14ac:dyDescent="0.3">
      <c r="A319" s="1">
        <v>42153</v>
      </c>
      <c r="B319">
        <v>1.0634999999999999</v>
      </c>
      <c r="C319">
        <v>1.0986</v>
      </c>
      <c r="D319">
        <v>8.0549999999999997E-3</v>
      </c>
      <c r="E319">
        <v>0.76449999999999996</v>
      </c>
      <c r="F319">
        <v>1.5290999999999999</v>
      </c>
      <c r="G319">
        <v>0.16120000000000001</v>
      </c>
    </row>
    <row r="320" spans="1:7" x14ac:dyDescent="0.3">
      <c r="A320" s="1">
        <v>42185</v>
      </c>
      <c r="B320">
        <v>1.0689</v>
      </c>
      <c r="C320">
        <v>1.1147</v>
      </c>
      <c r="D320">
        <v>8.1630000000000001E-3</v>
      </c>
      <c r="E320">
        <v>0.77070000000000005</v>
      </c>
      <c r="F320">
        <v>1.5711999999999999</v>
      </c>
      <c r="G320">
        <v>0.16109999999999999</v>
      </c>
    </row>
    <row r="321" spans="1:7" x14ac:dyDescent="0.3">
      <c r="A321" s="1">
        <v>42216</v>
      </c>
      <c r="B321">
        <v>1.0348999999999999</v>
      </c>
      <c r="C321">
        <v>1.0984</v>
      </c>
      <c r="D321">
        <v>8.0730000000000003E-3</v>
      </c>
      <c r="E321">
        <v>0.73080000000000001</v>
      </c>
      <c r="F321">
        <v>1.5622</v>
      </c>
      <c r="G321">
        <v>0.16070000000000001</v>
      </c>
    </row>
    <row r="322" spans="1:7" x14ac:dyDescent="0.3">
      <c r="A322" s="1">
        <v>42247</v>
      </c>
      <c r="B322">
        <v>1.0338000000000001</v>
      </c>
      <c r="C322">
        <v>1.1211</v>
      </c>
      <c r="D322">
        <v>8.2489999999999994E-3</v>
      </c>
      <c r="E322">
        <v>0.71130000000000004</v>
      </c>
      <c r="F322">
        <v>1.5345</v>
      </c>
      <c r="G322">
        <v>0.1552</v>
      </c>
    </row>
    <row r="323" spans="1:7" x14ac:dyDescent="0.3">
      <c r="A323" s="1">
        <v>42277</v>
      </c>
      <c r="B323">
        <v>1.0274000000000001</v>
      </c>
      <c r="C323">
        <v>1.1176999999999999</v>
      </c>
      <c r="D323">
        <v>8.3420000000000005E-3</v>
      </c>
      <c r="E323">
        <v>0.70179999999999998</v>
      </c>
      <c r="F323">
        <v>1.5127999999999999</v>
      </c>
      <c r="G323">
        <v>0.15720000000000001</v>
      </c>
    </row>
    <row r="324" spans="1:7" x14ac:dyDescent="0.3">
      <c r="A324" s="1">
        <v>42307</v>
      </c>
      <c r="B324">
        <v>1.0123</v>
      </c>
      <c r="C324">
        <v>1.1006</v>
      </c>
      <c r="D324">
        <v>8.2909999999999998E-3</v>
      </c>
      <c r="E324">
        <v>0.71379999999999999</v>
      </c>
      <c r="F324">
        <v>1.5427999999999999</v>
      </c>
      <c r="G324">
        <v>0.15820000000000001</v>
      </c>
    </row>
    <row r="325" spans="1:7" x14ac:dyDescent="0.3">
      <c r="A325" s="1">
        <v>42338</v>
      </c>
      <c r="B325">
        <v>0.97189999999999999</v>
      </c>
      <c r="C325">
        <v>1.0565</v>
      </c>
      <c r="D325">
        <v>8.123E-3</v>
      </c>
      <c r="E325">
        <v>0.72270000000000001</v>
      </c>
      <c r="F325">
        <v>1.5056</v>
      </c>
      <c r="G325">
        <v>0.15570000000000001</v>
      </c>
    </row>
    <row r="326" spans="1:7" x14ac:dyDescent="0.3">
      <c r="A326" s="1">
        <v>42369</v>
      </c>
      <c r="B326">
        <v>0.99770000000000003</v>
      </c>
      <c r="C326">
        <v>1.0862000000000001</v>
      </c>
      <c r="D326">
        <v>8.3160000000000005E-3</v>
      </c>
      <c r="E326">
        <v>0.72860000000000003</v>
      </c>
      <c r="F326">
        <v>1.4736</v>
      </c>
      <c r="G326">
        <v>0.1522</v>
      </c>
    </row>
    <row r="327" spans="1:7" x14ac:dyDescent="0.3">
      <c r="A327" s="1">
        <v>42398</v>
      </c>
      <c r="B327">
        <v>0.97750000000000004</v>
      </c>
      <c r="C327">
        <v>1.0831</v>
      </c>
      <c r="D327">
        <v>8.2559999999999995E-3</v>
      </c>
      <c r="E327">
        <v>0.70840000000000003</v>
      </c>
      <c r="F327">
        <v>1.4244000000000001</v>
      </c>
      <c r="G327">
        <v>0.1517</v>
      </c>
    </row>
    <row r="328" spans="1:7" x14ac:dyDescent="0.3">
      <c r="A328" s="1">
        <v>42429</v>
      </c>
      <c r="B328">
        <v>1.0015000000000001</v>
      </c>
      <c r="C328">
        <v>1.0872999999999999</v>
      </c>
      <c r="D328">
        <v>8.8739999999999999E-3</v>
      </c>
      <c r="E328">
        <v>0.71409999999999996</v>
      </c>
      <c r="F328">
        <v>1.3916999999999999</v>
      </c>
      <c r="G328">
        <v>0.15260000000000001</v>
      </c>
    </row>
    <row r="329" spans="1:7" x14ac:dyDescent="0.3">
      <c r="A329" s="1">
        <v>42460</v>
      </c>
      <c r="B329">
        <v>1.0397000000000001</v>
      </c>
      <c r="C329">
        <v>1.1379999999999999</v>
      </c>
      <c r="D329">
        <v>8.8830000000000003E-3</v>
      </c>
      <c r="E329">
        <v>0.76570000000000005</v>
      </c>
      <c r="F329">
        <v>1.4359999999999999</v>
      </c>
      <c r="G329">
        <v>0.1547</v>
      </c>
    </row>
    <row r="330" spans="1:7" x14ac:dyDescent="0.3">
      <c r="A330" s="1">
        <v>42489</v>
      </c>
      <c r="B330">
        <v>1.0424</v>
      </c>
      <c r="C330">
        <v>1.1451</v>
      </c>
      <c r="D330">
        <v>9.4039999999999992E-3</v>
      </c>
      <c r="E330">
        <v>0.76029999999999998</v>
      </c>
      <c r="F330">
        <v>1.4612000000000001</v>
      </c>
      <c r="G330">
        <v>0.1542</v>
      </c>
    </row>
    <row r="331" spans="1:7" x14ac:dyDescent="0.3">
      <c r="A331" s="1">
        <v>42521</v>
      </c>
      <c r="B331">
        <v>1.0061</v>
      </c>
      <c r="C331">
        <v>1.1132</v>
      </c>
      <c r="D331">
        <v>9.0310000000000008E-3</v>
      </c>
      <c r="E331">
        <v>0.72340000000000004</v>
      </c>
      <c r="F331">
        <v>1.4482999999999999</v>
      </c>
      <c r="G331">
        <v>0.15179999999999999</v>
      </c>
    </row>
    <row r="332" spans="1:7" x14ac:dyDescent="0.3">
      <c r="A332" s="1">
        <v>42551</v>
      </c>
      <c r="B332">
        <v>1.0245</v>
      </c>
      <c r="C332">
        <v>1.1106</v>
      </c>
      <c r="D332">
        <v>9.6919999999999992E-3</v>
      </c>
      <c r="E332">
        <v>0.74509999999999998</v>
      </c>
      <c r="F332">
        <v>1.3310999999999999</v>
      </c>
      <c r="G332">
        <v>0.15</v>
      </c>
    </row>
    <row r="333" spans="1:7" x14ac:dyDescent="0.3">
      <c r="A333" s="1">
        <v>42580</v>
      </c>
      <c r="B333">
        <v>1.0315000000000001</v>
      </c>
      <c r="C333">
        <v>1.1173999999999999</v>
      </c>
      <c r="D333">
        <v>9.7979999999999994E-3</v>
      </c>
      <c r="E333">
        <v>0.75960000000000005</v>
      </c>
      <c r="F333">
        <v>1.323</v>
      </c>
      <c r="G333">
        <v>0.15090000000000001</v>
      </c>
    </row>
    <row r="334" spans="1:7" x14ac:dyDescent="0.3">
      <c r="A334" s="1">
        <v>42613</v>
      </c>
      <c r="B334">
        <v>1.0164</v>
      </c>
      <c r="C334">
        <v>1.1157999999999999</v>
      </c>
      <c r="D334">
        <v>9.6690000000000005E-3</v>
      </c>
      <c r="E334">
        <v>0.75170000000000003</v>
      </c>
      <c r="F334">
        <v>1.3138000000000001</v>
      </c>
      <c r="G334">
        <v>0.14940000000000001</v>
      </c>
    </row>
    <row r="335" spans="1:7" x14ac:dyDescent="0.3">
      <c r="A335" s="1">
        <v>42643</v>
      </c>
      <c r="B335">
        <v>1.0295000000000001</v>
      </c>
      <c r="C335">
        <v>1.1234999999999999</v>
      </c>
      <c r="D335">
        <v>9.868E-3</v>
      </c>
      <c r="E335">
        <v>0.76639999999999997</v>
      </c>
      <c r="F335">
        <v>1.2971999999999999</v>
      </c>
      <c r="G335">
        <v>0.1497</v>
      </c>
    </row>
    <row r="336" spans="1:7" x14ac:dyDescent="0.3">
      <c r="A336" s="1">
        <v>42674</v>
      </c>
      <c r="B336">
        <v>1.0109999999999999</v>
      </c>
      <c r="C336">
        <v>1.0981000000000001</v>
      </c>
      <c r="D336">
        <v>9.5399999999999999E-3</v>
      </c>
      <c r="E336">
        <v>0.76090000000000002</v>
      </c>
      <c r="F336">
        <v>1.2242</v>
      </c>
      <c r="G336">
        <v>0.14749999999999999</v>
      </c>
    </row>
    <row r="337" spans="1:7" x14ac:dyDescent="0.3">
      <c r="A337" s="1">
        <v>42704</v>
      </c>
      <c r="B337">
        <v>0.9829</v>
      </c>
      <c r="C337">
        <v>1.0589</v>
      </c>
      <c r="D337">
        <v>8.7360000000000007E-3</v>
      </c>
      <c r="E337">
        <v>0.73850000000000005</v>
      </c>
      <c r="F337">
        <v>1.2505999999999999</v>
      </c>
      <c r="G337">
        <v>0.14460000000000001</v>
      </c>
    </row>
    <row r="338" spans="1:7" x14ac:dyDescent="0.3">
      <c r="A338" s="1">
        <v>42734</v>
      </c>
      <c r="B338">
        <v>0.98150000000000004</v>
      </c>
      <c r="C338">
        <v>1.0517000000000001</v>
      </c>
      <c r="D338">
        <v>8.5470000000000008E-3</v>
      </c>
      <c r="E338">
        <v>0.7208</v>
      </c>
      <c r="F338">
        <v>1.234</v>
      </c>
      <c r="G338">
        <v>0.1434</v>
      </c>
    </row>
    <row r="339" spans="1:7" x14ac:dyDescent="0.3">
      <c r="A339" s="1">
        <v>42766</v>
      </c>
      <c r="B339">
        <v>1.0106999999999999</v>
      </c>
      <c r="C339">
        <v>1.0798000000000001</v>
      </c>
      <c r="D339">
        <v>8.8649999999999996E-3</v>
      </c>
      <c r="E339">
        <v>0.75849999999999995</v>
      </c>
      <c r="F339">
        <v>1.2579</v>
      </c>
      <c r="G339">
        <v>0.14649999999999999</v>
      </c>
    </row>
    <row r="340" spans="1:7" x14ac:dyDescent="0.3">
      <c r="A340" s="1">
        <v>42794</v>
      </c>
      <c r="B340">
        <v>0.99419999999999997</v>
      </c>
      <c r="C340">
        <v>1.0576000000000001</v>
      </c>
      <c r="D340">
        <v>8.8679999999999991E-3</v>
      </c>
      <c r="E340">
        <v>0.76570000000000005</v>
      </c>
      <c r="F340">
        <v>1.238</v>
      </c>
      <c r="G340">
        <v>0.1459</v>
      </c>
    </row>
    <row r="341" spans="1:7" x14ac:dyDescent="0.3">
      <c r="A341" s="1">
        <v>42825</v>
      </c>
      <c r="B341">
        <v>0.99709999999999999</v>
      </c>
      <c r="C341">
        <v>1.0651999999999999</v>
      </c>
      <c r="D341">
        <v>8.9770000000000006E-3</v>
      </c>
      <c r="E341">
        <v>0.76290000000000002</v>
      </c>
      <c r="F341">
        <v>1.2549999999999999</v>
      </c>
      <c r="G341">
        <v>0.14549999999999999</v>
      </c>
    </row>
    <row r="342" spans="1:7" x14ac:dyDescent="0.3">
      <c r="A342" s="1">
        <v>42853</v>
      </c>
      <c r="B342">
        <v>1.0052000000000001</v>
      </c>
      <c r="C342">
        <v>1.0894999999999999</v>
      </c>
      <c r="D342">
        <v>8.966E-3</v>
      </c>
      <c r="E342">
        <v>0.74880000000000002</v>
      </c>
      <c r="F342">
        <v>1.2950999999999999</v>
      </c>
      <c r="G342">
        <v>0.14499999999999999</v>
      </c>
    </row>
    <row r="343" spans="1:7" x14ac:dyDescent="0.3">
      <c r="A343" s="1">
        <v>42886</v>
      </c>
      <c r="B343">
        <v>1.0333000000000001</v>
      </c>
      <c r="C343">
        <v>1.1244000000000001</v>
      </c>
      <c r="D343">
        <v>9.0279999999999996E-3</v>
      </c>
      <c r="E343">
        <v>0.74299999999999999</v>
      </c>
      <c r="F343">
        <v>1.2889999999999999</v>
      </c>
      <c r="G343">
        <v>0.1482</v>
      </c>
    </row>
    <row r="344" spans="1:7" x14ac:dyDescent="0.3">
      <c r="A344" s="1">
        <v>42916</v>
      </c>
      <c r="B344">
        <v>1.0435000000000001</v>
      </c>
      <c r="C344">
        <v>1.1426000000000001</v>
      </c>
      <c r="D344">
        <v>8.9009999999999992E-3</v>
      </c>
      <c r="E344">
        <v>0.76890000000000003</v>
      </c>
      <c r="F344">
        <v>1.3025</v>
      </c>
      <c r="G344">
        <v>0.14749999999999999</v>
      </c>
    </row>
    <row r="345" spans="1:7" x14ac:dyDescent="0.3">
      <c r="A345" s="1">
        <v>42947</v>
      </c>
      <c r="B345">
        <v>1.0342</v>
      </c>
      <c r="C345">
        <v>1.1841999999999999</v>
      </c>
      <c r="D345">
        <v>9.0699999999999999E-3</v>
      </c>
      <c r="E345">
        <v>0.80030000000000001</v>
      </c>
      <c r="F345">
        <v>1.3214999999999999</v>
      </c>
      <c r="G345">
        <v>0.1487</v>
      </c>
    </row>
    <row r="346" spans="1:7" x14ac:dyDescent="0.3">
      <c r="A346" s="1">
        <v>42978</v>
      </c>
      <c r="B346">
        <v>1.0429999999999999</v>
      </c>
      <c r="C346">
        <v>1.1910000000000001</v>
      </c>
      <c r="D346">
        <v>9.0930000000000004E-3</v>
      </c>
      <c r="E346">
        <v>0.79469999999999996</v>
      </c>
      <c r="F346">
        <v>1.2929999999999999</v>
      </c>
      <c r="G346">
        <v>0.15160000000000001</v>
      </c>
    </row>
    <row r="347" spans="1:7" x14ac:dyDescent="0.3">
      <c r="A347" s="1">
        <v>43007</v>
      </c>
      <c r="B347">
        <v>1.0327999999999999</v>
      </c>
      <c r="C347">
        <v>1.1814</v>
      </c>
      <c r="D347">
        <v>8.8870000000000008E-3</v>
      </c>
      <c r="E347">
        <v>0.78339999999999999</v>
      </c>
      <c r="F347">
        <v>1.3398000000000001</v>
      </c>
      <c r="G347">
        <v>0.15029999999999999</v>
      </c>
    </row>
    <row r="348" spans="1:7" x14ac:dyDescent="0.3">
      <c r="A348" s="1">
        <v>43039</v>
      </c>
      <c r="B348">
        <v>1.0023</v>
      </c>
      <c r="C348">
        <v>1.1646000000000001</v>
      </c>
      <c r="D348">
        <v>8.8000000000000005E-3</v>
      </c>
      <c r="E348">
        <v>0.76559999999999995</v>
      </c>
      <c r="F348">
        <v>1.3283</v>
      </c>
      <c r="G348">
        <v>0.15079999999999999</v>
      </c>
    </row>
    <row r="349" spans="1:7" x14ac:dyDescent="0.3">
      <c r="A349" s="1">
        <v>43069</v>
      </c>
      <c r="B349">
        <v>1.0166999999999999</v>
      </c>
      <c r="C349">
        <v>1.1903999999999999</v>
      </c>
      <c r="D349">
        <v>8.8859999999999998E-3</v>
      </c>
      <c r="E349">
        <v>0.75660000000000005</v>
      </c>
      <c r="F349">
        <v>1.3525</v>
      </c>
      <c r="G349">
        <v>0.15129999999999999</v>
      </c>
    </row>
    <row r="350" spans="1:7" x14ac:dyDescent="0.3">
      <c r="A350" s="1">
        <v>43098</v>
      </c>
      <c r="B350">
        <v>1.0261</v>
      </c>
      <c r="C350">
        <v>1.2004999999999999</v>
      </c>
      <c r="D350">
        <v>8.8739999999999999E-3</v>
      </c>
      <c r="E350">
        <v>0.78090000000000004</v>
      </c>
      <c r="F350">
        <v>1.3512999999999999</v>
      </c>
      <c r="G350">
        <v>0.1535</v>
      </c>
    </row>
    <row r="351" spans="1:7" x14ac:dyDescent="0.3">
      <c r="A351" s="1">
        <v>43131</v>
      </c>
      <c r="B351">
        <v>1.0738000000000001</v>
      </c>
      <c r="C351">
        <v>1.2414000000000001</v>
      </c>
      <c r="D351">
        <v>9.1590000000000005E-3</v>
      </c>
      <c r="E351">
        <v>0.80549999999999999</v>
      </c>
      <c r="F351">
        <v>1.4191</v>
      </c>
      <c r="G351">
        <v>0.15870000000000001</v>
      </c>
    </row>
    <row r="352" spans="1:7" x14ac:dyDescent="0.3">
      <c r="A352" s="1">
        <v>43159</v>
      </c>
      <c r="B352">
        <v>1.0587</v>
      </c>
      <c r="C352">
        <v>1.2194</v>
      </c>
      <c r="D352">
        <v>9.3740000000000004E-3</v>
      </c>
      <c r="E352">
        <v>0.7762</v>
      </c>
      <c r="F352">
        <v>1.3759999999999999</v>
      </c>
      <c r="G352">
        <v>0.158</v>
      </c>
    </row>
    <row r="353" spans="1:7" x14ac:dyDescent="0.3">
      <c r="A353" s="1">
        <v>43189</v>
      </c>
      <c r="B353">
        <v>1.0486</v>
      </c>
      <c r="C353">
        <v>1.2323999999999999</v>
      </c>
      <c r="D353">
        <v>9.4090000000000007E-3</v>
      </c>
      <c r="E353">
        <v>0.76790000000000003</v>
      </c>
      <c r="F353">
        <v>1.4015</v>
      </c>
      <c r="G353">
        <v>0.15970000000000001</v>
      </c>
    </row>
    <row r="354" spans="1:7" x14ac:dyDescent="0.3">
      <c r="A354" s="1">
        <v>43220</v>
      </c>
      <c r="B354">
        <v>1.0094000000000001</v>
      </c>
      <c r="C354">
        <v>1.2078</v>
      </c>
      <c r="D354">
        <v>9.1459999999999996E-3</v>
      </c>
      <c r="E354">
        <v>0.753</v>
      </c>
      <c r="F354">
        <v>1.3763000000000001</v>
      </c>
      <c r="G354">
        <v>0.1583</v>
      </c>
    </row>
    <row r="355" spans="1:7" x14ac:dyDescent="0.3">
      <c r="A355" s="1">
        <v>43251</v>
      </c>
      <c r="B355">
        <v>1.0144</v>
      </c>
      <c r="C355">
        <v>1.1693</v>
      </c>
      <c r="D355">
        <v>9.1900000000000003E-3</v>
      </c>
      <c r="E355">
        <v>0.75680000000000003</v>
      </c>
      <c r="F355">
        <v>1.3298000000000001</v>
      </c>
      <c r="G355">
        <v>0.156</v>
      </c>
    </row>
    <row r="356" spans="1:7" x14ac:dyDescent="0.3">
      <c r="A356" s="1">
        <v>43280</v>
      </c>
      <c r="B356">
        <v>1.0096000000000001</v>
      </c>
      <c r="C356">
        <v>1.1684000000000001</v>
      </c>
      <c r="D356">
        <v>9.0340000000000004E-3</v>
      </c>
      <c r="E356">
        <v>0.74050000000000005</v>
      </c>
      <c r="F356">
        <v>1.3207</v>
      </c>
      <c r="G356">
        <v>0.1507</v>
      </c>
    </row>
    <row r="357" spans="1:7" x14ac:dyDescent="0.3">
      <c r="A357" s="1">
        <v>43312</v>
      </c>
      <c r="B357">
        <v>1.0097</v>
      </c>
      <c r="C357">
        <v>1.1691</v>
      </c>
      <c r="D357">
        <v>8.9390000000000008E-3</v>
      </c>
      <c r="E357">
        <v>0.74239999999999995</v>
      </c>
      <c r="F357">
        <v>1.3124</v>
      </c>
      <c r="G357">
        <v>0.1469</v>
      </c>
    </row>
    <row r="358" spans="1:7" x14ac:dyDescent="0.3">
      <c r="A358" s="1">
        <v>43343</v>
      </c>
      <c r="B358">
        <v>1.0321</v>
      </c>
      <c r="C358">
        <v>1.1601999999999999</v>
      </c>
      <c r="D358">
        <v>9.0050000000000009E-3</v>
      </c>
      <c r="E358">
        <v>0.71889999999999998</v>
      </c>
      <c r="F358">
        <v>1.296</v>
      </c>
      <c r="G358">
        <v>0.14630000000000001</v>
      </c>
    </row>
    <row r="359" spans="1:7" x14ac:dyDescent="0.3">
      <c r="A359" s="1">
        <v>43371</v>
      </c>
      <c r="B359">
        <v>1.0185999999999999</v>
      </c>
      <c r="C359">
        <v>1.1604000000000001</v>
      </c>
      <c r="D359">
        <v>8.796E-3</v>
      </c>
      <c r="E359">
        <v>0.72240000000000004</v>
      </c>
      <c r="F359">
        <v>1.3030999999999999</v>
      </c>
      <c r="G359">
        <v>0.1454</v>
      </c>
    </row>
    <row r="360" spans="1:7" x14ac:dyDescent="0.3">
      <c r="A360" s="1">
        <v>43404</v>
      </c>
      <c r="B360">
        <v>0.99170000000000003</v>
      </c>
      <c r="C360">
        <v>1.1312</v>
      </c>
      <c r="D360">
        <v>8.8529999999999998E-3</v>
      </c>
      <c r="E360">
        <v>0.70730000000000004</v>
      </c>
      <c r="F360">
        <v>1.2766</v>
      </c>
      <c r="G360">
        <v>0.1434</v>
      </c>
    </row>
    <row r="361" spans="1:7" x14ac:dyDescent="0.3">
      <c r="A361" s="1">
        <v>43434</v>
      </c>
      <c r="B361">
        <v>1.0015000000000001</v>
      </c>
      <c r="C361">
        <v>1.1316999999999999</v>
      </c>
      <c r="D361">
        <v>8.8120000000000004E-3</v>
      </c>
      <c r="E361">
        <v>0.73060000000000003</v>
      </c>
      <c r="F361">
        <v>1.2748999999999999</v>
      </c>
      <c r="G361">
        <v>0.1439</v>
      </c>
    </row>
    <row r="362" spans="1:7" x14ac:dyDescent="0.3">
      <c r="A362" s="1">
        <v>43465</v>
      </c>
      <c r="B362">
        <v>1.0186999999999999</v>
      </c>
      <c r="C362">
        <v>1.1467000000000001</v>
      </c>
      <c r="D362">
        <v>9.1229999999999992E-3</v>
      </c>
      <c r="E362">
        <v>0.70489999999999997</v>
      </c>
      <c r="F362">
        <v>1.2754000000000001</v>
      </c>
      <c r="G362">
        <v>0.14560000000000001</v>
      </c>
    </row>
    <row r="363" spans="1:7" x14ac:dyDescent="0.3">
      <c r="A363" s="1">
        <v>43496</v>
      </c>
      <c r="B363">
        <v>1.0057</v>
      </c>
      <c r="C363">
        <v>1.1448</v>
      </c>
      <c r="D363">
        <v>9.1859999999999997E-3</v>
      </c>
      <c r="E363">
        <v>0.72729999999999995</v>
      </c>
      <c r="F363">
        <v>1.3109</v>
      </c>
      <c r="G363">
        <v>0.14899999999999999</v>
      </c>
    </row>
    <row r="364" spans="1:7" x14ac:dyDescent="0.3">
      <c r="A364" s="1">
        <v>43524</v>
      </c>
      <c r="B364">
        <v>1.002</v>
      </c>
      <c r="C364">
        <v>1.1371</v>
      </c>
      <c r="D364">
        <v>8.9779999999999999E-3</v>
      </c>
      <c r="E364">
        <v>0.70940000000000003</v>
      </c>
      <c r="F364">
        <v>1.3263</v>
      </c>
      <c r="G364">
        <v>0.1492</v>
      </c>
    </row>
    <row r="365" spans="1:7" x14ac:dyDescent="0.3">
      <c r="A365" s="1">
        <v>43553</v>
      </c>
      <c r="B365">
        <v>1.0046999999999999</v>
      </c>
      <c r="C365">
        <v>1.1217999999999999</v>
      </c>
      <c r="D365">
        <v>9.0209999999999995E-3</v>
      </c>
      <c r="E365">
        <v>0.70960000000000001</v>
      </c>
      <c r="F365">
        <v>1.3035000000000001</v>
      </c>
      <c r="G365">
        <v>0.1487</v>
      </c>
    </row>
    <row r="366" spans="1:7" x14ac:dyDescent="0.3">
      <c r="A366" s="1">
        <v>43585</v>
      </c>
      <c r="B366">
        <v>0.98109999999999997</v>
      </c>
      <c r="C366">
        <v>1.1214999999999999</v>
      </c>
      <c r="D366">
        <v>8.9739999999999993E-3</v>
      </c>
      <c r="E366">
        <v>0.70479999999999998</v>
      </c>
      <c r="F366">
        <v>1.3031999999999999</v>
      </c>
      <c r="G366">
        <v>0.1484</v>
      </c>
    </row>
    <row r="367" spans="1:7" x14ac:dyDescent="0.3">
      <c r="A367" s="1">
        <v>43616</v>
      </c>
      <c r="B367">
        <v>0.99919999999999998</v>
      </c>
      <c r="C367">
        <v>1.1169</v>
      </c>
      <c r="D367">
        <v>9.2350000000000002E-3</v>
      </c>
      <c r="E367">
        <v>0.69379999999999997</v>
      </c>
      <c r="F367">
        <v>1.2628999999999999</v>
      </c>
      <c r="G367">
        <v>0.14419999999999999</v>
      </c>
    </row>
    <row r="368" spans="1:7" x14ac:dyDescent="0.3">
      <c r="A368" s="1">
        <v>43644</v>
      </c>
      <c r="B368">
        <v>1.0244</v>
      </c>
      <c r="C368">
        <v>1.1373</v>
      </c>
      <c r="D368">
        <v>9.2689999999999995E-3</v>
      </c>
      <c r="E368">
        <v>0.70199999999999996</v>
      </c>
      <c r="F368">
        <v>1.2696000000000001</v>
      </c>
      <c r="G368">
        <v>0.14560000000000001</v>
      </c>
    </row>
    <row r="369" spans="1:7" x14ac:dyDescent="0.3">
      <c r="A369" s="1">
        <v>43677</v>
      </c>
      <c r="B369">
        <v>1.0061</v>
      </c>
      <c r="C369">
        <v>1.1075999999999999</v>
      </c>
      <c r="D369">
        <v>9.1929999999999998E-3</v>
      </c>
      <c r="E369">
        <v>0.6845</v>
      </c>
      <c r="F369">
        <v>1.2159</v>
      </c>
      <c r="G369">
        <v>0.1447</v>
      </c>
    </row>
    <row r="370" spans="1:7" x14ac:dyDescent="0.3">
      <c r="A370" s="1">
        <v>43707</v>
      </c>
      <c r="B370">
        <v>1.0099</v>
      </c>
      <c r="C370">
        <v>1.0982000000000001</v>
      </c>
      <c r="D370">
        <v>9.4109999999999992E-3</v>
      </c>
      <c r="E370">
        <v>0.67330000000000001</v>
      </c>
      <c r="F370">
        <v>1.2156</v>
      </c>
      <c r="G370">
        <v>0.1396</v>
      </c>
    </row>
    <row r="371" spans="1:7" x14ac:dyDescent="0.3">
      <c r="A371" s="1">
        <v>43738</v>
      </c>
      <c r="B371">
        <v>1.0021</v>
      </c>
      <c r="C371">
        <v>1.0899000000000001</v>
      </c>
      <c r="D371">
        <v>9.2530000000000008E-3</v>
      </c>
      <c r="E371">
        <v>0.67500000000000004</v>
      </c>
      <c r="F371">
        <v>1.2289000000000001</v>
      </c>
      <c r="G371">
        <v>0.14000000000000001</v>
      </c>
    </row>
    <row r="372" spans="1:7" x14ac:dyDescent="0.3">
      <c r="A372" s="1">
        <v>43769</v>
      </c>
      <c r="B372">
        <v>1.0137</v>
      </c>
      <c r="C372">
        <v>1.1152</v>
      </c>
      <c r="D372">
        <v>9.2569999999999996E-3</v>
      </c>
      <c r="E372">
        <v>0.68940000000000001</v>
      </c>
      <c r="F372">
        <v>1.2942</v>
      </c>
      <c r="G372">
        <v>0.1419</v>
      </c>
    </row>
    <row r="373" spans="1:7" x14ac:dyDescent="0.3">
      <c r="A373" s="1">
        <v>43798</v>
      </c>
      <c r="B373">
        <v>0.99990000000000001</v>
      </c>
      <c r="C373">
        <v>1.1017999999999999</v>
      </c>
      <c r="D373">
        <v>9.1330000000000005E-3</v>
      </c>
      <c r="E373">
        <v>0.67630000000000001</v>
      </c>
      <c r="F373">
        <v>1.2925</v>
      </c>
      <c r="G373">
        <v>0.14230000000000001</v>
      </c>
    </row>
    <row r="374" spans="1:7" x14ac:dyDescent="0.3">
      <c r="A374" s="1">
        <v>43830</v>
      </c>
      <c r="B374">
        <v>1.0333000000000001</v>
      </c>
      <c r="C374">
        <v>1.1213</v>
      </c>
      <c r="D374">
        <v>9.2049999999999996E-3</v>
      </c>
      <c r="E374">
        <v>0.70209999999999995</v>
      </c>
      <c r="F374">
        <v>1.3257000000000001</v>
      </c>
      <c r="G374">
        <v>0.14360000000000001</v>
      </c>
    </row>
    <row r="375" spans="1:7" x14ac:dyDescent="0.3">
      <c r="A375" s="1">
        <v>43861</v>
      </c>
      <c r="B375">
        <v>1.038</v>
      </c>
      <c r="C375">
        <v>1.1093</v>
      </c>
      <c r="D375">
        <v>9.2280000000000001E-3</v>
      </c>
      <c r="E375">
        <v>0.66920000000000002</v>
      </c>
      <c r="F375">
        <v>1.3206</v>
      </c>
      <c r="G375">
        <v>0.1429</v>
      </c>
    </row>
    <row r="376" spans="1:7" x14ac:dyDescent="0.3">
      <c r="A376" s="1">
        <v>43889</v>
      </c>
      <c r="B376">
        <v>1.0359</v>
      </c>
      <c r="C376">
        <v>1.1026</v>
      </c>
      <c r="D376">
        <v>9.2499999999999995E-3</v>
      </c>
      <c r="E376">
        <v>0.65149999999999997</v>
      </c>
      <c r="F376">
        <v>1.2823</v>
      </c>
      <c r="G376">
        <v>0.14330000000000001</v>
      </c>
    </row>
    <row r="377" spans="1:7" x14ac:dyDescent="0.3">
      <c r="A377" s="1">
        <v>43921</v>
      </c>
      <c r="B377">
        <v>1.0404</v>
      </c>
      <c r="C377">
        <v>1.1031</v>
      </c>
      <c r="D377">
        <v>9.299E-3</v>
      </c>
      <c r="E377">
        <v>0.61309999999999998</v>
      </c>
      <c r="F377">
        <v>1.242</v>
      </c>
      <c r="G377">
        <v>0.14099999999999999</v>
      </c>
    </row>
    <row r="378" spans="1:7" x14ac:dyDescent="0.3">
      <c r="A378" s="1">
        <v>43951</v>
      </c>
      <c r="B378">
        <v>1.0356000000000001</v>
      </c>
      <c r="C378">
        <v>1.0954999999999999</v>
      </c>
      <c r="D378">
        <v>9.3290000000000005E-3</v>
      </c>
      <c r="E378">
        <v>0.6512</v>
      </c>
      <c r="F378">
        <v>1.2594000000000001</v>
      </c>
      <c r="G378">
        <v>0.14119999999999999</v>
      </c>
    </row>
    <row r="379" spans="1:7" x14ac:dyDescent="0.3">
      <c r="A379" s="1">
        <v>43980</v>
      </c>
      <c r="B379">
        <v>1.0402</v>
      </c>
      <c r="C379">
        <v>1.1101000000000001</v>
      </c>
      <c r="D379">
        <v>9.2750000000000003E-3</v>
      </c>
      <c r="E379">
        <v>0.66669999999999996</v>
      </c>
      <c r="F379">
        <v>1.2343</v>
      </c>
      <c r="G379">
        <v>0.14019999999999999</v>
      </c>
    </row>
    <row r="380" spans="1:7" x14ac:dyDescent="0.3">
      <c r="A380" s="1">
        <v>44012</v>
      </c>
      <c r="B380">
        <v>1.0556000000000001</v>
      </c>
      <c r="C380">
        <v>1.1234</v>
      </c>
      <c r="D380">
        <v>9.2650000000000007E-3</v>
      </c>
      <c r="E380">
        <v>0.69030000000000002</v>
      </c>
      <c r="F380">
        <v>1.2401</v>
      </c>
      <c r="G380">
        <v>0.1414</v>
      </c>
    </row>
    <row r="381" spans="1:7" x14ac:dyDescent="0.3">
      <c r="A381" s="1">
        <v>44043</v>
      </c>
      <c r="B381">
        <v>1.0949</v>
      </c>
      <c r="C381">
        <v>1.1778</v>
      </c>
      <c r="D381">
        <v>9.4470000000000005E-3</v>
      </c>
      <c r="E381">
        <v>0.71430000000000005</v>
      </c>
      <c r="F381">
        <v>1.3085</v>
      </c>
      <c r="G381">
        <v>0.1431</v>
      </c>
    </row>
    <row r="382" spans="1:7" x14ac:dyDescent="0.3">
      <c r="A382" s="1">
        <v>44074</v>
      </c>
      <c r="B382">
        <v>1.1065</v>
      </c>
      <c r="C382">
        <v>1.1936</v>
      </c>
      <c r="D382">
        <v>9.4420000000000007E-3</v>
      </c>
      <c r="E382">
        <v>0.73760000000000003</v>
      </c>
      <c r="F382">
        <v>1.337</v>
      </c>
      <c r="G382">
        <v>0.14599999999999999</v>
      </c>
    </row>
    <row r="383" spans="1:7" x14ac:dyDescent="0.3">
      <c r="A383" s="1">
        <v>44104</v>
      </c>
      <c r="B383">
        <v>1.0859000000000001</v>
      </c>
      <c r="C383">
        <v>1.1720999999999999</v>
      </c>
      <c r="D383">
        <v>9.4830000000000001E-3</v>
      </c>
      <c r="E383">
        <v>0.71619999999999995</v>
      </c>
      <c r="F383">
        <v>1.292</v>
      </c>
      <c r="G383">
        <v>0.1474</v>
      </c>
    </row>
    <row r="384" spans="1:7" x14ac:dyDescent="0.3">
      <c r="A384" s="1">
        <v>44134</v>
      </c>
      <c r="B384">
        <v>1.0906</v>
      </c>
      <c r="C384">
        <v>1.1647000000000001</v>
      </c>
      <c r="D384">
        <v>9.5549999999999993E-3</v>
      </c>
      <c r="E384">
        <v>0.70279999999999998</v>
      </c>
      <c r="F384">
        <v>1.2947</v>
      </c>
      <c r="G384">
        <v>0.14929999999999999</v>
      </c>
    </row>
    <row r="385" spans="1:7" x14ac:dyDescent="0.3">
      <c r="A385" s="1">
        <v>44165</v>
      </c>
      <c r="B385">
        <v>1.1001000000000001</v>
      </c>
      <c r="C385">
        <v>1.1927000000000001</v>
      </c>
      <c r="D385">
        <v>9.5860000000000008E-3</v>
      </c>
      <c r="E385">
        <v>0.73440000000000005</v>
      </c>
      <c r="F385">
        <v>1.3323</v>
      </c>
      <c r="G385">
        <v>0.15190000000000001</v>
      </c>
    </row>
    <row r="386" spans="1:7" x14ac:dyDescent="0.3">
      <c r="A386" s="1">
        <v>44196</v>
      </c>
      <c r="B386">
        <v>1.1301000000000001</v>
      </c>
      <c r="C386">
        <v>1.2216</v>
      </c>
      <c r="D386">
        <v>9.6790000000000001E-3</v>
      </c>
      <c r="E386">
        <v>0.76939999999999997</v>
      </c>
      <c r="F386">
        <v>1.367</v>
      </c>
      <c r="G386">
        <v>0.15379999999999999</v>
      </c>
    </row>
    <row r="387" spans="1:7" x14ac:dyDescent="0.3">
      <c r="A387" s="1">
        <v>44225</v>
      </c>
      <c r="B387">
        <v>1.1226</v>
      </c>
      <c r="C387">
        <v>1.2136</v>
      </c>
      <c r="D387">
        <v>9.5490000000000002E-3</v>
      </c>
      <c r="E387">
        <v>0.76439999999999997</v>
      </c>
      <c r="F387">
        <v>1.3708</v>
      </c>
      <c r="G387">
        <v>0.155</v>
      </c>
    </row>
    <row r="388" spans="1:7" x14ac:dyDescent="0.3">
      <c r="A388" s="1">
        <v>44253</v>
      </c>
      <c r="B388">
        <v>1.1006</v>
      </c>
      <c r="C388">
        <v>1.2075</v>
      </c>
      <c r="D388">
        <v>9.3849999999999992E-3</v>
      </c>
      <c r="E388">
        <v>0.77059999999999995</v>
      </c>
      <c r="F388">
        <v>1.3933</v>
      </c>
      <c r="G388">
        <v>0.15429999999999999</v>
      </c>
    </row>
    <row r="389" spans="1:7" x14ac:dyDescent="0.3">
      <c r="A389" s="1">
        <v>44286</v>
      </c>
      <c r="B389">
        <v>1.0595000000000001</v>
      </c>
      <c r="C389">
        <v>1.173</v>
      </c>
      <c r="D389">
        <v>9.0320000000000001E-3</v>
      </c>
      <c r="E389">
        <v>0.75980000000000003</v>
      </c>
      <c r="F389">
        <v>1.3783000000000001</v>
      </c>
      <c r="G389">
        <v>0.15240000000000001</v>
      </c>
    </row>
    <row r="390" spans="1:7" x14ac:dyDescent="0.3">
      <c r="A390" s="1">
        <v>44316</v>
      </c>
      <c r="B390">
        <v>1.0951</v>
      </c>
      <c r="C390">
        <v>1.202</v>
      </c>
      <c r="D390">
        <v>9.1479999999999999E-3</v>
      </c>
      <c r="E390">
        <v>0.77159999999999995</v>
      </c>
      <c r="F390">
        <v>1.3822000000000001</v>
      </c>
      <c r="G390">
        <v>0.1545</v>
      </c>
    </row>
    <row r="391" spans="1:7" x14ac:dyDescent="0.3">
      <c r="A391" s="1">
        <v>44347</v>
      </c>
      <c r="B391">
        <v>1.1125</v>
      </c>
      <c r="C391">
        <v>1.2226999999999999</v>
      </c>
      <c r="D391">
        <v>9.1260000000000004E-3</v>
      </c>
      <c r="E391">
        <v>0.77339999999999998</v>
      </c>
      <c r="F391">
        <v>1.4212</v>
      </c>
      <c r="G391">
        <v>0.15690000000000001</v>
      </c>
    </row>
    <row r="392" spans="1:7" x14ac:dyDescent="0.3">
      <c r="A392" s="1">
        <v>44377</v>
      </c>
      <c r="B392">
        <v>1.081</v>
      </c>
      <c r="C392">
        <v>1.1858</v>
      </c>
      <c r="D392">
        <v>8.9999999999999993E-3</v>
      </c>
      <c r="E392">
        <v>0.74980000000000002</v>
      </c>
      <c r="F392">
        <v>1.3831</v>
      </c>
      <c r="G392">
        <v>0.15459999999999999</v>
      </c>
    </row>
    <row r="393" spans="1:7" x14ac:dyDescent="0.3">
      <c r="A393" s="1">
        <v>44407</v>
      </c>
      <c r="B393">
        <v>1.1045</v>
      </c>
      <c r="C393">
        <v>1.1870000000000001</v>
      </c>
      <c r="D393">
        <v>9.1170000000000001E-3</v>
      </c>
      <c r="E393">
        <v>0.73440000000000005</v>
      </c>
      <c r="F393">
        <v>1.3904000000000001</v>
      </c>
      <c r="G393">
        <v>0.1547</v>
      </c>
    </row>
    <row r="394" spans="1:7" x14ac:dyDescent="0.3">
      <c r="A394" s="1">
        <v>44439</v>
      </c>
      <c r="B394">
        <v>1.0926</v>
      </c>
      <c r="C394">
        <v>1.1809000000000001</v>
      </c>
      <c r="D394">
        <v>9.0910000000000001E-3</v>
      </c>
      <c r="E394">
        <v>0.73160000000000003</v>
      </c>
      <c r="F394">
        <v>1.3754999999999999</v>
      </c>
      <c r="G394">
        <v>0.15490000000000001</v>
      </c>
    </row>
    <row r="395" spans="1:7" x14ac:dyDescent="0.3">
      <c r="A395" s="1">
        <v>44469</v>
      </c>
      <c r="B395">
        <v>1.0734999999999999</v>
      </c>
      <c r="C395">
        <v>1.1579999999999999</v>
      </c>
      <c r="D395">
        <v>8.9870000000000002E-3</v>
      </c>
      <c r="E395">
        <v>0.72270000000000001</v>
      </c>
      <c r="F395">
        <v>1.3473999999999999</v>
      </c>
      <c r="G395">
        <v>0.15509999999999999</v>
      </c>
    </row>
    <row r="396" spans="1:7" x14ac:dyDescent="0.3">
      <c r="A396" s="1">
        <v>44498</v>
      </c>
      <c r="B396">
        <v>1.0924</v>
      </c>
      <c r="C396">
        <v>1.1557999999999999</v>
      </c>
      <c r="D396">
        <v>8.77E-3</v>
      </c>
      <c r="E396">
        <v>0.75180000000000002</v>
      </c>
      <c r="F396">
        <v>1.3682000000000001</v>
      </c>
      <c r="G396">
        <v>0.15609999999999999</v>
      </c>
    </row>
    <row r="397" spans="1:7" x14ac:dyDescent="0.3">
      <c r="A397" s="1">
        <v>44530</v>
      </c>
      <c r="B397">
        <v>1.0888</v>
      </c>
      <c r="C397">
        <v>1.1337999999999999</v>
      </c>
      <c r="D397">
        <v>8.8380000000000004E-3</v>
      </c>
      <c r="E397">
        <v>0.7127</v>
      </c>
      <c r="F397">
        <v>1.3299000000000001</v>
      </c>
      <c r="G397">
        <v>0.15709999999999999</v>
      </c>
    </row>
    <row r="398" spans="1:7" x14ac:dyDescent="0.3">
      <c r="A398" s="1">
        <v>44561</v>
      </c>
      <c r="B398">
        <v>1.0962000000000001</v>
      </c>
      <c r="C398">
        <v>1.137</v>
      </c>
      <c r="D398">
        <v>8.6870000000000003E-3</v>
      </c>
      <c r="E398">
        <v>0.72629999999999995</v>
      </c>
      <c r="F398">
        <v>1.3532</v>
      </c>
      <c r="G398">
        <v>0.15709999999999999</v>
      </c>
    </row>
    <row r="399" spans="1:7" x14ac:dyDescent="0.3">
      <c r="A399" s="1">
        <v>44592</v>
      </c>
      <c r="B399">
        <v>1.0788</v>
      </c>
      <c r="C399">
        <v>1.1234999999999999</v>
      </c>
      <c r="D399">
        <v>8.685E-3</v>
      </c>
      <c r="E399">
        <v>0.70669999999999999</v>
      </c>
      <c r="F399">
        <v>1.3447</v>
      </c>
      <c r="G399">
        <v>0.157</v>
      </c>
    </row>
    <row r="400" spans="1:7" x14ac:dyDescent="0.3">
      <c r="A400" s="1">
        <v>44620</v>
      </c>
      <c r="B400">
        <v>1.0906</v>
      </c>
      <c r="C400">
        <v>1.1218999999999999</v>
      </c>
      <c r="D400">
        <v>8.6969999999999999E-3</v>
      </c>
      <c r="E400">
        <v>0.72629999999999995</v>
      </c>
      <c r="F400">
        <v>1.3420000000000001</v>
      </c>
      <c r="G400">
        <v>0.15840000000000001</v>
      </c>
    </row>
    <row r="401" spans="1:7" x14ac:dyDescent="0.3">
      <c r="A401" s="1">
        <v>44651</v>
      </c>
      <c r="B401">
        <v>1.0839000000000001</v>
      </c>
      <c r="C401">
        <v>1.1067</v>
      </c>
      <c r="D401">
        <v>8.2170000000000003E-3</v>
      </c>
      <c r="E401">
        <v>0.74819999999999998</v>
      </c>
      <c r="F401">
        <v>1.3138000000000001</v>
      </c>
      <c r="G401">
        <v>0.15740000000000001</v>
      </c>
    </row>
    <row r="402" spans="1:7" x14ac:dyDescent="0.3">
      <c r="A402" s="1">
        <v>44680</v>
      </c>
      <c r="B402">
        <v>1.0271999999999999</v>
      </c>
      <c r="C402">
        <v>1.0545</v>
      </c>
      <c r="D402">
        <v>7.7060000000000002E-3</v>
      </c>
      <c r="E402">
        <v>0.70609999999999995</v>
      </c>
      <c r="F402">
        <v>1.2574000000000001</v>
      </c>
      <c r="G402">
        <v>0.15060000000000001</v>
      </c>
    </row>
    <row r="403" spans="1:7" x14ac:dyDescent="0.3">
      <c r="A403" s="1">
        <v>44712</v>
      </c>
      <c r="B403">
        <v>1.0421</v>
      </c>
      <c r="C403">
        <v>1.0733999999999999</v>
      </c>
      <c r="D403">
        <v>7.77E-3</v>
      </c>
      <c r="E403">
        <v>0.7177</v>
      </c>
      <c r="F403">
        <v>1.2602</v>
      </c>
      <c r="G403">
        <v>0.1497</v>
      </c>
    </row>
    <row r="404" spans="1:7" x14ac:dyDescent="0.3">
      <c r="A404" s="1">
        <v>44742</v>
      </c>
      <c r="B404">
        <v>1.0471999999999999</v>
      </c>
      <c r="C404">
        <v>1.0484</v>
      </c>
      <c r="D404">
        <v>7.3670000000000003E-3</v>
      </c>
      <c r="E404">
        <v>0.69030000000000002</v>
      </c>
      <c r="F404">
        <v>1.2178</v>
      </c>
      <c r="G404">
        <v>0.14940000000000001</v>
      </c>
    </row>
    <row r="405" spans="1:7" x14ac:dyDescent="0.3">
      <c r="A405" s="1">
        <v>44771</v>
      </c>
      <c r="B405">
        <v>1.0499000000000001</v>
      </c>
      <c r="C405">
        <v>1.022</v>
      </c>
      <c r="D405">
        <v>7.5030000000000001E-3</v>
      </c>
      <c r="E405">
        <v>0.69850000000000001</v>
      </c>
      <c r="F405">
        <v>1.2171000000000001</v>
      </c>
      <c r="G405">
        <v>0.14810000000000001</v>
      </c>
    </row>
    <row r="406" spans="1:7" x14ac:dyDescent="0.3">
      <c r="A406" s="1">
        <v>44804</v>
      </c>
      <c r="B406">
        <v>1.0229999999999999</v>
      </c>
      <c r="C406">
        <v>1.0054000000000001</v>
      </c>
      <c r="D406">
        <v>7.1960000000000001E-3</v>
      </c>
      <c r="E406">
        <v>0.68420000000000003</v>
      </c>
      <c r="F406">
        <v>1.1621999999999999</v>
      </c>
      <c r="G406">
        <v>0.14480000000000001</v>
      </c>
    </row>
    <row r="407" spans="1:7" x14ac:dyDescent="0.3">
      <c r="A407" s="1">
        <v>44834</v>
      </c>
      <c r="B407">
        <v>1.0130999999999999</v>
      </c>
      <c r="C407">
        <v>0.98019999999999996</v>
      </c>
      <c r="D407">
        <v>6.9090000000000002E-3</v>
      </c>
      <c r="E407">
        <v>0.64</v>
      </c>
      <c r="F407">
        <v>1.117</v>
      </c>
      <c r="G407">
        <v>0.14000000000000001</v>
      </c>
    </row>
    <row r="408" spans="1:7" x14ac:dyDescent="0.3">
      <c r="A408" s="1">
        <v>44865</v>
      </c>
      <c r="B408">
        <v>0.99870000000000003</v>
      </c>
      <c r="C408">
        <v>0.98819999999999997</v>
      </c>
      <c r="D408">
        <v>6.7239999999999999E-3</v>
      </c>
      <c r="E408">
        <v>0.63990000000000002</v>
      </c>
      <c r="F408">
        <v>1.1469</v>
      </c>
      <c r="G408">
        <v>0.1363</v>
      </c>
    </row>
    <row r="409" spans="1:7" x14ac:dyDescent="0.3">
      <c r="A409" s="1">
        <v>44895</v>
      </c>
      <c r="B409">
        <v>1.0573999999999999</v>
      </c>
      <c r="C409">
        <v>1.0406</v>
      </c>
      <c r="D409">
        <v>7.2430000000000003E-3</v>
      </c>
      <c r="E409">
        <v>0.67879999999999996</v>
      </c>
      <c r="F409">
        <v>1.2058</v>
      </c>
      <c r="G409">
        <v>0.1419</v>
      </c>
    </row>
    <row r="410" spans="1:7" x14ac:dyDescent="0.3">
      <c r="A410" s="1">
        <v>44925</v>
      </c>
      <c r="B410">
        <v>1.0817000000000001</v>
      </c>
      <c r="C410">
        <v>1.0705</v>
      </c>
      <c r="D410">
        <v>7.6270000000000001E-3</v>
      </c>
      <c r="E410">
        <v>0.68130000000000002</v>
      </c>
      <c r="F410">
        <v>1.2082999999999999</v>
      </c>
      <c r="G410">
        <v>0.1444</v>
      </c>
    </row>
    <row r="411" spans="1:7" x14ac:dyDescent="0.3">
      <c r="A411" s="1">
        <v>44957</v>
      </c>
      <c r="B411">
        <v>1.0913999999999999</v>
      </c>
      <c r="C411">
        <v>1.0863</v>
      </c>
      <c r="D411">
        <v>7.6870000000000003E-3</v>
      </c>
      <c r="E411">
        <v>0.70550000000000002</v>
      </c>
      <c r="F411">
        <v>1.232</v>
      </c>
      <c r="G411">
        <v>0.14799999999999999</v>
      </c>
    </row>
    <row r="412" spans="1:7" x14ac:dyDescent="0.3">
      <c r="A412" s="1">
        <v>44985</v>
      </c>
      <c r="B412">
        <v>1.0612999999999999</v>
      </c>
      <c r="C412">
        <v>1.0576000000000001</v>
      </c>
      <c r="D412">
        <v>7.3439999999999998E-3</v>
      </c>
      <c r="E412">
        <v>0.67290000000000005</v>
      </c>
      <c r="F412">
        <v>1.2021999999999999</v>
      </c>
      <c r="G412">
        <v>0.14380000000000001</v>
      </c>
    </row>
    <row r="413" spans="1:7" x14ac:dyDescent="0.3">
      <c r="A413" s="1">
        <v>45016</v>
      </c>
      <c r="B413">
        <v>1.0926</v>
      </c>
      <c r="C413">
        <v>1.0839000000000001</v>
      </c>
      <c r="D413">
        <v>7.5269999999999998E-3</v>
      </c>
      <c r="E413">
        <v>0.66849999999999998</v>
      </c>
      <c r="F413">
        <v>1.2337</v>
      </c>
      <c r="G413">
        <v>0.14560000000000001</v>
      </c>
    </row>
    <row r="414" spans="1:7" x14ac:dyDescent="0.3">
      <c r="A414" s="1">
        <v>45044</v>
      </c>
      <c r="B414">
        <v>1.1177999999999999</v>
      </c>
      <c r="C414">
        <v>1.1019000000000001</v>
      </c>
      <c r="D414">
        <v>7.3369999999999998E-3</v>
      </c>
      <c r="E414">
        <v>0.66149999999999998</v>
      </c>
      <c r="F414">
        <v>1.2566999999999999</v>
      </c>
      <c r="G414">
        <v>0.1444</v>
      </c>
    </row>
    <row r="415" spans="1:7" x14ac:dyDescent="0.3">
      <c r="A415" s="1">
        <v>45077</v>
      </c>
      <c r="B415">
        <v>1.0981000000000001</v>
      </c>
      <c r="C415">
        <v>1.0689</v>
      </c>
      <c r="D415">
        <v>7.1770000000000002E-3</v>
      </c>
      <c r="E415">
        <v>0.65029999999999999</v>
      </c>
      <c r="F415">
        <v>1.2441</v>
      </c>
      <c r="G415">
        <v>0.14050000000000001</v>
      </c>
    </row>
    <row r="416" spans="1:7" x14ac:dyDescent="0.3">
      <c r="A416" s="1">
        <v>45107</v>
      </c>
      <c r="B416">
        <v>1.1165</v>
      </c>
      <c r="C416">
        <v>1.0909</v>
      </c>
      <c r="D416">
        <v>6.9300000000000004E-3</v>
      </c>
      <c r="E416">
        <v>0.66639999999999999</v>
      </c>
      <c r="F416">
        <v>1.2703</v>
      </c>
      <c r="G416">
        <v>0.1376</v>
      </c>
    </row>
    <row r="417" spans="1:7" x14ac:dyDescent="0.3">
      <c r="A417" s="1">
        <v>45138</v>
      </c>
      <c r="B417">
        <v>1.147</v>
      </c>
      <c r="C417">
        <v>1.0996999999999999</v>
      </c>
      <c r="D417">
        <v>7.0280000000000004E-3</v>
      </c>
      <c r="E417">
        <v>0.67169999999999996</v>
      </c>
      <c r="F417">
        <v>1.2835000000000001</v>
      </c>
      <c r="G417">
        <v>0.1399</v>
      </c>
    </row>
    <row r="418" spans="1:7" x14ac:dyDescent="0.3">
      <c r="A418" s="1">
        <v>45169</v>
      </c>
      <c r="B418">
        <v>1.1319999999999999</v>
      </c>
      <c r="C418">
        <v>1.0843</v>
      </c>
      <c r="D418">
        <v>6.8710000000000004E-3</v>
      </c>
      <c r="E418">
        <v>0.64839999999999998</v>
      </c>
      <c r="F418">
        <v>1.2673000000000001</v>
      </c>
      <c r="G418">
        <v>0.13739999999999999</v>
      </c>
    </row>
    <row r="419" spans="1:7" x14ac:dyDescent="0.3">
      <c r="A419" s="1">
        <v>45198</v>
      </c>
      <c r="B419">
        <v>1.0925</v>
      </c>
      <c r="C419">
        <v>1.0572999999999999</v>
      </c>
      <c r="D419">
        <v>6.6950000000000004E-3</v>
      </c>
      <c r="E419">
        <v>0.64349999999999996</v>
      </c>
      <c r="F419">
        <v>1.2199</v>
      </c>
      <c r="G419">
        <v>0.1371</v>
      </c>
    </row>
    <row r="420" spans="1:7" x14ac:dyDescent="0.3">
      <c r="A420" s="1">
        <v>45230</v>
      </c>
      <c r="B420">
        <v>1.0984</v>
      </c>
      <c r="C420">
        <v>1.0575000000000001</v>
      </c>
      <c r="D420">
        <v>6.5929999999999999E-3</v>
      </c>
      <c r="E420">
        <v>0.63370000000000004</v>
      </c>
      <c r="F420">
        <v>1.2153</v>
      </c>
      <c r="G420">
        <v>0.13619999999999999</v>
      </c>
    </row>
    <row r="421" spans="1:7" x14ac:dyDescent="0.3">
      <c r="A421" s="1">
        <v>45260</v>
      </c>
      <c r="B421">
        <v>1.1426000000000001</v>
      </c>
      <c r="C421">
        <v>1.0888</v>
      </c>
      <c r="D421">
        <v>6.7479999999999997E-3</v>
      </c>
      <c r="E421">
        <v>0.66049999999999998</v>
      </c>
      <c r="F421">
        <v>1.2624</v>
      </c>
      <c r="G421">
        <v>0.1399</v>
      </c>
    </row>
    <row r="422" spans="1:7" x14ac:dyDescent="0.3">
      <c r="A422" s="1">
        <v>45289</v>
      </c>
      <c r="B422">
        <v>1.1884999999999999</v>
      </c>
      <c r="C422">
        <v>1.1039000000000001</v>
      </c>
      <c r="D422">
        <v>7.0899999999999999E-3</v>
      </c>
      <c r="E422">
        <v>0.68120000000000003</v>
      </c>
      <c r="F422">
        <v>1.2730999999999999</v>
      </c>
      <c r="G422">
        <v>0.14030000000000001</v>
      </c>
    </row>
    <row r="423" spans="1:7" x14ac:dyDescent="0.3">
      <c r="A423" s="1">
        <v>45322</v>
      </c>
      <c r="B423">
        <v>1.161</v>
      </c>
      <c r="C423">
        <v>1.0818000000000001</v>
      </c>
      <c r="D423">
        <v>6.8060000000000004E-3</v>
      </c>
      <c r="E423">
        <v>0.65680000000000005</v>
      </c>
      <c r="F423">
        <v>1.2687999999999999</v>
      </c>
      <c r="G423">
        <v>0.1391</v>
      </c>
    </row>
    <row r="424" spans="1:7" x14ac:dyDescent="0.3">
      <c r="A424" s="1">
        <v>45351</v>
      </c>
      <c r="B424">
        <v>1.1306</v>
      </c>
      <c r="C424">
        <v>1.0805</v>
      </c>
      <c r="D424">
        <v>6.6680000000000003E-3</v>
      </c>
      <c r="E424">
        <v>0.64970000000000006</v>
      </c>
      <c r="F424">
        <v>1.2625</v>
      </c>
      <c r="G424">
        <v>0.13869999999999999</v>
      </c>
    </row>
    <row r="425" spans="1:7" x14ac:dyDescent="0.3">
      <c r="A425" s="1">
        <v>45380</v>
      </c>
      <c r="B425">
        <v>1.1093999999999999</v>
      </c>
      <c r="C425">
        <v>1.079</v>
      </c>
      <c r="D425">
        <v>6.607E-3</v>
      </c>
      <c r="E425">
        <v>0.65210000000000001</v>
      </c>
      <c r="F425">
        <v>1.2623</v>
      </c>
      <c r="G425">
        <v>0.13780000000000001</v>
      </c>
    </row>
    <row r="426" spans="1:7" x14ac:dyDescent="0.3">
      <c r="A426" s="1">
        <v>45412</v>
      </c>
      <c r="B426">
        <v>1.0875999999999999</v>
      </c>
      <c r="C426">
        <v>1.0666</v>
      </c>
      <c r="D426">
        <v>6.3369999999999998E-3</v>
      </c>
      <c r="E426">
        <v>0.64729999999999999</v>
      </c>
      <c r="F426">
        <v>1.2492000000000001</v>
      </c>
      <c r="G426">
        <v>0.13780000000000001</v>
      </c>
    </row>
    <row r="427" spans="1:7" x14ac:dyDescent="0.3">
      <c r="A427" s="1">
        <v>45443</v>
      </c>
      <c r="B427">
        <v>1.1083000000000001</v>
      </c>
      <c r="C427">
        <v>1.0848</v>
      </c>
      <c r="D427">
        <v>6.3569999999999998E-3</v>
      </c>
      <c r="E427">
        <v>0.6653</v>
      </c>
      <c r="F427">
        <v>1.2742</v>
      </c>
      <c r="G427">
        <v>0.13769999999999999</v>
      </c>
    </row>
    <row r="428" spans="1:7" x14ac:dyDescent="0.3">
      <c r="A428" s="1">
        <v>45471</v>
      </c>
      <c r="B428">
        <v>1.1127</v>
      </c>
      <c r="C428">
        <v>1.0712999999999999</v>
      </c>
      <c r="D428">
        <v>6.2160000000000002E-3</v>
      </c>
      <c r="E428">
        <v>0.66700000000000004</v>
      </c>
      <c r="F428">
        <v>1.2645</v>
      </c>
      <c r="G428">
        <v>0.13700000000000001</v>
      </c>
    </row>
    <row r="429" spans="1:7" x14ac:dyDescent="0.3">
      <c r="A429" s="1">
        <v>45504</v>
      </c>
      <c r="B429">
        <v>1.139</v>
      </c>
      <c r="C429">
        <v>1.0826</v>
      </c>
      <c r="D429">
        <v>6.6670000000000002E-3</v>
      </c>
      <c r="E429">
        <v>0.6542</v>
      </c>
      <c r="F429">
        <v>1.2856000000000001</v>
      </c>
      <c r="G429">
        <v>0.1384</v>
      </c>
    </row>
    <row r="430" spans="1:7" x14ac:dyDescent="0.3">
      <c r="A430" s="1">
        <v>45534</v>
      </c>
      <c r="B430">
        <v>1.1771</v>
      </c>
      <c r="C430">
        <v>1.1048</v>
      </c>
      <c r="D430">
        <v>6.8409999999999999E-3</v>
      </c>
      <c r="E430">
        <v>0.67649999999999999</v>
      </c>
      <c r="F430">
        <v>1.3127</v>
      </c>
      <c r="G430">
        <v>0.14099999999999999</v>
      </c>
    </row>
    <row r="431" spans="1:7" x14ac:dyDescent="0.3">
      <c r="A431" s="1">
        <v>45565</v>
      </c>
      <c r="B431">
        <v>1.1826000000000001</v>
      </c>
      <c r="C431">
        <v>1.1134999999999999</v>
      </c>
      <c r="D431">
        <v>6.9620000000000003E-3</v>
      </c>
      <c r="E431">
        <v>0.69130000000000003</v>
      </c>
      <c r="F431">
        <v>1.3374999999999999</v>
      </c>
      <c r="G431">
        <v>0.14269999999999999</v>
      </c>
    </row>
    <row r="432" spans="1:7" x14ac:dyDescent="0.3">
      <c r="A432" s="1">
        <v>45596</v>
      </c>
      <c r="B432">
        <v>1.1573</v>
      </c>
      <c r="C432">
        <v>1.0884</v>
      </c>
      <c r="D432">
        <v>6.5779999999999996E-3</v>
      </c>
      <c r="E432">
        <v>0.65820000000000001</v>
      </c>
      <c r="F432">
        <v>1.2899</v>
      </c>
      <c r="G432">
        <v>0.1404</v>
      </c>
    </row>
    <row r="433" spans="1:7" x14ac:dyDescent="0.3">
      <c r="A433" s="1">
        <v>45625</v>
      </c>
      <c r="B433">
        <v>1.1351</v>
      </c>
      <c r="C433">
        <v>1.0577000000000001</v>
      </c>
      <c r="D433">
        <v>6.6769999999999998E-3</v>
      </c>
      <c r="E433">
        <v>0.6512</v>
      </c>
      <c r="F433">
        <v>1.2735000000000001</v>
      </c>
      <c r="G433">
        <v>0.13789999999999999</v>
      </c>
    </row>
    <row r="434" spans="1:7" x14ac:dyDescent="0.3">
      <c r="A434" s="1">
        <v>45657</v>
      </c>
      <c r="B434">
        <v>1.1021000000000001</v>
      </c>
      <c r="C434">
        <v>1.0354000000000001</v>
      </c>
      <c r="D434">
        <v>6.3610000000000003E-3</v>
      </c>
      <c r="E434">
        <v>0.61880000000000002</v>
      </c>
      <c r="F434">
        <v>1.2516</v>
      </c>
      <c r="G434">
        <v>0.1363</v>
      </c>
    </row>
    <row r="435" spans="1:7" x14ac:dyDescent="0.3">
      <c r="A435" s="1">
        <v>45688</v>
      </c>
      <c r="B435">
        <v>1.0978000000000001</v>
      </c>
      <c r="C435">
        <v>1.0362</v>
      </c>
      <c r="D435">
        <v>6.4440000000000001E-3</v>
      </c>
      <c r="E435">
        <v>0.62180000000000002</v>
      </c>
      <c r="F435">
        <v>1.2395</v>
      </c>
      <c r="G435">
        <v>0.1366</v>
      </c>
    </row>
    <row r="436" spans="1:7" x14ac:dyDescent="0.3">
      <c r="A436" s="1">
        <v>45716</v>
      </c>
      <c r="B436">
        <v>1.1073</v>
      </c>
      <c r="C436">
        <v>1.0375000000000001</v>
      </c>
      <c r="D436">
        <v>6.6389999999999999E-3</v>
      </c>
      <c r="E436">
        <v>0.62090000000000001</v>
      </c>
      <c r="F436">
        <v>1.2577</v>
      </c>
      <c r="G436">
        <v>0.1371</v>
      </c>
    </row>
    <row r="437" spans="1:7" x14ac:dyDescent="0.3">
      <c r="A437" s="1">
        <v>45747</v>
      </c>
      <c r="B437">
        <v>1.1309</v>
      </c>
      <c r="C437">
        <v>1.0815999999999999</v>
      </c>
      <c r="D437">
        <v>6.6680000000000003E-3</v>
      </c>
      <c r="E437">
        <v>0.62470000000000003</v>
      </c>
      <c r="F437">
        <v>1.2918000000000001</v>
      </c>
      <c r="G437">
        <v>0.1376</v>
      </c>
    </row>
    <row r="438" spans="1:7" x14ac:dyDescent="0.3">
      <c r="A438" s="1">
        <v>45777</v>
      </c>
      <c r="B438">
        <v>1.2110000000000001</v>
      </c>
      <c r="C438">
        <v>1.1328</v>
      </c>
      <c r="D438">
        <v>6.9899999999999997E-3</v>
      </c>
      <c r="E438">
        <v>0.64019999999999999</v>
      </c>
      <c r="F438">
        <v>1.3329</v>
      </c>
      <c r="G438">
        <v>0.1376</v>
      </c>
    </row>
    <row r="439" spans="1:7" x14ac:dyDescent="0.3">
      <c r="A439" s="1">
        <v>45807</v>
      </c>
      <c r="B439">
        <v>1.2159</v>
      </c>
      <c r="C439">
        <v>1.1347</v>
      </c>
      <c r="D439">
        <v>6.9430000000000004E-3</v>
      </c>
      <c r="E439">
        <v>0.6431</v>
      </c>
      <c r="F439">
        <v>1.3459000000000001</v>
      </c>
      <c r="G439">
        <v>0.13880000000000001</v>
      </c>
    </row>
    <row r="440" spans="1:7" x14ac:dyDescent="0.3">
      <c r="A440" s="1">
        <v>45838</v>
      </c>
      <c r="B440">
        <v>1.2608999999999999</v>
      </c>
      <c r="C440">
        <v>1.1787000000000001</v>
      </c>
      <c r="D440">
        <v>6.9430000000000004E-3</v>
      </c>
      <c r="E440">
        <v>0.65810000000000002</v>
      </c>
      <c r="F440">
        <v>1.3732</v>
      </c>
      <c r="G440">
        <v>0.13969999999999999</v>
      </c>
    </row>
    <row r="441" spans="1:7" x14ac:dyDescent="0.3">
      <c r="A441" s="1">
        <v>45869</v>
      </c>
      <c r="B441">
        <v>1.2311000000000001</v>
      </c>
      <c r="C441">
        <v>1.1415</v>
      </c>
      <c r="D441">
        <v>6.6340000000000001E-3</v>
      </c>
      <c r="E441">
        <v>0.64249999999999996</v>
      </c>
      <c r="F441">
        <v>1.3207</v>
      </c>
      <c r="G441">
        <v>0.13869999999999999</v>
      </c>
    </row>
    <row r="442" spans="1:7" x14ac:dyDescent="0.3">
      <c r="A442" s="1">
        <v>45898</v>
      </c>
      <c r="B442">
        <v>1.2492000000000001</v>
      </c>
      <c r="C442">
        <v>1.1686000000000001</v>
      </c>
      <c r="D442">
        <v>6.7999999999999996E-3</v>
      </c>
      <c r="E442">
        <v>0.65400000000000003</v>
      </c>
      <c r="F442">
        <v>1.3504</v>
      </c>
      <c r="G442">
        <v>0.1404</v>
      </c>
    </row>
    <row r="443" spans="1:7" x14ac:dyDescent="0.3">
      <c r="A443" s="1">
        <v>45930</v>
      </c>
      <c r="B443">
        <v>1.2556</v>
      </c>
      <c r="C443">
        <v>1.1734</v>
      </c>
      <c r="D443">
        <v>6.7609999999999996E-3</v>
      </c>
      <c r="E443">
        <v>0.6613</v>
      </c>
      <c r="F443">
        <v>1.3446</v>
      </c>
      <c r="G443">
        <v>0.14030000000000001</v>
      </c>
    </row>
    <row r="444" spans="1:7" x14ac:dyDescent="0.3">
      <c r="A444" s="1">
        <v>45961</v>
      </c>
      <c r="B444">
        <v>1.2428999999999999</v>
      </c>
      <c r="C444">
        <v>1.1536999999999999</v>
      </c>
      <c r="D444">
        <v>6.4939999999999998E-3</v>
      </c>
      <c r="E444">
        <v>0.65449999999999997</v>
      </c>
      <c r="F444">
        <v>1.3151999999999999</v>
      </c>
      <c r="G444">
        <v>0.1404</v>
      </c>
    </row>
    <row r="445" spans="1:7" x14ac:dyDescent="0.3">
      <c r="A445" s="1"/>
    </row>
    <row r="446" spans="1:7" x14ac:dyDescent="0.3">
      <c r="A446" s="1"/>
    </row>
    <row r="447" spans="1:7" x14ac:dyDescent="0.3">
      <c r="A447" s="1"/>
    </row>
    <row r="448" spans="1:7" x14ac:dyDescent="0.3">
      <c r="A448" s="1"/>
    </row>
    <row r="449" spans="1:2" x14ac:dyDescent="0.3">
      <c r="A449" s="1"/>
    </row>
    <row r="450" spans="1:2" x14ac:dyDescent="0.3">
      <c r="A450" s="1"/>
      <c r="B450" s="4"/>
    </row>
    <row r="451" spans="1:2" x14ac:dyDescent="0.3">
      <c r="A451" s="1"/>
    </row>
    <row r="452" spans="1:2" x14ac:dyDescent="0.3">
      <c r="A452" s="1"/>
    </row>
    <row r="453" spans="1:2" x14ac:dyDescent="0.3">
      <c r="A453" s="1"/>
    </row>
    <row r="454" spans="1:2" x14ac:dyDescent="0.3">
      <c r="A454" s="1"/>
    </row>
    <row r="455" spans="1:2" x14ac:dyDescent="0.3">
      <c r="A455" s="1"/>
    </row>
    <row r="456" spans="1:2" x14ac:dyDescent="0.3">
      <c r="A456" s="1"/>
    </row>
    <row r="457" spans="1:2" x14ac:dyDescent="0.3">
      <c r="A457" s="1"/>
    </row>
    <row r="458" spans="1:2" x14ac:dyDescent="0.3">
      <c r="A458" s="1"/>
    </row>
    <row r="459" spans="1:2" x14ac:dyDescent="0.3">
      <c r="A459" s="1"/>
    </row>
    <row r="460" spans="1:2" x14ac:dyDescent="0.3">
      <c r="A460" s="1"/>
    </row>
    <row r="461" spans="1:2" x14ac:dyDescent="0.3">
      <c r="A461" s="1"/>
    </row>
    <row r="462" spans="1:2" x14ac:dyDescent="0.3">
      <c r="A462" s="1"/>
    </row>
    <row r="463" spans="1:2" x14ac:dyDescent="0.3">
      <c r="A463" s="1"/>
    </row>
    <row r="464" spans="1:2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J491"/>
  <sheetViews>
    <sheetView workbookViewId="0">
      <selection activeCell="I19" sqref="I19"/>
    </sheetView>
  </sheetViews>
  <sheetFormatPr defaultColWidth="8.77734375" defaultRowHeight="14.4" x14ac:dyDescent="0.3"/>
  <cols>
    <col min="1" max="1" width="10.109375" bestFit="1" customWidth="1"/>
    <col min="2" max="2" width="10.33203125" customWidth="1"/>
    <col min="3" max="3" width="12" customWidth="1"/>
    <col min="4" max="4" width="12.44140625" style="2" customWidth="1"/>
    <col min="5" max="5" width="12.44140625" customWidth="1"/>
    <col min="6" max="6" width="12.44140625" bestFit="1" customWidth="1"/>
    <col min="7" max="7" width="10.77734375" bestFit="1" customWidth="1"/>
  </cols>
  <sheetData>
    <row r="1" spans="1:10" x14ac:dyDescent="0.3">
      <c r="A1" t="s">
        <v>0</v>
      </c>
      <c r="B1" t="s">
        <v>13</v>
      </c>
      <c r="C1" t="s">
        <v>14</v>
      </c>
      <c r="D1" s="2" t="s">
        <v>15</v>
      </c>
      <c r="E1" t="s">
        <v>16</v>
      </c>
      <c r="F1" t="s">
        <v>17</v>
      </c>
      <c r="G1" t="s">
        <v>18</v>
      </c>
    </row>
    <row r="2" spans="1:10" x14ac:dyDescent="0.3">
      <c r="A2" s="1">
        <v>32507</v>
      </c>
      <c r="B2">
        <v>0.66579999999999995</v>
      </c>
      <c r="C2">
        <f>1/B2</f>
        <v>1.5019525382997898</v>
      </c>
      <c r="D2">
        <v>-22</v>
      </c>
      <c r="E2">
        <f>C2+D2/10^4</f>
        <v>1.4997525382997898</v>
      </c>
      <c r="F2">
        <f>1/E2</f>
        <v>0.6667766677919148</v>
      </c>
    </row>
    <row r="3" spans="1:10" x14ac:dyDescent="0.3">
      <c r="A3" s="1">
        <v>32539</v>
      </c>
      <c r="B3">
        <v>0.62509999999999999</v>
      </c>
      <c r="C3">
        <f t="shared" ref="C3:C66" si="0">1/B3</f>
        <v>1.5997440409534476</v>
      </c>
      <c r="D3">
        <v>-123</v>
      </c>
      <c r="E3">
        <f t="shared" ref="E3:E66" si="1">C3+D3/10^4</f>
        <v>1.5874440409534476</v>
      </c>
      <c r="F3">
        <f t="shared" ref="F3:F66" si="2">1/E3</f>
        <v>0.62994346521933575</v>
      </c>
      <c r="G3" s="4">
        <f>(B3-F2)/F2</f>
        <v>-6.2504688308801334E-2</v>
      </c>
    </row>
    <row r="4" spans="1:10" x14ac:dyDescent="0.3">
      <c r="A4" s="1">
        <v>32567</v>
      </c>
      <c r="B4">
        <v>0.6431</v>
      </c>
      <c r="C4">
        <f t="shared" si="0"/>
        <v>1.5549681231534753</v>
      </c>
      <c r="D4">
        <v>-51</v>
      </c>
      <c r="E4">
        <f t="shared" si="1"/>
        <v>1.5498681231534752</v>
      </c>
      <c r="F4">
        <f t="shared" si="2"/>
        <v>0.64521618650064672</v>
      </c>
      <c r="G4" s="4">
        <f t="shared" ref="G4:G67" si="3">(B4-F3)/F3</f>
        <v>2.0885262737162243E-2</v>
      </c>
    </row>
    <row r="5" spans="1:10" x14ac:dyDescent="0.3">
      <c r="A5" s="1">
        <v>32598</v>
      </c>
      <c r="B5">
        <v>0.60150000000000003</v>
      </c>
      <c r="C5">
        <f t="shared" si="0"/>
        <v>1.6625103906899417</v>
      </c>
      <c r="D5">
        <v>-51</v>
      </c>
      <c r="E5">
        <f t="shared" si="1"/>
        <v>1.6574103906899416</v>
      </c>
      <c r="F5">
        <f t="shared" si="2"/>
        <v>0.60335086929419046</v>
      </c>
      <c r="G5" s="4">
        <f t="shared" si="3"/>
        <v>-6.7754323923184562E-2</v>
      </c>
    </row>
    <row r="6" spans="1:10" x14ac:dyDescent="0.3">
      <c r="A6" s="1">
        <v>32626</v>
      </c>
      <c r="B6">
        <v>0.59760000000000002</v>
      </c>
      <c r="C6">
        <f t="shared" si="0"/>
        <v>1.6733601070950468</v>
      </c>
      <c r="D6">
        <v>-55</v>
      </c>
      <c r="E6">
        <f t="shared" si="1"/>
        <v>1.6678601070950467</v>
      </c>
      <c r="F6">
        <f t="shared" si="2"/>
        <v>0.59957066887445665</v>
      </c>
      <c r="G6" s="4">
        <f t="shared" si="3"/>
        <v>-9.5315505236909671E-3</v>
      </c>
    </row>
    <row r="7" spans="1:10" x14ac:dyDescent="0.3">
      <c r="A7" s="1">
        <v>32659</v>
      </c>
      <c r="B7">
        <v>0.58620000000000005</v>
      </c>
      <c r="C7">
        <f t="shared" si="0"/>
        <v>1.7059024223814396</v>
      </c>
      <c r="D7">
        <v>-52</v>
      </c>
      <c r="E7">
        <f t="shared" si="1"/>
        <v>1.7007024223814395</v>
      </c>
      <c r="F7">
        <f t="shared" si="2"/>
        <v>0.58799234177589499</v>
      </c>
      <c r="G7" s="4">
        <f t="shared" si="3"/>
        <v>-2.2300405220883578E-2</v>
      </c>
    </row>
    <row r="8" spans="1:10" x14ac:dyDescent="0.3">
      <c r="A8" s="1">
        <v>32689</v>
      </c>
      <c r="B8">
        <v>0.59560000000000002</v>
      </c>
      <c r="C8">
        <f t="shared" si="0"/>
        <v>1.6789791806581598</v>
      </c>
      <c r="D8">
        <v>-26</v>
      </c>
      <c r="E8">
        <f t="shared" si="1"/>
        <v>1.6763791806581598</v>
      </c>
      <c r="F8">
        <f t="shared" si="2"/>
        <v>0.59652375282267112</v>
      </c>
      <c r="G8" s="4">
        <f t="shared" si="3"/>
        <v>1.2938362770385506E-2</v>
      </c>
    </row>
    <row r="9" spans="1:10" x14ac:dyDescent="0.3">
      <c r="A9" s="1">
        <v>32720</v>
      </c>
      <c r="B9">
        <v>0.62250000000000005</v>
      </c>
      <c r="C9">
        <f t="shared" si="0"/>
        <v>1.6064257028112447</v>
      </c>
      <c r="D9">
        <v>-16.989999999999998</v>
      </c>
      <c r="E9">
        <f t="shared" si="1"/>
        <v>1.6047267028112449</v>
      </c>
      <c r="F9">
        <f t="shared" si="2"/>
        <v>0.62315907016948568</v>
      </c>
      <c r="G9" s="4">
        <f t="shared" si="3"/>
        <v>4.3546039959704519E-2</v>
      </c>
    </row>
    <row r="10" spans="1:10" x14ac:dyDescent="0.3">
      <c r="A10" s="1">
        <v>32751</v>
      </c>
      <c r="B10">
        <v>0.59240000000000004</v>
      </c>
      <c r="C10">
        <f t="shared" si="0"/>
        <v>1.6880486158001349</v>
      </c>
      <c r="D10">
        <v>79</v>
      </c>
      <c r="E10">
        <f t="shared" si="1"/>
        <v>1.6959486158001349</v>
      </c>
      <c r="F10">
        <f t="shared" si="2"/>
        <v>0.58964050601745854</v>
      </c>
      <c r="G10" s="4">
        <f t="shared" si="3"/>
        <v>-4.9359901254618421E-2</v>
      </c>
      <c r="J10" s="2"/>
    </row>
    <row r="11" spans="1:10" x14ac:dyDescent="0.3">
      <c r="A11" s="1">
        <v>32780</v>
      </c>
      <c r="B11">
        <v>0.61619999999999997</v>
      </c>
      <c r="C11">
        <f t="shared" si="0"/>
        <v>1.6228497241155471</v>
      </c>
      <c r="D11">
        <v>-26</v>
      </c>
      <c r="E11">
        <f t="shared" si="1"/>
        <v>1.6202497241155471</v>
      </c>
      <c r="F11">
        <f t="shared" si="2"/>
        <v>0.6171888105371377</v>
      </c>
      <c r="G11" s="4">
        <f t="shared" si="3"/>
        <v>4.5043537056043151E-2</v>
      </c>
    </row>
    <row r="12" spans="1:10" x14ac:dyDescent="0.3">
      <c r="A12" s="1">
        <v>32812</v>
      </c>
      <c r="B12">
        <v>0.61939999999999995</v>
      </c>
      <c r="C12">
        <f t="shared" si="0"/>
        <v>1.614465611882467</v>
      </c>
      <c r="D12">
        <v>-6</v>
      </c>
      <c r="E12">
        <f t="shared" si="1"/>
        <v>1.613865611882467</v>
      </c>
      <c r="F12">
        <f t="shared" si="2"/>
        <v>0.61963027939703508</v>
      </c>
      <c r="G12" s="4">
        <f t="shared" si="3"/>
        <v>3.5826791171697666E-3</v>
      </c>
    </row>
    <row r="13" spans="1:10" x14ac:dyDescent="0.3">
      <c r="A13" s="1">
        <v>32842</v>
      </c>
      <c r="B13">
        <v>0.62829999999999997</v>
      </c>
      <c r="C13">
        <f t="shared" si="0"/>
        <v>1.5915963711602739</v>
      </c>
      <c r="D13">
        <v>-14.17</v>
      </c>
      <c r="E13">
        <f t="shared" si="1"/>
        <v>1.5901793711602739</v>
      </c>
      <c r="F13">
        <f t="shared" si="2"/>
        <v>0.6288598746381362</v>
      </c>
      <c r="G13" s="4">
        <f t="shared" si="3"/>
        <v>1.3991763945753966E-2</v>
      </c>
    </row>
    <row r="14" spans="1:10" x14ac:dyDescent="0.3">
      <c r="A14" s="1">
        <v>32871</v>
      </c>
      <c r="B14">
        <v>0.64890000000000003</v>
      </c>
      <c r="C14">
        <f t="shared" si="0"/>
        <v>1.5410695022345506</v>
      </c>
      <c r="D14">
        <v>18</v>
      </c>
      <c r="E14">
        <f t="shared" si="1"/>
        <v>1.5428695022345507</v>
      </c>
      <c r="F14">
        <f t="shared" si="2"/>
        <v>0.6481429560644576</v>
      </c>
      <c r="G14" s="4">
        <f t="shared" si="3"/>
        <v>3.1867393945901691E-2</v>
      </c>
    </row>
    <row r="15" spans="1:10" x14ac:dyDescent="0.3">
      <c r="A15" s="1">
        <v>32904</v>
      </c>
      <c r="B15">
        <v>0.66490000000000005</v>
      </c>
      <c r="C15">
        <f t="shared" si="0"/>
        <v>1.5039855617386073</v>
      </c>
      <c r="D15">
        <v>19.38</v>
      </c>
      <c r="E15">
        <f t="shared" si="1"/>
        <v>1.5059235617386073</v>
      </c>
      <c r="F15">
        <f t="shared" si="2"/>
        <v>0.66404432828282978</v>
      </c>
      <c r="G15" s="4">
        <f t="shared" si="3"/>
        <v>2.5853932035752876E-2</v>
      </c>
    </row>
    <row r="16" spans="1:10" x14ac:dyDescent="0.3">
      <c r="A16" s="1">
        <v>32932</v>
      </c>
      <c r="B16">
        <v>0.67049999999999998</v>
      </c>
      <c r="C16">
        <f t="shared" si="0"/>
        <v>1.4914243102162565</v>
      </c>
      <c r="D16">
        <v>11.45</v>
      </c>
      <c r="E16">
        <f t="shared" si="1"/>
        <v>1.4925693102162565</v>
      </c>
      <c r="F16">
        <f t="shared" si="2"/>
        <v>0.66998563695183522</v>
      </c>
      <c r="G16" s="4">
        <f t="shared" si="3"/>
        <v>9.7217481457361511E-3</v>
      </c>
    </row>
    <row r="17" spans="1:7" x14ac:dyDescent="0.3">
      <c r="A17" s="1">
        <v>32962</v>
      </c>
      <c r="B17">
        <v>0.66779999999999995</v>
      </c>
      <c r="C17">
        <f t="shared" si="0"/>
        <v>1.497454327643007</v>
      </c>
      <c r="D17">
        <v>9.2899999999999991</v>
      </c>
      <c r="E17">
        <f t="shared" si="1"/>
        <v>1.498383327643007</v>
      </c>
      <c r="F17">
        <f t="shared" si="2"/>
        <v>0.66738596295850683</v>
      </c>
      <c r="G17" s="4">
        <f t="shared" si="3"/>
        <v>-3.2622146375839278E-3</v>
      </c>
    </row>
    <row r="18" spans="1:7" x14ac:dyDescent="0.3">
      <c r="A18" s="1">
        <v>32993</v>
      </c>
      <c r="B18">
        <v>0.68940000000000001</v>
      </c>
      <c r="C18">
        <f t="shared" si="0"/>
        <v>1.450536698578474</v>
      </c>
      <c r="D18">
        <v>11.89</v>
      </c>
      <c r="E18">
        <f t="shared" si="1"/>
        <v>1.4517256985784741</v>
      </c>
      <c r="F18">
        <f t="shared" si="2"/>
        <v>0.68883536399417422</v>
      </c>
      <c r="G18" s="4">
        <f t="shared" si="3"/>
        <v>3.2985466077088972E-2</v>
      </c>
    </row>
    <row r="19" spans="1:7" x14ac:dyDescent="0.3">
      <c r="A19" s="1">
        <v>33024</v>
      </c>
      <c r="B19">
        <v>0.69779999999999998</v>
      </c>
      <c r="C19">
        <f t="shared" si="0"/>
        <v>1.4330753797649758</v>
      </c>
      <c r="D19">
        <v>11.45</v>
      </c>
      <c r="E19">
        <f t="shared" si="1"/>
        <v>1.4342203797649757</v>
      </c>
      <c r="F19">
        <f t="shared" si="2"/>
        <v>0.69724291615760547</v>
      </c>
      <c r="G19" s="4">
        <f t="shared" si="3"/>
        <v>1.3014192468059134E-2</v>
      </c>
    </row>
    <row r="20" spans="1:7" x14ac:dyDescent="0.3">
      <c r="A20" s="1">
        <v>33053</v>
      </c>
      <c r="B20">
        <v>0.70650000000000002</v>
      </c>
      <c r="C20">
        <f t="shared" si="0"/>
        <v>1.4154281670205238</v>
      </c>
      <c r="D20">
        <v>6.81</v>
      </c>
      <c r="E20">
        <f t="shared" si="1"/>
        <v>1.4161091670205237</v>
      </c>
      <c r="F20">
        <f t="shared" si="2"/>
        <v>0.70616024759163709</v>
      </c>
      <c r="G20" s="4">
        <f t="shared" si="3"/>
        <v>1.3276698303955321E-2</v>
      </c>
    </row>
    <row r="21" spans="1:7" x14ac:dyDescent="0.3">
      <c r="A21" s="1">
        <v>33085</v>
      </c>
      <c r="B21">
        <v>0.74199999999999999</v>
      </c>
      <c r="C21">
        <f t="shared" si="0"/>
        <v>1.3477088948787062</v>
      </c>
      <c r="D21">
        <v>10.54</v>
      </c>
      <c r="E21">
        <f t="shared" si="1"/>
        <v>1.3487628948787063</v>
      </c>
      <c r="F21">
        <f t="shared" si="2"/>
        <v>0.74142015901907621</v>
      </c>
      <c r="G21" s="4">
        <f t="shared" si="3"/>
        <v>5.0753001929228596E-2</v>
      </c>
    </row>
    <row r="22" spans="1:7" x14ac:dyDescent="0.3">
      <c r="A22" s="1">
        <v>33116</v>
      </c>
      <c r="B22">
        <v>0.76419999999999999</v>
      </c>
      <c r="C22">
        <f t="shared" si="0"/>
        <v>1.308557969118032</v>
      </c>
      <c r="D22">
        <v>2.71</v>
      </c>
      <c r="E22">
        <f t="shared" si="1"/>
        <v>1.3088289691180319</v>
      </c>
      <c r="F22">
        <f t="shared" si="2"/>
        <v>0.7640417683250551</v>
      </c>
      <c r="G22" s="4">
        <f t="shared" si="3"/>
        <v>3.072460426630735E-2</v>
      </c>
    </row>
    <row r="23" spans="1:7" x14ac:dyDescent="0.3">
      <c r="A23" s="1">
        <v>33144</v>
      </c>
      <c r="B23">
        <v>0.76949999999999996</v>
      </c>
      <c r="C23">
        <f t="shared" si="0"/>
        <v>1.2995451591942822</v>
      </c>
      <c r="D23">
        <v>0.99</v>
      </c>
      <c r="E23">
        <f t="shared" si="1"/>
        <v>1.2996441591942822</v>
      </c>
      <c r="F23">
        <f t="shared" si="2"/>
        <v>0.76944138357067882</v>
      </c>
      <c r="G23" s="4">
        <f t="shared" si="3"/>
        <v>7.143891736325467E-3</v>
      </c>
    </row>
    <row r="24" spans="1:7" x14ac:dyDescent="0.3">
      <c r="A24" s="1">
        <v>33177</v>
      </c>
      <c r="B24">
        <v>0.77700000000000002</v>
      </c>
      <c r="C24">
        <f t="shared" si="0"/>
        <v>1.287001287001287</v>
      </c>
      <c r="D24">
        <v>3</v>
      </c>
      <c r="E24">
        <f t="shared" si="1"/>
        <v>1.287301287001287</v>
      </c>
      <c r="F24">
        <f t="shared" si="2"/>
        <v>0.77681892350893011</v>
      </c>
      <c r="G24" s="4">
        <f t="shared" si="3"/>
        <v>9.8235116939572476E-3</v>
      </c>
    </row>
    <row r="25" spans="1:7" x14ac:dyDescent="0.3">
      <c r="A25" s="1">
        <v>33207</v>
      </c>
      <c r="B25">
        <v>0.78339999999999999</v>
      </c>
      <c r="C25">
        <f t="shared" si="0"/>
        <v>1.2764871074802144</v>
      </c>
      <c r="D25">
        <v>4.8</v>
      </c>
      <c r="E25">
        <f t="shared" si="1"/>
        <v>1.2769671074802145</v>
      </c>
      <c r="F25">
        <f t="shared" si="2"/>
        <v>0.78310552726237248</v>
      </c>
      <c r="G25" s="4">
        <f t="shared" si="3"/>
        <v>8.4718282368081571E-3</v>
      </c>
    </row>
    <row r="26" spans="1:7" x14ac:dyDescent="0.3">
      <c r="A26" s="1">
        <v>33238</v>
      </c>
      <c r="B26">
        <v>0.78310000000000002</v>
      </c>
      <c r="C26">
        <f t="shared" si="0"/>
        <v>1.2769761205465457</v>
      </c>
      <c r="D26">
        <v>11.95</v>
      </c>
      <c r="E26">
        <f t="shared" si="1"/>
        <v>1.2781711205465458</v>
      </c>
      <c r="F26">
        <f t="shared" si="2"/>
        <v>0.7823678566391018</v>
      </c>
      <c r="G26" s="4">
        <f t="shared" si="3"/>
        <v>-7.05813224404736E-6</v>
      </c>
    </row>
    <row r="27" spans="1:7" x14ac:dyDescent="0.3">
      <c r="A27" s="1">
        <v>33269</v>
      </c>
      <c r="B27">
        <v>0.79490000000000005</v>
      </c>
      <c r="C27">
        <f t="shared" si="0"/>
        <v>1.258019876714052</v>
      </c>
      <c r="D27">
        <v>10.34</v>
      </c>
      <c r="E27">
        <f t="shared" si="1"/>
        <v>1.259053876714052</v>
      </c>
      <c r="F27">
        <f t="shared" si="2"/>
        <v>0.79424718710993925</v>
      </c>
      <c r="G27" s="4">
        <f t="shared" si="3"/>
        <v>1.6018223722449272E-2</v>
      </c>
    </row>
    <row r="28" spans="1:7" x14ac:dyDescent="0.3">
      <c r="A28" s="1">
        <v>33297</v>
      </c>
      <c r="B28">
        <v>0.75390000000000001</v>
      </c>
      <c r="C28">
        <f t="shared" si="0"/>
        <v>1.3264358668258389</v>
      </c>
      <c r="D28">
        <v>14.19</v>
      </c>
      <c r="E28">
        <f t="shared" si="1"/>
        <v>1.327854866825839</v>
      </c>
      <c r="F28">
        <f t="shared" si="2"/>
        <v>0.75309435163681915</v>
      </c>
      <c r="G28" s="4">
        <f t="shared" si="3"/>
        <v>-5.0799282345276212E-2</v>
      </c>
    </row>
    <row r="29" spans="1:7" x14ac:dyDescent="0.3">
      <c r="A29" s="1">
        <v>33326</v>
      </c>
      <c r="B29">
        <v>0.69199999999999995</v>
      </c>
      <c r="C29">
        <f t="shared" si="0"/>
        <v>1.4450867052023122</v>
      </c>
      <c r="D29">
        <v>27.01</v>
      </c>
      <c r="E29">
        <f t="shared" si="1"/>
        <v>1.4477877052023123</v>
      </c>
      <c r="F29">
        <f t="shared" si="2"/>
        <v>0.69070900133128366</v>
      </c>
      <c r="G29" s="4">
        <f t="shared" si="3"/>
        <v>-8.112443215651953E-2</v>
      </c>
    </row>
    <row r="30" spans="1:7" x14ac:dyDescent="0.3">
      <c r="A30" s="1">
        <v>33358</v>
      </c>
      <c r="B30">
        <v>0.69010000000000005</v>
      </c>
      <c r="C30">
        <f t="shared" si="0"/>
        <v>1.4490653528474133</v>
      </c>
      <c r="D30">
        <v>33.69</v>
      </c>
      <c r="E30">
        <f t="shared" si="1"/>
        <v>1.4524343528474133</v>
      </c>
      <c r="F30">
        <f t="shared" si="2"/>
        <v>0.68849927574320868</v>
      </c>
      <c r="G30" s="4">
        <f t="shared" si="3"/>
        <v>-8.8170463988425027E-4</v>
      </c>
    </row>
    <row r="31" spans="1:7" x14ac:dyDescent="0.3">
      <c r="A31" s="1">
        <v>33389</v>
      </c>
      <c r="B31">
        <v>0.67469999999999997</v>
      </c>
      <c r="C31">
        <f t="shared" si="0"/>
        <v>1.4821402104639099</v>
      </c>
      <c r="D31">
        <v>26.18</v>
      </c>
      <c r="E31">
        <f t="shared" si="1"/>
        <v>1.4847582104639099</v>
      </c>
      <c r="F31">
        <f t="shared" si="2"/>
        <v>0.67351033518619297</v>
      </c>
      <c r="G31" s="4">
        <f t="shared" si="3"/>
        <v>-2.0042542133850358E-2</v>
      </c>
    </row>
    <row r="32" spans="1:7" x14ac:dyDescent="0.3">
      <c r="A32" s="1">
        <v>33417</v>
      </c>
      <c r="B32">
        <v>0.64180000000000004</v>
      </c>
      <c r="C32">
        <f t="shared" si="0"/>
        <v>1.558117793705204</v>
      </c>
      <c r="D32">
        <v>25.86</v>
      </c>
      <c r="E32">
        <f t="shared" si="1"/>
        <v>1.560703793705204</v>
      </c>
      <c r="F32">
        <f t="shared" si="2"/>
        <v>0.64073657284188457</v>
      </c>
      <c r="G32" s="4">
        <f t="shared" si="3"/>
        <v>-4.7082180524262565E-2</v>
      </c>
    </row>
    <row r="33" spans="1:7" x14ac:dyDescent="0.3">
      <c r="A33" s="1">
        <v>33450</v>
      </c>
      <c r="B33">
        <v>0.65529999999999999</v>
      </c>
      <c r="C33">
        <f t="shared" si="0"/>
        <v>1.5260186174271326</v>
      </c>
      <c r="D33">
        <v>25.33</v>
      </c>
      <c r="E33">
        <f t="shared" si="1"/>
        <v>1.5285516174271325</v>
      </c>
      <c r="F33">
        <f t="shared" si="2"/>
        <v>0.65421408645866086</v>
      </c>
      <c r="G33" s="4">
        <f t="shared" si="3"/>
        <v>2.2729196015020145E-2</v>
      </c>
    </row>
    <row r="34" spans="1:7" x14ac:dyDescent="0.3">
      <c r="A34" s="1">
        <v>33480</v>
      </c>
      <c r="B34">
        <v>0.6542</v>
      </c>
      <c r="C34">
        <f t="shared" si="0"/>
        <v>1.5285845307245491</v>
      </c>
      <c r="D34">
        <v>30.9</v>
      </c>
      <c r="E34">
        <f t="shared" si="1"/>
        <v>1.5316745307245492</v>
      </c>
      <c r="F34">
        <f t="shared" si="2"/>
        <v>0.65288021700468979</v>
      </c>
      <c r="G34" s="4">
        <f t="shared" si="3"/>
        <v>-2.1531879169871548E-5</v>
      </c>
    </row>
    <row r="35" spans="1:7" x14ac:dyDescent="0.3">
      <c r="A35" s="1">
        <v>33511</v>
      </c>
      <c r="B35">
        <v>0.69010000000000005</v>
      </c>
      <c r="C35">
        <f t="shared" si="0"/>
        <v>1.4490653528474133</v>
      </c>
      <c r="D35">
        <v>36.35</v>
      </c>
      <c r="E35">
        <f t="shared" si="1"/>
        <v>1.4527003528474134</v>
      </c>
      <c r="F35">
        <f t="shared" si="2"/>
        <v>0.68837320651841027</v>
      </c>
      <c r="G35" s="4">
        <f t="shared" si="3"/>
        <v>5.7008593653011391E-2</v>
      </c>
    </row>
    <row r="36" spans="1:7" x14ac:dyDescent="0.3">
      <c r="A36" s="1">
        <v>33542</v>
      </c>
      <c r="B36">
        <v>0.68259999999999998</v>
      </c>
      <c r="C36">
        <f t="shared" si="0"/>
        <v>1.464986815118664</v>
      </c>
      <c r="D36">
        <v>34.19</v>
      </c>
      <c r="E36">
        <f t="shared" si="1"/>
        <v>1.4684058151186641</v>
      </c>
      <c r="F36">
        <f t="shared" si="2"/>
        <v>0.68101065094133295</v>
      </c>
      <c r="G36" s="4">
        <f t="shared" si="3"/>
        <v>-8.3867391463556158E-3</v>
      </c>
    </row>
    <row r="37" spans="1:7" x14ac:dyDescent="0.3">
      <c r="A37" s="1">
        <v>33571</v>
      </c>
      <c r="B37">
        <v>0.69640000000000002</v>
      </c>
      <c r="C37">
        <f t="shared" si="0"/>
        <v>1.4359563469270533</v>
      </c>
      <c r="D37">
        <v>41.56</v>
      </c>
      <c r="E37">
        <f t="shared" si="1"/>
        <v>1.4401123469270534</v>
      </c>
      <c r="F37">
        <f t="shared" si="2"/>
        <v>0.69439026901881939</v>
      </c>
      <c r="G37" s="4">
        <f t="shared" si="3"/>
        <v>2.2597809648637661E-2</v>
      </c>
    </row>
    <row r="38" spans="1:7" x14ac:dyDescent="0.3">
      <c r="A38" s="1">
        <v>33603</v>
      </c>
      <c r="B38">
        <v>0.73450000000000004</v>
      </c>
      <c r="C38">
        <f t="shared" si="0"/>
        <v>1.3614703880190606</v>
      </c>
      <c r="D38">
        <v>39.409999999999997</v>
      </c>
      <c r="E38">
        <f t="shared" si="1"/>
        <v>1.3654113880190606</v>
      </c>
      <c r="F38">
        <f t="shared" si="2"/>
        <v>0.73238000559728778</v>
      </c>
      <c r="G38" s="4">
        <f t="shared" si="3"/>
        <v>5.7762518817920806E-2</v>
      </c>
    </row>
    <row r="39" spans="1:7" x14ac:dyDescent="0.3">
      <c r="A39" s="1">
        <v>33634</v>
      </c>
      <c r="B39">
        <v>0.69979999999999998</v>
      </c>
      <c r="C39">
        <f t="shared" si="0"/>
        <v>1.4289797084881395</v>
      </c>
      <c r="D39">
        <v>38</v>
      </c>
      <c r="E39">
        <f t="shared" si="1"/>
        <v>1.4327797084881395</v>
      </c>
      <c r="F39">
        <f t="shared" si="2"/>
        <v>0.69794399939903806</v>
      </c>
      <c r="G39" s="4">
        <f t="shared" si="3"/>
        <v>-4.4485110664261494E-2</v>
      </c>
    </row>
    <row r="40" spans="1:7" x14ac:dyDescent="0.3">
      <c r="A40" s="1">
        <v>33662</v>
      </c>
      <c r="B40">
        <v>0.67359999999999998</v>
      </c>
      <c r="C40">
        <f t="shared" si="0"/>
        <v>1.484560570071259</v>
      </c>
      <c r="D40">
        <v>44.58</v>
      </c>
      <c r="E40">
        <f t="shared" si="1"/>
        <v>1.489018570071259</v>
      </c>
      <c r="F40">
        <f t="shared" si="2"/>
        <v>0.67158329660868077</v>
      </c>
      <c r="G40" s="4">
        <f t="shared" si="3"/>
        <v>-3.4879588362389233E-2</v>
      </c>
    </row>
    <row r="41" spans="1:7" x14ac:dyDescent="0.3">
      <c r="A41" s="1">
        <v>33694</v>
      </c>
      <c r="B41">
        <v>0.66579999999999995</v>
      </c>
      <c r="C41">
        <f t="shared" si="0"/>
        <v>1.5019525382997898</v>
      </c>
      <c r="D41">
        <v>64.010000000000005</v>
      </c>
      <c r="E41">
        <f t="shared" si="1"/>
        <v>1.5083535382997899</v>
      </c>
      <c r="F41">
        <f t="shared" si="2"/>
        <v>0.66297454450048632</v>
      </c>
      <c r="G41" s="4">
        <f t="shared" si="3"/>
        <v>-8.6114360465558773E-3</v>
      </c>
    </row>
    <row r="42" spans="1:7" x14ac:dyDescent="0.3">
      <c r="A42" s="1">
        <v>33724</v>
      </c>
      <c r="B42">
        <v>0.65920000000000001</v>
      </c>
      <c r="C42">
        <f t="shared" si="0"/>
        <v>1.5169902912621358</v>
      </c>
      <c r="D42">
        <v>65.09</v>
      </c>
      <c r="E42">
        <f t="shared" si="1"/>
        <v>1.5234992912621359</v>
      </c>
      <c r="F42">
        <f t="shared" si="2"/>
        <v>0.6563836332155788</v>
      </c>
      <c r="G42" s="4">
        <f t="shared" si="3"/>
        <v>-5.6933475527785379E-3</v>
      </c>
    </row>
    <row r="43" spans="1:7" x14ac:dyDescent="0.3">
      <c r="A43" s="1">
        <v>33753</v>
      </c>
      <c r="B43">
        <v>0.68669999999999998</v>
      </c>
      <c r="C43">
        <f t="shared" si="0"/>
        <v>1.4562399883500801</v>
      </c>
      <c r="D43">
        <v>68.03</v>
      </c>
      <c r="E43">
        <f t="shared" si="1"/>
        <v>1.46304298835008</v>
      </c>
      <c r="F43">
        <f t="shared" si="2"/>
        <v>0.68350691535573527</v>
      </c>
      <c r="G43" s="4">
        <f t="shared" si="3"/>
        <v>4.6186963309708617E-2</v>
      </c>
    </row>
    <row r="44" spans="1:7" x14ac:dyDescent="0.3">
      <c r="A44" s="1">
        <v>33785</v>
      </c>
      <c r="B44">
        <v>0.72740000000000005</v>
      </c>
      <c r="C44">
        <f t="shared" si="0"/>
        <v>1.374759417102007</v>
      </c>
      <c r="D44">
        <v>63.17</v>
      </c>
      <c r="E44">
        <f t="shared" si="1"/>
        <v>1.3810764171020069</v>
      </c>
      <c r="F44">
        <f t="shared" si="2"/>
        <v>0.72407289532780394</v>
      </c>
      <c r="G44" s="4">
        <f t="shared" si="3"/>
        <v>6.4217469725848145E-2</v>
      </c>
    </row>
    <row r="45" spans="1:7" x14ac:dyDescent="0.3">
      <c r="A45" s="1">
        <v>33816</v>
      </c>
      <c r="B45">
        <v>0.76019999999999999</v>
      </c>
      <c r="C45">
        <f t="shared" si="0"/>
        <v>1.3154433043935807</v>
      </c>
      <c r="D45">
        <v>57.89</v>
      </c>
      <c r="E45">
        <f t="shared" si="1"/>
        <v>1.3212323043935807</v>
      </c>
      <c r="F45">
        <f t="shared" si="2"/>
        <v>0.75686917181379398</v>
      </c>
      <c r="G45" s="4">
        <f t="shared" si="3"/>
        <v>4.9894292280945683E-2</v>
      </c>
    </row>
    <row r="46" spans="1:7" x14ac:dyDescent="0.3">
      <c r="A46" s="1">
        <v>33847</v>
      </c>
      <c r="B46">
        <v>0.79969999999999997</v>
      </c>
      <c r="C46">
        <f t="shared" si="0"/>
        <v>1.2504689258471928</v>
      </c>
      <c r="D46">
        <v>47.49</v>
      </c>
      <c r="E46">
        <f t="shared" si="1"/>
        <v>1.2552179258471927</v>
      </c>
      <c r="F46">
        <f t="shared" si="2"/>
        <v>0.79667440960505986</v>
      </c>
      <c r="G46" s="4">
        <f t="shared" si="3"/>
        <v>5.6589473823546461E-2</v>
      </c>
    </row>
    <row r="47" spans="1:7" x14ac:dyDescent="0.3">
      <c r="A47" s="1">
        <v>33877</v>
      </c>
      <c r="B47">
        <v>0.8085</v>
      </c>
      <c r="C47">
        <f t="shared" si="0"/>
        <v>1.2368583797155226</v>
      </c>
      <c r="D47">
        <v>39.83</v>
      </c>
      <c r="E47">
        <f t="shared" si="1"/>
        <v>1.2408413797155227</v>
      </c>
      <c r="F47">
        <f t="shared" si="2"/>
        <v>0.80590478069748261</v>
      </c>
      <c r="G47" s="4">
        <f t="shared" si="3"/>
        <v>1.4843693047455237E-2</v>
      </c>
    </row>
    <row r="48" spans="1:7" x14ac:dyDescent="0.3">
      <c r="A48" s="1">
        <v>33907</v>
      </c>
      <c r="B48">
        <v>0.72760000000000002</v>
      </c>
      <c r="C48">
        <f t="shared" si="0"/>
        <v>1.3743815283122593</v>
      </c>
      <c r="D48">
        <v>34.979999999999997</v>
      </c>
      <c r="E48">
        <f t="shared" si="1"/>
        <v>1.3778795283122593</v>
      </c>
      <c r="F48">
        <f t="shared" si="2"/>
        <v>0.72575285389781685</v>
      </c>
      <c r="G48" s="4">
        <f t="shared" si="3"/>
        <v>-9.7163812118985726E-2</v>
      </c>
    </row>
    <row r="49" spans="1:7" x14ac:dyDescent="0.3">
      <c r="A49" s="1">
        <v>33938</v>
      </c>
      <c r="B49">
        <v>0.69750000000000001</v>
      </c>
      <c r="C49">
        <f t="shared" si="0"/>
        <v>1.4336917562724014</v>
      </c>
      <c r="D49">
        <v>35.18</v>
      </c>
      <c r="E49">
        <f t="shared" si="1"/>
        <v>1.4372097562724013</v>
      </c>
      <c r="F49">
        <f t="shared" si="2"/>
        <v>0.69579266049072463</v>
      </c>
      <c r="G49" s="4">
        <f t="shared" si="3"/>
        <v>-3.892902900219905E-2</v>
      </c>
    </row>
    <row r="50" spans="1:7" x14ac:dyDescent="0.3">
      <c r="A50" s="1">
        <v>33969</v>
      </c>
      <c r="B50">
        <v>0.68140000000000001</v>
      </c>
      <c r="C50">
        <f t="shared" si="0"/>
        <v>1.4675667742882301</v>
      </c>
      <c r="D50">
        <v>35.44</v>
      </c>
      <c r="E50">
        <f t="shared" si="1"/>
        <v>1.4711107742882301</v>
      </c>
      <c r="F50">
        <f t="shared" si="2"/>
        <v>0.67975846379334115</v>
      </c>
      <c r="G50" s="4">
        <f t="shared" si="3"/>
        <v>-2.0685272075985764E-2</v>
      </c>
    </row>
    <row r="51" spans="1:7" x14ac:dyDescent="0.3">
      <c r="A51" s="1">
        <v>33998</v>
      </c>
      <c r="B51">
        <v>0.67200000000000004</v>
      </c>
      <c r="C51">
        <f t="shared" si="0"/>
        <v>1.4880952380952379</v>
      </c>
      <c r="D51">
        <v>26.7</v>
      </c>
      <c r="E51">
        <f t="shared" si="1"/>
        <v>1.4907652380952379</v>
      </c>
      <c r="F51">
        <f t="shared" si="2"/>
        <v>0.67079643021305468</v>
      </c>
      <c r="G51" s="4">
        <f t="shared" si="3"/>
        <v>-1.1413559678309237E-2</v>
      </c>
    </row>
    <row r="52" spans="1:7" x14ac:dyDescent="0.3">
      <c r="A52" s="1">
        <v>34026</v>
      </c>
      <c r="B52">
        <v>0.65449999999999997</v>
      </c>
      <c r="C52">
        <f t="shared" si="0"/>
        <v>1.5278838808250574</v>
      </c>
      <c r="D52">
        <v>31.98</v>
      </c>
      <c r="E52">
        <f t="shared" si="1"/>
        <v>1.5310818808250575</v>
      </c>
      <c r="F52">
        <f t="shared" si="2"/>
        <v>0.65313293333543199</v>
      </c>
      <c r="G52" s="4">
        <f t="shared" si="3"/>
        <v>-2.4294151666666937E-2</v>
      </c>
    </row>
    <row r="53" spans="1:7" x14ac:dyDescent="0.3">
      <c r="A53" s="1">
        <v>34059</v>
      </c>
      <c r="B53">
        <v>0.67069999999999996</v>
      </c>
      <c r="C53">
        <f t="shared" si="0"/>
        <v>1.4909795735798421</v>
      </c>
      <c r="D53">
        <v>28.81</v>
      </c>
      <c r="E53">
        <f t="shared" si="1"/>
        <v>1.493860573579842</v>
      </c>
      <c r="F53">
        <f t="shared" si="2"/>
        <v>0.66940651469476187</v>
      </c>
      <c r="G53" s="4">
        <f t="shared" si="3"/>
        <v>2.6896617469365905E-2</v>
      </c>
    </row>
    <row r="54" spans="1:7" x14ac:dyDescent="0.3">
      <c r="A54" s="1">
        <v>34089</v>
      </c>
      <c r="B54">
        <v>0.6986</v>
      </c>
      <c r="C54">
        <f t="shared" si="0"/>
        <v>1.4314342971657601</v>
      </c>
      <c r="D54">
        <v>26.89</v>
      </c>
      <c r="E54">
        <f t="shared" si="1"/>
        <v>1.43412329716576</v>
      </c>
      <c r="F54">
        <f t="shared" si="2"/>
        <v>0.697290115833337</v>
      </c>
      <c r="G54" s="4">
        <f t="shared" si="3"/>
        <v>4.3610996702877727E-2</v>
      </c>
    </row>
    <row r="55" spans="1:7" x14ac:dyDescent="0.3">
      <c r="A55" s="1">
        <v>34120</v>
      </c>
      <c r="B55">
        <v>0.70399999999999996</v>
      </c>
      <c r="C55">
        <f t="shared" si="0"/>
        <v>1.4204545454545456</v>
      </c>
      <c r="D55">
        <v>23.99</v>
      </c>
      <c r="E55">
        <f t="shared" si="1"/>
        <v>1.4228535454545457</v>
      </c>
      <c r="F55">
        <f t="shared" si="2"/>
        <v>0.70281302189856754</v>
      </c>
      <c r="G55" s="4">
        <f t="shared" si="3"/>
        <v>9.6228012046950129E-3</v>
      </c>
    </row>
    <row r="56" spans="1:7" x14ac:dyDescent="0.3">
      <c r="A56" s="1">
        <v>34150</v>
      </c>
      <c r="B56">
        <v>0.66049999999999998</v>
      </c>
      <c r="C56">
        <f t="shared" si="0"/>
        <v>1.5140045420136261</v>
      </c>
      <c r="D56">
        <v>26</v>
      </c>
      <c r="E56">
        <f t="shared" si="1"/>
        <v>1.516604542013626</v>
      </c>
      <c r="F56">
        <f t="shared" si="2"/>
        <v>0.65936766790390866</v>
      </c>
      <c r="G56" s="4">
        <f t="shared" si="3"/>
        <v>-6.0205233227272677E-2</v>
      </c>
    </row>
    <row r="57" spans="1:7" x14ac:dyDescent="0.3">
      <c r="A57" s="1">
        <v>34180</v>
      </c>
      <c r="B57">
        <v>0.65620000000000001</v>
      </c>
      <c r="C57">
        <f t="shared" si="0"/>
        <v>1.5239256324291375</v>
      </c>
      <c r="D57">
        <v>20.45</v>
      </c>
      <c r="E57">
        <f t="shared" si="1"/>
        <v>1.5259706324291376</v>
      </c>
      <c r="F57">
        <f t="shared" si="2"/>
        <v>0.65532060627414312</v>
      </c>
      <c r="G57" s="4">
        <f t="shared" si="3"/>
        <v>-4.804099530658649E-3</v>
      </c>
    </row>
    <row r="58" spans="1:7" x14ac:dyDescent="0.3">
      <c r="A58" s="1">
        <v>34212</v>
      </c>
      <c r="B58">
        <v>0.6764</v>
      </c>
      <c r="C58">
        <f t="shared" si="0"/>
        <v>1.4784151389710232</v>
      </c>
      <c r="D58">
        <v>23.75</v>
      </c>
      <c r="E58">
        <f t="shared" si="1"/>
        <v>1.4807901389710232</v>
      </c>
      <c r="F58">
        <f t="shared" si="2"/>
        <v>0.67531513999335757</v>
      </c>
      <c r="G58" s="4">
        <f t="shared" si="3"/>
        <v>3.216653577506861E-2</v>
      </c>
    </row>
    <row r="59" spans="1:7" x14ac:dyDescent="0.3">
      <c r="A59" s="1">
        <v>34242</v>
      </c>
      <c r="B59">
        <v>0.70140000000000002</v>
      </c>
      <c r="C59">
        <f t="shared" si="0"/>
        <v>1.42571998859424</v>
      </c>
      <c r="D59">
        <v>19.13</v>
      </c>
      <c r="E59">
        <f t="shared" si="1"/>
        <v>1.42763298859424</v>
      </c>
      <c r="F59">
        <f t="shared" si="2"/>
        <v>0.70046013785705441</v>
      </c>
      <c r="G59" s="4">
        <f t="shared" si="3"/>
        <v>3.8626203474275762E-2</v>
      </c>
    </row>
    <row r="60" spans="1:7" x14ac:dyDescent="0.3">
      <c r="A60" s="1">
        <v>34271</v>
      </c>
      <c r="B60">
        <v>0.67</v>
      </c>
      <c r="C60">
        <f t="shared" si="0"/>
        <v>1.4925373134328357</v>
      </c>
      <c r="D60">
        <v>17.829999999999998</v>
      </c>
      <c r="E60">
        <f t="shared" si="1"/>
        <v>1.4943203134328358</v>
      </c>
      <c r="F60">
        <f t="shared" si="2"/>
        <v>0.66920056631147862</v>
      </c>
      <c r="G60" s="4">
        <f t="shared" si="3"/>
        <v>-4.3485897641859082E-2</v>
      </c>
    </row>
    <row r="61" spans="1:7" x14ac:dyDescent="0.3">
      <c r="A61" s="1">
        <v>34303</v>
      </c>
      <c r="B61">
        <v>0.66710000000000003</v>
      </c>
      <c r="C61">
        <f t="shared" si="0"/>
        <v>1.4990256333383301</v>
      </c>
      <c r="D61">
        <v>15.77</v>
      </c>
      <c r="E61">
        <f t="shared" si="1"/>
        <v>1.50060263333833</v>
      </c>
      <c r="F61">
        <f t="shared" si="2"/>
        <v>0.66639893718921472</v>
      </c>
      <c r="G61" s="4">
        <f t="shared" si="3"/>
        <v>-3.1389189089551443E-3</v>
      </c>
    </row>
    <row r="62" spans="1:7" x14ac:dyDescent="0.3">
      <c r="A62" s="1">
        <v>34334</v>
      </c>
      <c r="B62">
        <v>0.67179999999999995</v>
      </c>
      <c r="C62">
        <f t="shared" si="0"/>
        <v>1.4885382554331648</v>
      </c>
      <c r="D62">
        <v>13.58</v>
      </c>
      <c r="E62">
        <f t="shared" si="1"/>
        <v>1.4898962554331647</v>
      </c>
      <c r="F62">
        <f t="shared" si="2"/>
        <v>0.67118767253312228</v>
      </c>
      <c r="G62" s="4">
        <f t="shared" si="3"/>
        <v>8.104849076690037E-3</v>
      </c>
    </row>
    <row r="63" spans="1:7" x14ac:dyDescent="0.3">
      <c r="A63" s="1">
        <v>34365</v>
      </c>
      <c r="B63">
        <v>0.68640000000000001</v>
      </c>
      <c r="C63">
        <f t="shared" si="0"/>
        <v>1.4568764568764569</v>
      </c>
      <c r="D63">
        <v>13.42</v>
      </c>
      <c r="E63">
        <f t="shared" si="1"/>
        <v>1.4582184568764569</v>
      </c>
      <c r="F63">
        <f t="shared" si="2"/>
        <v>0.68576830534845024</v>
      </c>
      <c r="G63" s="4">
        <f t="shared" si="3"/>
        <v>2.2664789729324206E-2</v>
      </c>
    </row>
    <row r="64" spans="1:7" x14ac:dyDescent="0.3">
      <c r="A64" s="1">
        <v>34393</v>
      </c>
      <c r="B64">
        <v>0.70099999999999996</v>
      </c>
      <c r="C64">
        <f t="shared" si="0"/>
        <v>1.4265335235378032</v>
      </c>
      <c r="D64">
        <v>9.23</v>
      </c>
      <c r="E64">
        <f t="shared" si="1"/>
        <v>1.4274565235378032</v>
      </c>
      <c r="F64">
        <f t="shared" si="2"/>
        <v>0.70054673015301616</v>
      </c>
      <c r="G64" s="4">
        <f t="shared" si="3"/>
        <v>2.2211138270396214E-2</v>
      </c>
    </row>
    <row r="65" spans="1:7" x14ac:dyDescent="0.3">
      <c r="A65" s="1">
        <v>34424</v>
      </c>
      <c r="B65">
        <v>0.70750000000000002</v>
      </c>
      <c r="C65">
        <f t="shared" si="0"/>
        <v>1.4134275618374559</v>
      </c>
      <c r="D65">
        <v>6.61</v>
      </c>
      <c r="E65">
        <f t="shared" si="1"/>
        <v>1.4140885618374559</v>
      </c>
      <c r="F65">
        <f t="shared" si="2"/>
        <v>0.70716928697917447</v>
      </c>
      <c r="G65" s="4">
        <f t="shared" si="3"/>
        <v>9.925490402995809E-3</v>
      </c>
    </row>
    <row r="66" spans="1:7" x14ac:dyDescent="0.3">
      <c r="A66" s="1">
        <v>34453</v>
      </c>
      <c r="B66">
        <v>0.71250000000000002</v>
      </c>
      <c r="C66">
        <f t="shared" si="0"/>
        <v>1.4035087719298245</v>
      </c>
      <c r="D66">
        <v>-0.75</v>
      </c>
      <c r="E66">
        <f t="shared" si="1"/>
        <v>1.4034337719298244</v>
      </c>
      <c r="F66">
        <f t="shared" si="2"/>
        <v>0.71253807625344989</v>
      </c>
      <c r="G66" s="4">
        <f t="shared" si="3"/>
        <v>7.5381003091874029E-3</v>
      </c>
    </row>
    <row r="67" spans="1:7" x14ac:dyDescent="0.3">
      <c r="A67" s="1">
        <v>34485</v>
      </c>
      <c r="B67">
        <v>0.71299999999999997</v>
      </c>
      <c r="C67">
        <f t="shared" ref="C67:C130" si="4">1/B67</f>
        <v>1.4025245441795231</v>
      </c>
      <c r="D67">
        <v>-0.78</v>
      </c>
      <c r="E67">
        <f t="shared" ref="E67:E130" si="5">C67+D67/10^4</f>
        <v>1.4024465441795231</v>
      </c>
      <c r="F67">
        <f t="shared" ref="F67:F130" si="6">1/E67</f>
        <v>0.71303965498737254</v>
      </c>
      <c r="G67" s="4">
        <f t="shared" si="3"/>
        <v>6.482793859647276E-4</v>
      </c>
    </row>
    <row r="68" spans="1:7" x14ac:dyDescent="0.3">
      <c r="A68" s="1">
        <v>34515</v>
      </c>
      <c r="B68">
        <v>0.74990000000000001</v>
      </c>
      <c r="C68">
        <f t="shared" si="4"/>
        <v>1.3335111348179758</v>
      </c>
      <c r="D68">
        <v>-3.57</v>
      </c>
      <c r="E68">
        <f t="shared" si="5"/>
        <v>1.3331541348179758</v>
      </c>
      <c r="F68">
        <f t="shared" si="6"/>
        <v>0.75010081271400508</v>
      </c>
      <c r="G68" s="4">
        <f t="shared" ref="G68:G131" si="7">(B68-F67)/F67</f>
        <v>5.1694663480224314E-2</v>
      </c>
    </row>
    <row r="69" spans="1:7" x14ac:dyDescent="0.3">
      <c r="A69" s="1">
        <v>34544</v>
      </c>
      <c r="B69">
        <v>0.74629999999999996</v>
      </c>
      <c r="C69">
        <f t="shared" si="4"/>
        <v>1.3399437223636608</v>
      </c>
      <c r="D69">
        <v>-2.29</v>
      </c>
      <c r="E69">
        <f t="shared" si="5"/>
        <v>1.3397147223636607</v>
      </c>
      <c r="F69">
        <f t="shared" si="6"/>
        <v>0.74642756648646691</v>
      </c>
      <c r="G69" s="4">
        <f t="shared" si="7"/>
        <v>-5.0670691853446576E-3</v>
      </c>
    </row>
    <row r="70" spans="1:7" x14ac:dyDescent="0.3">
      <c r="A70" s="1">
        <v>34577</v>
      </c>
      <c r="B70">
        <v>0.75080000000000002</v>
      </c>
      <c r="C70">
        <f t="shared" si="4"/>
        <v>1.3319126265316994</v>
      </c>
      <c r="D70">
        <v>-7.85</v>
      </c>
      <c r="E70">
        <f t="shared" si="5"/>
        <v>1.3311276265316994</v>
      </c>
      <c r="F70">
        <f t="shared" si="6"/>
        <v>0.75124276595891537</v>
      </c>
      <c r="G70" s="4">
        <f t="shared" si="7"/>
        <v>5.8578135506365814E-3</v>
      </c>
    </row>
    <row r="71" spans="1:7" x14ac:dyDescent="0.3">
      <c r="A71" s="1">
        <v>34607</v>
      </c>
      <c r="B71">
        <v>0.77669999999999995</v>
      </c>
      <c r="C71">
        <f t="shared" si="4"/>
        <v>1.2874983906270119</v>
      </c>
      <c r="D71">
        <v>-12.42</v>
      </c>
      <c r="E71">
        <f t="shared" si="5"/>
        <v>1.2862563906270119</v>
      </c>
      <c r="F71">
        <f t="shared" si="6"/>
        <v>0.77744997598226084</v>
      </c>
      <c r="G71" s="4">
        <f t="shared" si="7"/>
        <v>3.3886827527170892E-2</v>
      </c>
    </row>
    <row r="72" spans="1:7" x14ac:dyDescent="0.3">
      <c r="A72" s="1">
        <v>34638</v>
      </c>
      <c r="B72">
        <v>0.79590000000000005</v>
      </c>
      <c r="C72">
        <f t="shared" si="4"/>
        <v>1.2564392511622062</v>
      </c>
      <c r="D72">
        <v>-13.69</v>
      </c>
      <c r="E72">
        <f t="shared" si="5"/>
        <v>1.2550702511622063</v>
      </c>
      <c r="F72">
        <f t="shared" si="6"/>
        <v>0.79676814829607434</v>
      </c>
      <c r="G72" s="4">
        <f t="shared" si="7"/>
        <v>2.3731461300038916E-2</v>
      </c>
    </row>
    <row r="73" spans="1:7" x14ac:dyDescent="0.3">
      <c r="A73" s="1">
        <v>34668</v>
      </c>
      <c r="B73">
        <v>0.75390000000000001</v>
      </c>
      <c r="C73">
        <f t="shared" si="4"/>
        <v>1.3264358668258389</v>
      </c>
      <c r="D73">
        <v>-25.65</v>
      </c>
      <c r="E73">
        <f t="shared" si="5"/>
        <v>1.323870866825839</v>
      </c>
      <c r="F73">
        <f t="shared" si="6"/>
        <v>0.75536068136134482</v>
      </c>
      <c r="G73" s="4">
        <f t="shared" si="7"/>
        <v>-5.3802537648812709E-2</v>
      </c>
    </row>
    <row r="74" spans="1:7" x14ac:dyDescent="0.3">
      <c r="A74" s="1">
        <v>34698</v>
      </c>
      <c r="B74">
        <v>0.76419999999999999</v>
      </c>
      <c r="C74">
        <f t="shared" si="4"/>
        <v>1.308557969118032</v>
      </c>
      <c r="D74">
        <v>-24.6</v>
      </c>
      <c r="E74">
        <f t="shared" si="5"/>
        <v>1.3060979691180321</v>
      </c>
      <c r="F74">
        <f t="shared" si="6"/>
        <v>0.76563934991436311</v>
      </c>
      <c r="G74" s="4">
        <f t="shared" si="7"/>
        <v>1.1702116428306215E-2</v>
      </c>
    </row>
    <row r="75" spans="1:7" x14ac:dyDescent="0.3">
      <c r="A75" s="1">
        <v>34730</v>
      </c>
      <c r="B75">
        <v>0.77790000000000004</v>
      </c>
      <c r="C75">
        <f t="shared" si="4"/>
        <v>1.2855122766422418</v>
      </c>
      <c r="D75">
        <v>-22.7</v>
      </c>
      <c r="E75">
        <f t="shared" si="5"/>
        <v>1.2832422766422418</v>
      </c>
      <c r="F75">
        <f t="shared" si="6"/>
        <v>0.77927607140299382</v>
      </c>
      <c r="G75" s="4">
        <f t="shared" si="7"/>
        <v>1.6013610176917215E-2</v>
      </c>
    </row>
    <row r="76" spans="1:7" x14ac:dyDescent="0.3">
      <c r="A76" s="1">
        <v>34758</v>
      </c>
      <c r="B76">
        <v>0.80810000000000004</v>
      </c>
      <c r="C76">
        <f t="shared" si="4"/>
        <v>1.2374706100730106</v>
      </c>
      <c r="D76">
        <v>-27.35</v>
      </c>
      <c r="E76">
        <f t="shared" si="5"/>
        <v>1.2347356100730107</v>
      </c>
      <c r="F76">
        <f t="shared" si="6"/>
        <v>0.80988998117651223</v>
      </c>
      <c r="G76" s="4">
        <f t="shared" si="7"/>
        <v>3.6988083754595683E-2</v>
      </c>
    </row>
    <row r="77" spans="1:7" x14ac:dyDescent="0.3">
      <c r="A77" s="1">
        <v>34789</v>
      </c>
      <c r="B77">
        <v>0.8861</v>
      </c>
      <c r="C77">
        <f t="shared" si="4"/>
        <v>1.1285407967498025</v>
      </c>
      <c r="D77">
        <v>-24.56</v>
      </c>
      <c r="E77">
        <f t="shared" si="5"/>
        <v>1.1260847967498024</v>
      </c>
      <c r="F77">
        <f t="shared" si="6"/>
        <v>0.88803259122783773</v>
      </c>
      <c r="G77" s="4">
        <f t="shared" si="7"/>
        <v>9.4099224085694808E-2</v>
      </c>
    </row>
    <row r="78" spans="1:7" x14ac:dyDescent="0.3">
      <c r="A78" s="1">
        <v>34817</v>
      </c>
      <c r="B78">
        <v>0.87409999999999999</v>
      </c>
      <c r="C78">
        <f t="shared" si="4"/>
        <v>1.1440338634023568</v>
      </c>
      <c r="D78">
        <v>-28.2</v>
      </c>
      <c r="E78">
        <f t="shared" si="5"/>
        <v>1.1412138634023568</v>
      </c>
      <c r="F78">
        <f t="shared" si="6"/>
        <v>0.87625994747264202</v>
      </c>
      <c r="G78" s="4">
        <f t="shared" si="7"/>
        <v>-1.5689279160997743E-2</v>
      </c>
    </row>
    <row r="79" spans="1:7" x14ac:dyDescent="0.3">
      <c r="A79" s="1">
        <v>34850</v>
      </c>
      <c r="B79">
        <v>0.85680000000000001</v>
      </c>
      <c r="C79">
        <f t="shared" si="4"/>
        <v>1.1671335200746966</v>
      </c>
      <c r="D79">
        <v>-28.12</v>
      </c>
      <c r="E79">
        <f t="shared" si="5"/>
        <v>1.1643215200746966</v>
      </c>
      <c r="F79">
        <f t="shared" si="6"/>
        <v>0.85886929233760567</v>
      </c>
      <c r="G79" s="4">
        <f t="shared" si="7"/>
        <v>-2.2207961836860721E-2</v>
      </c>
    </row>
    <row r="80" spans="1:7" x14ac:dyDescent="0.3">
      <c r="A80" s="1">
        <v>34880</v>
      </c>
      <c r="B80">
        <v>0.87109999999999999</v>
      </c>
      <c r="C80">
        <f t="shared" si="4"/>
        <v>1.1479738261967627</v>
      </c>
      <c r="D80">
        <v>-29.5</v>
      </c>
      <c r="E80">
        <f t="shared" si="5"/>
        <v>1.1450238261967627</v>
      </c>
      <c r="F80">
        <f t="shared" si="6"/>
        <v>0.87334427207644716</v>
      </c>
      <c r="G80" s="4">
        <f t="shared" si="7"/>
        <v>1.4240476137068187E-2</v>
      </c>
    </row>
    <row r="81" spans="1:7" x14ac:dyDescent="0.3">
      <c r="A81" s="1">
        <v>34911</v>
      </c>
      <c r="B81">
        <v>0.86770000000000003</v>
      </c>
      <c r="C81">
        <f t="shared" si="4"/>
        <v>1.1524720525527257</v>
      </c>
      <c r="D81">
        <v>-33.119999999999997</v>
      </c>
      <c r="E81">
        <f t="shared" si="5"/>
        <v>1.1491600525527257</v>
      </c>
      <c r="F81">
        <f t="shared" si="6"/>
        <v>0.87020080255889165</v>
      </c>
      <c r="G81" s="4">
        <f t="shared" si="7"/>
        <v>-6.4628260090690412E-3</v>
      </c>
    </row>
    <row r="82" spans="1:7" x14ac:dyDescent="0.3">
      <c r="A82" s="1">
        <v>34942</v>
      </c>
      <c r="B82">
        <v>0.83099999999999996</v>
      </c>
      <c r="C82">
        <f t="shared" si="4"/>
        <v>1.2033694344163659</v>
      </c>
      <c r="D82">
        <v>-29.94</v>
      </c>
      <c r="E82">
        <f t="shared" si="5"/>
        <v>1.200375434416366</v>
      </c>
      <c r="F82">
        <f t="shared" si="6"/>
        <v>0.83307269653198923</v>
      </c>
      <c r="G82" s="4">
        <f t="shared" si="7"/>
        <v>-4.5047996328684996E-2</v>
      </c>
    </row>
    <row r="83" spans="1:7" x14ac:dyDescent="0.3">
      <c r="A83" s="1">
        <v>34971</v>
      </c>
      <c r="B83">
        <v>0.86629999999999996</v>
      </c>
      <c r="C83">
        <f t="shared" si="4"/>
        <v>1.154334526145677</v>
      </c>
      <c r="D83">
        <v>-33.69</v>
      </c>
      <c r="E83">
        <f t="shared" si="5"/>
        <v>1.150965526145677</v>
      </c>
      <c r="F83">
        <f t="shared" si="6"/>
        <v>0.86883575335985397</v>
      </c>
      <c r="G83" s="4">
        <f t="shared" si="7"/>
        <v>3.98852388348978E-2</v>
      </c>
    </row>
    <row r="84" spans="1:7" x14ac:dyDescent="0.3">
      <c r="A84" s="1">
        <v>35003</v>
      </c>
      <c r="B84">
        <v>0.88</v>
      </c>
      <c r="C84">
        <f t="shared" si="4"/>
        <v>1.1363636363636365</v>
      </c>
      <c r="D84">
        <v>-38.51</v>
      </c>
      <c r="E84">
        <f t="shared" si="5"/>
        <v>1.1325126363636364</v>
      </c>
      <c r="F84">
        <f t="shared" si="6"/>
        <v>0.88299235513246122</v>
      </c>
      <c r="G84" s="4">
        <f t="shared" si="7"/>
        <v>1.2849663008195789E-2</v>
      </c>
    </row>
    <row r="85" spans="1:7" x14ac:dyDescent="0.3">
      <c r="A85" s="1">
        <v>35033</v>
      </c>
      <c r="B85">
        <v>0.85029999999999994</v>
      </c>
      <c r="C85">
        <f t="shared" si="4"/>
        <v>1.1760555098200636</v>
      </c>
      <c r="D85">
        <v>-36.92</v>
      </c>
      <c r="E85">
        <f t="shared" si="5"/>
        <v>1.1723635098200635</v>
      </c>
      <c r="F85">
        <f t="shared" si="6"/>
        <v>0.85297775956322774</v>
      </c>
      <c r="G85" s="4">
        <f t="shared" si="7"/>
        <v>-3.7024505299999975E-2</v>
      </c>
    </row>
    <row r="86" spans="1:7" x14ac:dyDescent="0.3">
      <c r="A86" s="1">
        <v>35062</v>
      </c>
      <c r="B86">
        <v>0.86629999999999996</v>
      </c>
      <c r="C86">
        <f t="shared" si="4"/>
        <v>1.154334526145677</v>
      </c>
      <c r="D86">
        <v>-39.56</v>
      </c>
      <c r="E86">
        <f t="shared" si="5"/>
        <v>1.1503785261456769</v>
      </c>
      <c r="F86">
        <f t="shared" si="6"/>
        <v>0.86927909142261417</v>
      </c>
      <c r="G86" s="4">
        <f t="shared" si="7"/>
        <v>1.561850855712105E-2</v>
      </c>
    </row>
    <row r="87" spans="1:7" x14ac:dyDescent="0.3">
      <c r="A87" s="1">
        <v>35095</v>
      </c>
      <c r="B87">
        <v>0.8256</v>
      </c>
      <c r="C87">
        <f t="shared" si="4"/>
        <v>1.2112403100775193</v>
      </c>
      <c r="D87">
        <v>-38.119999999999997</v>
      </c>
      <c r="E87">
        <f t="shared" si="5"/>
        <v>1.2074283100775194</v>
      </c>
      <c r="F87">
        <f t="shared" si="6"/>
        <v>0.82820652096172731</v>
      </c>
      <c r="G87" s="4">
        <f t="shared" si="7"/>
        <v>-5.0247488814129167E-2</v>
      </c>
    </row>
    <row r="88" spans="1:7" x14ac:dyDescent="0.3">
      <c r="A88" s="1">
        <v>35124</v>
      </c>
      <c r="B88">
        <v>0.83230000000000004</v>
      </c>
      <c r="C88">
        <f t="shared" si="4"/>
        <v>1.2014898474107893</v>
      </c>
      <c r="D88">
        <v>-38.46</v>
      </c>
      <c r="E88">
        <f t="shared" si="5"/>
        <v>1.1976438474107893</v>
      </c>
      <c r="F88">
        <f t="shared" si="6"/>
        <v>0.83497276937707354</v>
      </c>
      <c r="G88" s="4">
        <f t="shared" si="7"/>
        <v>4.9425824775193904E-3</v>
      </c>
    </row>
    <row r="89" spans="1:7" x14ac:dyDescent="0.3">
      <c r="A89" s="1">
        <v>35153</v>
      </c>
      <c r="B89">
        <v>0.84050000000000002</v>
      </c>
      <c r="C89">
        <f t="shared" si="4"/>
        <v>1.1897679952409279</v>
      </c>
      <c r="D89">
        <v>-36.24</v>
      </c>
      <c r="E89">
        <f t="shared" si="5"/>
        <v>1.1861439952409278</v>
      </c>
      <c r="F89">
        <f t="shared" si="6"/>
        <v>0.84306796140453544</v>
      </c>
      <c r="G89" s="4">
        <f t="shared" si="7"/>
        <v>6.6196537487684054E-3</v>
      </c>
    </row>
    <row r="90" spans="1:7" x14ac:dyDescent="0.3">
      <c r="A90" s="1">
        <v>35185</v>
      </c>
      <c r="B90">
        <v>0.80349999999999999</v>
      </c>
      <c r="C90">
        <f t="shared" si="4"/>
        <v>1.2445550715619167</v>
      </c>
      <c r="D90">
        <v>-38</v>
      </c>
      <c r="E90">
        <f t="shared" si="5"/>
        <v>1.2407550715619167</v>
      </c>
      <c r="F90">
        <f t="shared" si="6"/>
        <v>0.80596084023348491</v>
      </c>
      <c r="G90" s="4">
        <f t="shared" si="7"/>
        <v>-4.6933299823914504E-2</v>
      </c>
    </row>
    <row r="91" spans="1:7" x14ac:dyDescent="0.3">
      <c r="A91" s="1">
        <v>35216</v>
      </c>
      <c r="B91">
        <v>0.80089999999999995</v>
      </c>
      <c r="C91">
        <f t="shared" si="4"/>
        <v>1.2485953302534649</v>
      </c>
      <c r="D91">
        <v>-28.32</v>
      </c>
      <c r="E91">
        <f t="shared" si="5"/>
        <v>1.245763330253465</v>
      </c>
      <c r="F91">
        <f t="shared" si="6"/>
        <v>0.80272068996968982</v>
      </c>
      <c r="G91" s="4">
        <f t="shared" si="7"/>
        <v>-6.2792631860610635E-3</v>
      </c>
    </row>
    <row r="92" spans="1:7" x14ac:dyDescent="0.3">
      <c r="A92" s="1">
        <v>35244</v>
      </c>
      <c r="B92">
        <v>0.79710000000000003</v>
      </c>
      <c r="C92">
        <f t="shared" si="4"/>
        <v>1.2545477355413372</v>
      </c>
      <c r="D92">
        <v>-32.21</v>
      </c>
      <c r="E92">
        <f t="shared" si="5"/>
        <v>1.2513267355413373</v>
      </c>
      <c r="F92">
        <f t="shared" si="6"/>
        <v>0.7991517895343212</v>
      </c>
      <c r="G92" s="4">
        <f t="shared" si="7"/>
        <v>-7.0020494549629941E-3</v>
      </c>
    </row>
    <row r="93" spans="1:7" x14ac:dyDescent="0.3">
      <c r="A93" s="1">
        <v>35277</v>
      </c>
      <c r="B93">
        <v>0.83489999999999998</v>
      </c>
      <c r="C93">
        <f t="shared" si="4"/>
        <v>1.1977482333213558</v>
      </c>
      <c r="D93">
        <v>-30.44</v>
      </c>
      <c r="E93">
        <f t="shared" si="5"/>
        <v>1.1947042333213558</v>
      </c>
      <c r="F93">
        <f t="shared" si="6"/>
        <v>0.83702725085348928</v>
      </c>
      <c r="G93" s="4">
        <f t="shared" si="7"/>
        <v>4.4732691503462492E-2</v>
      </c>
    </row>
    <row r="94" spans="1:7" x14ac:dyDescent="0.3">
      <c r="A94" s="1">
        <v>35307</v>
      </c>
      <c r="B94">
        <v>0.83220000000000005</v>
      </c>
      <c r="C94">
        <f t="shared" si="4"/>
        <v>1.2016342225426579</v>
      </c>
      <c r="D94">
        <v>-33.1</v>
      </c>
      <c r="E94">
        <f t="shared" si="5"/>
        <v>1.198324222542658</v>
      </c>
      <c r="F94">
        <f t="shared" si="6"/>
        <v>0.83449869508450325</v>
      </c>
      <c r="G94" s="4">
        <f t="shared" si="7"/>
        <v>-5.7671370299677092E-3</v>
      </c>
    </row>
    <row r="95" spans="1:7" x14ac:dyDescent="0.3">
      <c r="A95" s="1">
        <v>35338</v>
      </c>
      <c r="B95">
        <v>0.79690000000000005</v>
      </c>
      <c r="C95">
        <f t="shared" si="4"/>
        <v>1.2548625925461161</v>
      </c>
      <c r="D95">
        <v>-46.27</v>
      </c>
      <c r="E95">
        <f t="shared" si="5"/>
        <v>1.2502355925461162</v>
      </c>
      <c r="F95">
        <f t="shared" si="6"/>
        <v>0.79984924918310063</v>
      </c>
      <c r="G95" s="4">
        <f t="shared" si="7"/>
        <v>-4.5055427055755749E-2</v>
      </c>
    </row>
    <row r="96" spans="1:7" x14ac:dyDescent="0.3">
      <c r="A96" s="1">
        <v>35369</v>
      </c>
      <c r="B96">
        <v>0.78820000000000001</v>
      </c>
      <c r="C96">
        <f t="shared" si="4"/>
        <v>1.2687135244861709</v>
      </c>
      <c r="D96">
        <v>-38.89</v>
      </c>
      <c r="E96">
        <f t="shared" si="5"/>
        <v>1.2648245244861709</v>
      </c>
      <c r="F96">
        <f t="shared" si="6"/>
        <v>0.79062350598099396</v>
      </c>
      <c r="G96" s="4">
        <f t="shared" si="7"/>
        <v>-1.4564305955151163E-2</v>
      </c>
    </row>
    <row r="97" spans="1:7" x14ac:dyDescent="0.3">
      <c r="A97" s="1">
        <v>35398</v>
      </c>
      <c r="B97">
        <v>0.76629999999999998</v>
      </c>
      <c r="C97">
        <f t="shared" si="4"/>
        <v>1.3049719431032234</v>
      </c>
      <c r="D97">
        <v>-38.44</v>
      </c>
      <c r="E97">
        <f t="shared" si="5"/>
        <v>1.3011279431032234</v>
      </c>
      <c r="F97">
        <f t="shared" si="6"/>
        <v>0.76856392586187516</v>
      </c>
      <c r="G97" s="4">
        <f t="shared" si="7"/>
        <v>-3.076496688624724E-2</v>
      </c>
    </row>
    <row r="98" spans="1:7" x14ac:dyDescent="0.3">
      <c r="A98" s="1">
        <v>35430</v>
      </c>
      <c r="B98">
        <v>0.74539999999999995</v>
      </c>
      <c r="C98">
        <f t="shared" si="4"/>
        <v>1.3415615776764154</v>
      </c>
      <c r="D98">
        <v>-42.4</v>
      </c>
      <c r="E98">
        <f t="shared" si="5"/>
        <v>1.3373215776764154</v>
      </c>
      <c r="F98">
        <f t="shared" si="6"/>
        <v>0.7477633029278502</v>
      </c>
      <c r="G98" s="4">
        <f t="shared" si="7"/>
        <v>-3.0139231210857258E-2</v>
      </c>
    </row>
    <row r="99" spans="1:7" x14ac:dyDescent="0.3">
      <c r="A99" s="1">
        <v>35461</v>
      </c>
      <c r="B99">
        <v>0.70299999999999996</v>
      </c>
      <c r="C99">
        <f t="shared" si="4"/>
        <v>1.4224751066856332</v>
      </c>
      <c r="D99">
        <v>-41.06</v>
      </c>
      <c r="E99">
        <f t="shared" si="5"/>
        <v>1.4183691066856332</v>
      </c>
      <c r="F99">
        <f t="shared" si="6"/>
        <v>0.70503509649666929</v>
      </c>
      <c r="G99" s="4">
        <f t="shared" si="7"/>
        <v>-5.986293089348E-2</v>
      </c>
    </row>
    <row r="100" spans="1:7" x14ac:dyDescent="0.3">
      <c r="A100" s="1">
        <v>35489</v>
      </c>
      <c r="B100">
        <v>0.67610000000000003</v>
      </c>
      <c r="C100">
        <f t="shared" si="4"/>
        <v>1.4790711433219936</v>
      </c>
      <c r="D100">
        <v>-46.74</v>
      </c>
      <c r="E100">
        <f t="shared" si="5"/>
        <v>1.4743971433219936</v>
      </c>
      <c r="F100">
        <f t="shared" si="6"/>
        <v>0.67824331085373657</v>
      </c>
      <c r="G100" s="4">
        <f t="shared" si="7"/>
        <v>-4.1040646969843365E-2</v>
      </c>
    </row>
    <row r="101" spans="1:7" x14ac:dyDescent="0.3">
      <c r="A101" s="1">
        <v>35520</v>
      </c>
      <c r="B101">
        <v>0.69020000000000004</v>
      </c>
      <c r="C101">
        <f t="shared" si="4"/>
        <v>1.4488554042306576</v>
      </c>
      <c r="D101">
        <v>-45.5</v>
      </c>
      <c r="E101">
        <f t="shared" si="5"/>
        <v>1.4443054042306576</v>
      </c>
      <c r="F101">
        <f t="shared" si="6"/>
        <v>0.69237433929887771</v>
      </c>
      <c r="G101" s="4">
        <f t="shared" si="7"/>
        <v>1.762890832083994E-2</v>
      </c>
    </row>
    <row r="102" spans="1:7" x14ac:dyDescent="0.3">
      <c r="A102" s="1">
        <v>35550</v>
      </c>
      <c r="B102">
        <v>0.67869999999999997</v>
      </c>
      <c r="C102">
        <f t="shared" si="4"/>
        <v>1.4734050390452336</v>
      </c>
      <c r="D102">
        <v>-49.91</v>
      </c>
      <c r="E102">
        <f t="shared" si="5"/>
        <v>1.4684140390452336</v>
      </c>
      <c r="F102">
        <f t="shared" si="6"/>
        <v>0.68100683690698194</v>
      </c>
      <c r="G102" s="4">
        <f t="shared" si="7"/>
        <v>-1.9749922148652774E-2</v>
      </c>
    </row>
    <row r="103" spans="1:7" x14ac:dyDescent="0.3">
      <c r="A103" s="1">
        <v>35580</v>
      </c>
      <c r="B103">
        <v>0.70709999999999995</v>
      </c>
      <c r="C103">
        <f t="shared" si="4"/>
        <v>1.4142271248762552</v>
      </c>
      <c r="D103">
        <v>-55.12</v>
      </c>
      <c r="E103">
        <f t="shared" si="5"/>
        <v>1.4087151248762553</v>
      </c>
      <c r="F103">
        <f t="shared" si="6"/>
        <v>0.70986673056970429</v>
      </c>
      <c r="G103" s="4">
        <f t="shared" si="7"/>
        <v>3.8315567008884603E-2</v>
      </c>
    </row>
    <row r="104" spans="1:7" x14ac:dyDescent="0.3">
      <c r="A104" s="1">
        <v>35611</v>
      </c>
      <c r="B104">
        <v>0.68410000000000004</v>
      </c>
      <c r="C104">
        <f t="shared" si="4"/>
        <v>1.46177459435755</v>
      </c>
      <c r="D104">
        <v>-57.49</v>
      </c>
      <c r="E104">
        <f t="shared" si="5"/>
        <v>1.45602559435755</v>
      </c>
      <c r="F104">
        <f t="shared" si="6"/>
        <v>0.68680111385077358</v>
      </c>
      <c r="G104" s="4">
        <f t="shared" si="7"/>
        <v>-3.629798307215374E-2</v>
      </c>
    </row>
    <row r="105" spans="1:7" x14ac:dyDescent="0.3">
      <c r="A105" s="1">
        <v>35642</v>
      </c>
      <c r="B105">
        <v>0.66120000000000001</v>
      </c>
      <c r="C105">
        <f t="shared" si="4"/>
        <v>1.5124016938898972</v>
      </c>
      <c r="D105">
        <v>-53.26</v>
      </c>
      <c r="E105">
        <f t="shared" si="5"/>
        <v>1.5070756938898973</v>
      </c>
      <c r="F105">
        <f t="shared" si="6"/>
        <v>0.66353667838601427</v>
      </c>
      <c r="G105" s="4">
        <f t="shared" si="7"/>
        <v>-3.7275877010787897E-2</v>
      </c>
    </row>
    <row r="106" spans="1:7" x14ac:dyDescent="0.3">
      <c r="A106" s="1">
        <v>35671</v>
      </c>
      <c r="B106">
        <v>0.67</v>
      </c>
      <c r="C106">
        <f t="shared" si="4"/>
        <v>1.4925373134328357</v>
      </c>
      <c r="D106">
        <v>-54.5</v>
      </c>
      <c r="E106">
        <f t="shared" si="5"/>
        <v>1.4870873134328357</v>
      </c>
      <c r="F106">
        <f t="shared" si="6"/>
        <v>0.67245547115291493</v>
      </c>
      <c r="G106" s="4">
        <f t="shared" si="7"/>
        <v>9.7407149062311797E-3</v>
      </c>
    </row>
    <row r="107" spans="1:7" x14ac:dyDescent="0.3">
      <c r="A107" s="1">
        <v>35703</v>
      </c>
      <c r="B107">
        <v>0.69079999999999997</v>
      </c>
      <c r="C107">
        <f t="shared" si="4"/>
        <v>1.4475969889982629</v>
      </c>
      <c r="D107">
        <v>-54.66</v>
      </c>
      <c r="E107">
        <f t="shared" si="5"/>
        <v>1.442130988998263</v>
      </c>
      <c r="F107">
        <f t="shared" si="6"/>
        <v>0.69341828698558294</v>
      </c>
      <c r="G107" s="4">
        <f t="shared" si="7"/>
        <v>2.7279916119402847E-2</v>
      </c>
    </row>
    <row r="108" spans="1:7" x14ac:dyDescent="0.3">
      <c r="A108" s="1">
        <v>35734</v>
      </c>
      <c r="B108">
        <v>0.71450000000000002</v>
      </c>
      <c r="C108">
        <f t="shared" si="4"/>
        <v>1.3995801259622114</v>
      </c>
      <c r="D108">
        <v>-45.25</v>
      </c>
      <c r="E108">
        <f t="shared" si="5"/>
        <v>1.3950551259622115</v>
      </c>
      <c r="F108">
        <f t="shared" si="6"/>
        <v>0.71681755178690154</v>
      </c>
      <c r="G108" s="4">
        <f t="shared" si="7"/>
        <v>3.0402591639258854E-2</v>
      </c>
    </row>
    <row r="109" spans="1:7" x14ac:dyDescent="0.3">
      <c r="A109" s="1">
        <v>35762</v>
      </c>
      <c r="B109">
        <v>0.70089999999999997</v>
      </c>
      <c r="C109">
        <f t="shared" si="4"/>
        <v>1.4267370523612499</v>
      </c>
      <c r="D109">
        <v>-54.86</v>
      </c>
      <c r="E109">
        <f t="shared" si="5"/>
        <v>1.4212510523612498</v>
      </c>
      <c r="F109">
        <f t="shared" si="6"/>
        <v>0.70360545966781285</v>
      </c>
      <c r="G109" s="4">
        <f t="shared" si="7"/>
        <v>-2.2205862213086E-2</v>
      </c>
    </row>
    <row r="110" spans="1:7" x14ac:dyDescent="0.3">
      <c r="A110" s="1">
        <v>35795</v>
      </c>
      <c r="B110">
        <v>0.68400000000000005</v>
      </c>
      <c r="C110">
        <f t="shared" si="4"/>
        <v>1.4619883040935671</v>
      </c>
      <c r="D110">
        <v>-55.98</v>
      </c>
      <c r="E110">
        <f t="shared" si="5"/>
        <v>1.4563903040935671</v>
      </c>
      <c r="F110">
        <f t="shared" si="6"/>
        <v>0.68662912489134098</v>
      </c>
      <c r="G110" s="4">
        <f t="shared" si="7"/>
        <v>-2.7864280184904978E-2</v>
      </c>
    </row>
    <row r="111" spans="1:7" x14ac:dyDescent="0.3">
      <c r="A111" s="1">
        <v>35825</v>
      </c>
      <c r="B111">
        <v>0.6774</v>
      </c>
      <c r="C111">
        <f t="shared" si="4"/>
        <v>1.4762326542663124</v>
      </c>
      <c r="D111">
        <v>-51.85</v>
      </c>
      <c r="E111">
        <f t="shared" si="5"/>
        <v>1.4710476542663125</v>
      </c>
      <c r="F111">
        <f t="shared" si="6"/>
        <v>0.67978763101236972</v>
      </c>
      <c r="G111" s="4">
        <f t="shared" si="7"/>
        <v>-1.3441208007017598E-2</v>
      </c>
    </row>
    <row r="112" spans="1:7" x14ac:dyDescent="0.3">
      <c r="A112" s="1">
        <v>35853</v>
      </c>
      <c r="B112">
        <v>0.6825</v>
      </c>
      <c r="C112">
        <f t="shared" si="4"/>
        <v>1.4652014652014651</v>
      </c>
      <c r="D112">
        <v>-60.43</v>
      </c>
      <c r="E112">
        <f t="shared" si="5"/>
        <v>1.4591584652014651</v>
      </c>
      <c r="F112">
        <f t="shared" si="6"/>
        <v>0.68532652473899103</v>
      </c>
      <c r="G112" s="4">
        <f t="shared" si="7"/>
        <v>3.9900240367582102E-3</v>
      </c>
    </row>
    <row r="113" spans="1:7" x14ac:dyDescent="0.3">
      <c r="A113" s="1">
        <v>35885</v>
      </c>
      <c r="B113">
        <v>0.65690000000000004</v>
      </c>
      <c r="C113">
        <f t="shared" si="4"/>
        <v>1.5223017202009437</v>
      </c>
      <c r="D113">
        <v>-57.22</v>
      </c>
      <c r="E113">
        <f t="shared" si="5"/>
        <v>1.5165797202009437</v>
      </c>
      <c r="F113">
        <f t="shared" si="6"/>
        <v>0.6593784597538348</v>
      </c>
      <c r="G113" s="4">
        <f t="shared" si="7"/>
        <v>-4.1478804209157567E-2</v>
      </c>
    </row>
    <row r="114" spans="1:7" x14ac:dyDescent="0.3">
      <c r="A114" s="1">
        <v>35915</v>
      </c>
      <c r="B114">
        <v>0.66610000000000003</v>
      </c>
      <c r="C114">
        <f t="shared" si="4"/>
        <v>1.501276084671971</v>
      </c>
      <c r="D114">
        <v>-53.77</v>
      </c>
      <c r="E114">
        <f t="shared" si="5"/>
        <v>1.4958990846719711</v>
      </c>
      <c r="F114">
        <f t="shared" si="6"/>
        <v>0.66849429232673507</v>
      </c>
      <c r="G114" s="4">
        <f t="shared" si="7"/>
        <v>1.0193751625848639E-2</v>
      </c>
    </row>
    <row r="115" spans="1:7" x14ac:dyDescent="0.3">
      <c r="A115" s="1">
        <v>35944</v>
      </c>
      <c r="B115">
        <v>0.67430000000000001</v>
      </c>
      <c r="C115">
        <f t="shared" si="4"/>
        <v>1.483019427554501</v>
      </c>
      <c r="D115">
        <v>-48.82</v>
      </c>
      <c r="E115">
        <f t="shared" si="5"/>
        <v>1.4781374275545009</v>
      </c>
      <c r="F115">
        <f t="shared" si="6"/>
        <v>0.67652708155455232</v>
      </c>
      <c r="G115" s="4">
        <f t="shared" si="7"/>
        <v>8.6847527943100574E-3</v>
      </c>
    </row>
    <row r="116" spans="1:7" x14ac:dyDescent="0.3">
      <c r="A116" s="1">
        <v>35976</v>
      </c>
      <c r="B116">
        <v>0.65780000000000005</v>
      </c>
      <c r="C116">
        <f t="shared" si="4"/>
        <v>1.5202189115232592</v>
      </c>
      <c r="D116">
        <v>-47.01</v>
      </c>
      <c r="E116">
        <f t="shared" si="5"/>
        <v>1.5155179115232591</v>
      </c>
      <c r="F116">
        <f t="shared" si="6"/>
        <v>0.65984043632641209</v>
      </c>
      <c r="G116" s="4">
        <f t="shared" si="7"/>
        <v>-2.7681200154649237E-2</v>
      </c>
    </row>
    <row r="117" spans="1:7" x14ac:dyDescent="0.3">
      <c r="A117" s="1">
        <v>36007</v>
      </c>
      <c r="B117">
        <v>0.67049999999999998</v>
      </c>
      <c r="C117">
        <f t="shared" si="4"/>
        <v>1.4914243102162565</v>
      </c>
      <c r="D117">
        <v>-48.73</v>
      </c>
      <c r="E117">
        <f t="shared" si="5"/>
        <v>1.4865513102162566</v>
      </c>
      <c r="F117">
        <f t="shared" si="6"/>
        <v>0.67269793725083371</v>
      </c>
      <c r="G117" s="4">
        <f t="shared" si="7"/>
        <v>1.615475967634512E-2</v>
      </c>
    </row>
    <row r="118" spans="1:7" x14ac:dyDescent="0.3">
      <c r="A118" s="1">
        <v>36038</v>
      </c>
      <c r="B118">
        <v>0.69840000000000002</v>
      </c>
      <c r="C118">
        <f t="shared" si="4"/>
        <v>1.43184421534937</v>
      </c>
      <c r="D118">
        <v>-49</v>
      </c>
      <c r="E118">
        <f t="shared" si="5"/>
        <v>1.4269442153493701</v>
      </c>
      <c r="F118">
        <f t="shared" si="6"/>
        <v>0.70079824371772093</v>
      </c>
      <c r="G118" s="4">
        <f t="shared" si="7"/>
        <v>3.8207435055033621E-2</v>
      </c>
    </row>
    <row r="119" spans="1:7" x14ac:dyDescent="0.3">
      <c r="A119" s="1">
        <v>36068</v>
      </c>
      <c r="B119">
        <v>0.72540000000000004</v>
      </c>
      <c r="C119">
        <f t="shared" si="4"/>
        <v>1.3785497656465397</v>
      </c>
      <c r="D119">
        <v>-47.26</v>
      </c>
      <c r="E119">
        <f t="shared" si="5"/>
        <v>1.3738237656465397</v>
      </c>
      <c r="F119">
        <f t="shared" si="6"/>
        <v>0.72789540041868961</v>
      </c>
      <c r="G119" s="4">
        <f t="shared" si="7"/>
        <v>3.5105333814433218E-2</v>
      </c>
    </row>
    <row r="120" spans="1:7" x14ac:dyDescent="0.3">
      <c r="A120" s="1">
        <v>36098</v>
      </c>
      <c r="B120">
        <v>0.7399</v>
      </c>
      <c r="C120">
        <f t="shared" si="4"/>
        <v>1.3515339910798756</v>
      </c>
      <c r="D120">
        <v>-47.53</v>
      </c>
      <c r="E120">
        <f t="shared" si="5"/>
        <v>1.3467809910798756</v>
      </c>
      <c r="F120">
        <f t="shared" si="6"/>
        <v>0.74251122240608713</v>
      </c>
      <c r="G120" s="4">
        <f t="shared" si="7"/>
        <v>1.6492204201874718E-2</v>
      </c>
    </row>
    <row r="121" spans="1:7" x14ac:dyDescent="0.3">
      <c r="A121" s="1">
        <v>36129</v>
      </c>
      <c r="B121">
        <v>0.71740000000000004</v>
      </c>
      <c r="C121">
        <f t="shared" si="4"/>
        <v>1.3939224979091163</v>
      </c>
      <c r="D121">
        <v>-48.41</v>
      </c>
      <c r="E121">
        <f t="shared" si="5"/>
        <v>1.3890814979091162</v>
      </c>
      <c r="F121">
        <f t="shared" si="6"/>
        <v>0.71990016532883605</v>
      </c>
      <c r="G121" s="4">
        <f t="shared" si="7"/>
        <v>-3.3819316999297161E-2</v>
      </c>
    </row>
    <row r="122" spans="1:7" x14ac:dyDescent="0.3">
      <c r="A122" s="1">
        <v>36160</v>
      </c>
      <c r="B122">
        <v>0.72709999999999997</v>
      </c>
      <c r="C122">
        <f t="shared" si="4"/>
        <v>1.3753266400770183</v>
      </c>
      <c r="D122">
        <v>-44.97</v>
      </c>
      <c r="E122">
        <f t="shared" si="5"/>
        <v>1.3708296400770184</v>
      </c>
      <c r="F122">
        <f t="shared" si="6"/>
        <v>0.72948524803112391</v>
      </c>
      <c r="G122" s="4">
        <f t="shared" si="7"/>
        <v>1.0001157129718365E-2</v>
      </c>
    </row>
    <row r="123" spans="1:7" x14ac:dyDescent="0.3">
      <c r="A123" s="1">
        <v>36189</v>
      </c>
      <c r="B123">
        <v>0.70620000000000005</v>
      </c>
      <c r="C123">
        <f t="shared" si="4"/>
        <v>1.416029453412631</v>
      </c>
      <c r="D123">
        <v>-41</v>
      </c>
      <c r="E123">
        <f t="shared" si="5"/>
        <v>1.411929453412631</v>
      </c>
      <c r="F123">
        <f t="shared" si="6"/>
        <v>0.708250683193131</v>
      </c>
      <c r="G123" s="4">
        <f t="shared" si="7"/>
        <v>-3.1920108177609624E-2</v>
      </c>
    </row>
    <row r="124" spans="1:7" x14ac:dyDescent="0.3">
      <c r="A124" s="1">
        <v>36217</v>
      </c>
      <c r="B124">
        <v>0.69140000000000001</v>
      </c>
      <c r="C124">
        <f t="shared" si="4"/>
        <v>1.4463407578825571</v>
      </c>
      <c r="D124">
        <v>-51.25</v>
      </c>
      <c r="E124">
        <f t="shared" si="5"/>
        <v>1.4412157578825571</v>
      </c>
      <c r="F124">
        <f t="shared" si="6"/>
        <v>0.69385863603740083</v>
      </c>
      <c r="G124" s="4">
        <f t="shared" si="7"/>
        <v>-2.3791975910506847E-2</v>
      </c>
    </row>
    <row r="125" spans="1:7" x14ac:dyDescent="0.3">
      <c r="A125" s="1">
        <v>36250</v>
      </c>
      <c r="B125">
        <v>0.67469999999999997</v>
      </c>
      <c r="C125">
        <f t="shared" si="4"/>
        <v>1.4821402104639099</v>
      </c>
      <c r="D125">
        <v>-46.1</v>
      </c>
      <c r="E125">
        <f t="shared" si="5"/>
        <v>1.4775302104639099</v>
      </c>
      <c r="F125">
        <f t="shared" si="6"/>
        <v>0.67680511228668783</v>
      </c>
      <c r="G125" s="4">
        <f t="shared" si="7"/>
        <v>-2.761172815663876E-2</v>
      </c>
    </row>
    <row r="126" spans="1:7" x14ac:dyDescent="0.3">
      <c r="A126" s="1">
        <v>36280</v>
      </c>
      <c r="B126">
        <v>0.65549999999999997</v>
      </c>
      <c r="C126">
        <f t="shared" si="4"/>
        <v>1.5255530129672006</v>
      </c>
      <c r="D126">
        <v>-50</v>
      </c>
      <c r="E126">
        <f t="shared" si="5"/>
        <v>1.5205530129672007</v>
      </c>
      <c r="F126">
        <f t="shared" si="6"/>
        <v>0.65765546578912382</v>
      </c>
      <c r="G126" s="4">
        <f t="shared" si="7"/>
        <v>-3.1478947040907139E-2</v>
      </c>
    </row>
    <row r="127" spans="1:7" x14ac:dyDescent="0.3">
      <c r="A127" s="1">
        <v>36311</v>
      </c>
      <c r="B127">
        <v>0.65510000000000002</v>
      </c>
      <c r="C127">
        <f t="shared" si="4"/>
        <v>1.5264845061822623</v>
      </c>
      <c r="D127">
        <v>-49</v>
      </c>
      <c r="E127">
        <f t="shared" si="5"/>
        <v>1.5215845061822624</v>
      </c>
      <c r="F127">
        <f t="shared" si="6"/>
        <v>0.65720963636062113</v>
      </c>
      <c r="G127" s="4">
        <f t="shared" si="7"/>
        <v>-3.8857212051868007E-3</v>
      </c>
    </row>
    <row r="128" spans="1:7" x14ac:dyDescent="0.3">
      <c r="A128" s="1">
        <v>36341</v>
      </c>
      <c r="B128">
        <v>0.6462</v>
      </c>
      <c r="C128">
        <f t="shared" si="4"/>
        <v>1.5475085112968121</v>
      </c>
      <c r="D128">
        <v>-54</v>
      </c>
      <c r="E128">
        <f t="shared" si="5"/>
        <v>1.542108511296812</v>
      </c>
      <c r="F128">
        <f t="shared" si="6"/>
        <v>0.64846279796424033</v>
      </c>
      <c r="G128" s="4">
        <f t="shared" si="7"/>
        <v>-1.6752092105021987E-2</v>
      </c>
    </row>
    <row r="129" spans="1:7" x14ac:dyDescent="0.3">
      <c r="A129" s="1">
        <v>36371</v>
      </c>
      <c r="B129">
        <v>0.67079999999999995</v>
      </c>
      <c r="C129">
        <f t="shared" si="4"/>
        <v>1.4907573047107932</v>
      </c>
      <c r="D129">
        <v>-53.55</v>
      </c>
      <c r="E129">
        <f t="shared" si="5"/>
        <v>1.4854023047107932</v>
      </c>
      <c r="F129">
        <f t="shared" si="6"/>
        <v>0.67321829031004454</v>
      </c>
      <c r="G129" s="4">
        <f t="shared" si="7"/>
        <v>3.4446389377901385E-2</v>
      </c>
    </row>
    <row r="130" spans="1:7" x14ac:dyDescent="0.3">
      <c r="A130" s="1">
        <v>36403</v>
      </c>
      <c r="B130">
        <v>0.6603</v>
      </c>
      <c r="C130">
        <f t="shared" si="4"/>
        <v>1.5144631228229593</v>
      </c>
      <c r="D130">
        <v>-59.58</v>
      </c>
      <c r="E130">
        <f t="shared" si="5"/>
        <v>1.5085051228229593</v>
      </c>
      <c r="F130">
        <f t="shared" si="6"/>
        <v>0.66290792445479929</v>
      </c>
      <c r="G130" s="4">
        <f t="shared" si="7"/>
        <v>-1.9188858199463272E-2</v>
      </c>
    </row>
    <row r="131" spans="1:7" x14ac:dyDescent="0.3">
      <c r="A131" s="1">
        <v>36433</v>
      </c>
      <c r="B131">
        <v>0.66879999999999995</v>
      </c>
      <c r="C131">
        <f t="shared" ref="C131:C194" si="8">1/B131</f>
        <v>1.4952153110047848</v>
      </c>
      <c r="D131">
        <v>-53.85</v>
      </c>
      <c r="E131">
        <f t="shared" ref="E131:E194" si="9">C131+D131/10^4</f>
        <v>1.4898303110047848</v>
      </c>
      <c r="F131">
        <f t="shared" ref="F131:F194" si="10">1/E131</f>
        <v>0.67121738134430287</v>
      </c>
      <c r="G131" s="4">
        <f t="shared" si="7"/>
        <v>8.8882261439950754E-3</v>
      </c>
    </row>
    <row r="132" spans="1:7" x14ac:dyDescent="0.3">
      <c r="A132" s="1">
        <v>36462</v>
      </c>
      <c r="B132">
        <v>0.65749999999999997</v>
      </c>
      <c r="C132">
        <f t="shared" si="8"/>
        <v>1.5209125475285172</v>
      </c>
      <c r="D132">
        <v>-52.78</v>
      </c>
      <c r="E132">
        <f t="shared" si="9"/>
        <v>1.5156345475285173</v>
      </c>
      <c r="F132">
        <f t="shared" si="10"/>
        <v>0.65978965815384627</v>
      </c>
      <c r="G132" s="4">
        <f t="shared" ref="G132:G195" si="11">(B132-F131)/F131</f>
        <v>-2.0436570514354012E-2</v>
      </c>
    </row>
    <row r="133" spans="1:7" x14ac:dyDescent="0.3">
      <c r="A133" s="1">
        <v>36494</v>
      </c>
      <c r="B133">
        <v>0.63039999999999996</v>
      </c>
      <c r="C133">
        <f t="shared" si="8"/>
        <v>1.586294416243655</v>
      </c>
      <c r="D133">
        <v>-63</v>
      </c>
      <c r="E133">
        <f t="shared" si="9"/>
        <v>1.579994416243655</v>
      </c>
      <c r="F133">
        <f t="shared" si="10"/>
        <v>0.63291362913638771</v>
      </c>
      <c r="G133" s="4">
        <f t="shared" si="11"/>
        <v>-4.4543981238022654E-2</v>
      </c>
    </row>
    <row r="134" spans="1:7" x14ac:dyDescent="0.3">
      <c r="A134" s="1">
        <v>36525</v>
      </c>
      <c r="B134">
        <v>0.62870000000000004</v>
      </c>
      <c r="C134">
        <f t="shared" si="8"/>
        <v>1.5905837442341337</v>
      </c>
      <c r="D134">
        <v>-61.85</v>
      </c>
      <c r="E134">
        <f t="shared" si="9"/>
        <v>1.5843987442341336</v>
      </c>
      <c r="F134">
        <f t="shared" si="10"/>
        <v>0.6311542492943466</v>
      </c>
      <c r="G134" s="4">
        <f t="shared" si="11"/>
        <v>-6.6575105076141011E-3</v>
      </c>
    </row>
    <row r="135" spans="1:7" x14ac:dyDescent="0.3">
      <c r="A135" s="1">
        <v>36556</v>
      </c>
      <c r="B135">
        <v>0.60329999999999995</v>
      </c>
      <c r="C135">
        <f t="shared" si="8"/>
        <v>1.6575501408917621</v>
      </c>
      <c r="D135">
        <v>-50.1</v>
      </c>
      <c r="E135">
        <f t="shared" si="9"/>
        <v>1.6525401408917622</v>
      </c>
      <c r="F135">
        <f t="shared" si="10"/>
        <v>0.60512902243958133</v>
      </c>
      <c r="G135" s="4">
        <f t="shared" si="11"/>
        <v>-4.4132237603547342E-2</v>
      </c>
    </row>
    <row r="136" spans="1:7" x14ac:dyDescent="0.3">
      <c r="A136" s="1">
        <v>36585</v>
      </c>
      <c r="B136">
        <v>0.60050000000000003</v>
      </c>
      <c r="C136">
        <f t="shared" si="8"/>
        <v>1.665278934221482</v>
      </c>
      <c r="D136">
        <v>-55.3</v>
      </c>
      <c r="E136">
        <f t="shared" si="9"/>
        <v>1.659748934221482</v>
      </c>
      <c r="F136">
        <f t="shared" si="10"/>
        <v>0.60250076344773051</v>
      </c>
      <c r="G136" s="4">
        <f t="shared" si="11"/>
        <v>-7.6496453944968068E-3</v>
      </c>
    </row>
    <row r="137" spans="1:7" x14ac:dyDescent="0.3">
      <c r="A137" s="1">
        <v>36616</v>
      </c>
      <c r="B137">
        <v>0.60050000000000003</v>
      </c>
      <c r="C137">
        <f t="shared" si="8"/>
        <v>1.665278934221482</v>
      </c>
      <c r="D137">
        <v>-48.75</v>
      </c>
      <c r="E137">
        <f t="shared" si="9"/>
        <v>1.660403934221482</v>
      </c>
      <c r="F137">
        <f t="shared" si="10"/>
        <v>0.60226308754735192</v>
      </c>
      <c r="G137" s="4">
        <f t="shared" si="11"/>
        <v>-3.3207649999999625E-3</v>
      </c>
    </row>
    <row r="138" spans="1:7" x14ac:dyDescent="0.3">
      <c r="A138" s="1">
        <v>36644</v>
      </c>
      <c r="B138">
        <v>0.5827</v>
      </c>
      <c r="C138">
        <f t="shared" si="8"/>
        <v>1.7161489617298782</v>
      </c>
      <c r="D138">
        <v>-51.15</v>
      </c>
      <c r="E138">
        <f t="shared" si="9"/>
        <v>1.7110339617298782</v>
      </c>
      <c r="F138">
        <f t="shared" si="10"/>
        <v>0.58444193532487609</v>
      </c>
      <c r="G138" s="4">
        <f t="shared" si="11"/>
        <v>-3.248262752914241E-2</v>
      </c>
    </row>
    <row r="139" spans="1:7" x14ac:dyDescent="0.3">
      <c r="A139" s="1">
        <v>36677</v>
      </c>
      <c r="B139">
        <v>0.59519999999999995</v>
      </c>
      <c r="C139">
        <f t="shared" si="8"/>
        <v>1.6801075268817205</v>
      </c>
      <c r="D139">
        <v>-54.3</v>
      </c>
      <c r="E139">
        <f t="shared" si="9"/>
        <v>1.6746775268817204</v>
      </c>
      <c r="F139">
        <f t="shared" si="10"/>
        <v>0.59712988557386204</v>
      </c>
      <c r="G139" s="4">
        <f t="shared" si="11"/>
        <v>1.8407414021623429E-2</v>
      </c>
    </row>
    <row r="140" spans="1:7" x14ac:dyDescent="0.3">
      <c r="A140" s="1">
        <v>36707</v>
      </c>
      <c r="B140">
        <v>0.61250000000000004</v>
      </c>
      <c r="C140">
        <f t="shared" si="8"/>
        <v>1.6326530612244896</v>
      </c>
      <c r="D140">
        <v>-51</v>
      </c>
      <c r="E140">
        <f t="shared" si="9"/>
        <v>1.6275530612244895</v>
      </c>
      <c r="F140">
        <f t="shared" si="10"/>
        <v>0.61441929226421044</v>
      </c>
      <c r="G140" s="4">
        <f t="shared" si="11"/>
        <v>2.5739985215053846E-2</v>
      </c>
    </row>
    <row r="141" spans="1:7" x14ac:dyDescent="0.3">
      <c r="A141" s="1">
        <v>36738</v>
      </c>
      <c r="B141">
        <v>0.59889999999999999</v>
      </c>
      <c r="C141">
        <f t="shared" si="8"/>
        <v>1.6697278343629989</v>
      </c>
      <c r="D141">
        <v>-52.45</v>
      </c>
      <c r="E141">
        <f t="shared" si="9"/>
        <v>1.6644828343629989</v>
      </c>
      <c r="F141">
        <f t="shared" si="10"/>
        <v>0.60078721111155353</v>
      </c>
      <c r="G141" s="4">
        <f t="shared" si="11"/>
        <v>-2.5258471632653254E-2</v>
      </c>
    </row>
    <row r="142" spans="1:7" x14ac:dyDescent="0.3">
      <c r="A142" s="1">
        <v>36769</v>
      </c>
      <c r="B142">
        <v>0.57389999999999997</v>
      </c>
      <c r="C142">
        <f t="shared" si="8"/>
        <v>1.7424638438752398</v>
      </c>
      <c r="D142">
        <v>-48.6</v>
      </c>
      <c r="E142">
        <f t="shared" si="9"/>
        <v>1.7376038438752397</v>
      </c>
      <c r="F142">
        <f t="shared" si="10"/>
        <v>0.57550517255404976</v>
      </c>
      <c r="G142" s="4">
        <f t="shared" si="11"/>
        <v>-4.4753301359074994E-2</v>
      </c>
    </row>
    <row r="143" spans="1:7" x14ac:dyDescent="0.3">
      <c r="A143" s="1">
        <v>36798</v>
      </c>
      <c r="B143">
        <v>0.57979999999999998</v>
      </c>
      <c r="C143">
        <f t="shared" si="8"/>
        <v>1.7247326664367024</v>
      </c>
      <c r="D143">
        <v>-49.35</v>
      </c>
      <c r="E143">
        <f t="shared" si="9"/>
        <v>1.7197976664367025</v>
      </c>
      <c r="F143">
        <f t="shared" si="10"/>
        <v>0.58146374978629223</v>
      </c>
      <c r="G143" s="4">
        <f t="shared" si="11"/>
        <v>7.4627086788639843E-3</v>
      </c>
    </row>
    <row r="144" spans="1:7" x14ac:dyDescent="0.3">
      <c r="A144" s="1">
        <v>36830</v>
      </c>
      <c r="B144">
        <v>0.55649999999999999</v>
      </c>
      <c r="C144">
        <f t="shared" si="8"/>
        <v>1.7969451931716083</v>
      </c>
      <c r="D144">
        <v>-54</v>
      </c>
      <c r="E144">
        <f t="shared" si="9"/>
        <v>1.7915451931716082</v>
      </c>
      <c r="F144">
        <f t="shared" si="10"/>
        <v>0.55817737884115559</v>
      </c>
      <c r="G144" s="4">
        <f t="shared" si="11"/>
        <v>-4.2932598627975112E-2</v>
      </c>
    </row>
    <row r="145" spans="1:7" x14ac:dyDescent="0.3">
      <c r="A145" s="1">
        <v>36860</v>
      </c>
      <c r="B145">
        <v>0.57820000000000005</v>
      </c>
      <c r="C145">
        <f t="shared" si="8"/>
        <v>1.7295053614666205</v>
      </c>
      <c r="D145">
        <v>-49.35</v>
      </c>
      <c r="E145">
        <f t="shared" si="9"/>
        <v>1.7245703614666206</v>
      </c>
      <c r="F145">
        <f t="shared" si="10"/>
        <v>0.57985456687865922</v>
      </c>
      <c r="G145" s="4">
        <f t="shared" si="11"/>
        <v>3.587143069182392E-2</v>
      </c>
    </row>
    <row r="146" spans="1:7" x14ac:dyDescent="0.3">
      <c r="A146" s="1">
        <v>36889</v>
      </c>
      <c r="B146">
        <v>0.62070000000000003</v>
      </c>
      <c r="C146">
        <f t="shared" si="8"/>
        <v>1.6110842597067825</v>
      </c>
      <c r="D146">
        <v>-45.4</v>
      </c>
      <c r="E146">
        <f t="shared" si="9"/>
        <v>1.6065442597067825</v>
      </c>
      <c r="F146">
        <f t="shared" si="10"/>
        <v>0.62245406185231056</v>
      </c>
      <c r="G146" s="4">
        <f t="shared" si="11"/>
        <v>7.0440823362331401E-2</v>
      </c>
    </row>
    <row r="147" spans="1:7" x14ac:dyDescent="0.3">
      <c r="A147" s="1">
        <v>36922</v>
      </c>
      <c r="B147">
        <v>0.61150000000000004</v>
      </c>
      <c r="C147">
        <f t="shared" si="8"/>
        <v>1.6353229762878168</v>
      </c>
      <c r="D147">
        <v>-26.7</v>
      </c>
      <c r="E147">
        <f t="shared" si="9"/>
        <v>1.6326529762878168</v>
      </c>
      <c r="F147">
        <f t="shared" si="10"/>
        <v>0.6125000318645254</v>
      </c>
      <c r="G147" s="4">
        <f t="shared" si="11"/>
        <v>-1.7598185189302503E-2</v>
      </c>
    </row>
    <row r="148" spans="1:7" x14ac:dyDescent="0.3">
      <c r="A148" s="1">
        <v>36950</v>
      </c>
      <c r="B148">
        <v>0.59940000000000004</v>
      </c>
      <c r="C148">
        <f t="shared" si="8"/>
        <v>1.6683350016683349</v>
      </c>
      <c r="D148">
        <v>-26.5</v>
      </c>
      <c r="E148">
        <f t="shared" si="9"/>
        <v>1.6656850016683349</v>
      </c>
      <c r="F148">
        <f t="shared" si="10"/>
        <v>0.60035360767396539</v>
      </c>
      <c r="G148" s="4">
        <f t="shared" si="11"/>
        <v>-2.1387806013082555E-2</v>
      </c>
    </row>
    <row r="149" spans="1:7" x14ac:dyDescent="0.3">
      <c r="A149" s="1">
        <v>36980</v>
      </c>
      <c r="B149">
        <v>0.57379999999999998</v>
      </c>
      <c r="C149">
        <f t="shared" si="8"/>
        <v>1.742767514813524</v>
      </c>
      <c r="D149">
        <v>-24.4</v>
      </c>
      <c r="E149">
        <f t="shared" si="9"/>
        <v>1.740327514813524</v>
      </c>
      <c r="F149">
        <f t="shared" si="10"/>
        <v>0.57460448765423899</v>
      </c>
      <c r="G149" s="4">
        <f t="shared" si="11"/>
        <v>-4.4229946042709405E-2</v>
      </c>
    </row>
    <row r="150" spans="1:7" x14ac:dyDescent="0.3">
      <c r="A150" s="1">
        <v>37011</v>
      </c>
      <c r="B150">
        <v>0.57709999999999995</v>
      </c>
      <c r="C150">
        <f t="shared" si="8"/>
        <v>1.7328019407381738</v>
      </c>
      <c r="D150">
        <v>-20.100000000000001</v>
      </c>
      <c r="E150">
        <f t="shared" si="9"/>
        <v>1.7307919407381738</v>
      </c>
      <c r="F150">
        <f t="shared" si="10"/>
        <v>0.57777019667280471</v>
      </c>
      <c r="G150" s="4">
        <f t="shared" si="11"/>
        <v>4.3430087988846266E-3</v>
      </c>
    </row>
    <row r="151" spans="1:7" x14ac:dyDescent="0.3">
      <c r="A151" s="1">
        <v>37042</v>
      </c>
      <c r="B151">
        <v>0.55659999999999998</v>
      </c>
      <c r="C151">
        <f t="shared" si="8"/>
        <v>1.7966223499820337</v>
      </c>
      <c r="D151">
        <v>-11.4</v>
      </c>
      <c r="E151">
        <f t="shared" si="9"/>
        <v>1.7954823499820338</v>
      </c>
      <c r="F151">
        <f t="shared" si="10"/>
        <v>0.55695340029937157</v>
      </c>
      <c r="G151" s="4">
        <f t="shared" si="11"/>
        <v>-3.6641205785132532E-2</v>
      </c>
    </row>
    <row r="152" spans="1:7" x14ac:dyDescent="0.3">
      <c r="A152" s="1">
        <v>37071</v>
      </c>
      <c r="B152">
        <v>0.55779999999999996</v>
      </c>
      <c r="C152">
        <f t="shared" si="8"/>
        <v>1.7927572606669058</v>
      </c>
      <c r="D152">
        <v>-8.6999999999999993</v>
      </c>
      <c r="E152">
        <f t="shared" si="9"/>
        <v>1.7918872606669058</v>
      </c>
      <c r="F152">
        <f t="shared" si="10"/>
        <v>0.55807082395787522</v>
      </c>
      <c r="G152" s="4">
        <f t="shared" si="11"/>
        <v>1.5200548199783516E-3</v>
      </c>
    </row>
    <row r="153" spans="1:7" x14ac:dyDescent="0.3">
      <c r="A153" s="1">
        <v>37103</v>
      </c>
      <c r="B153">
        <v>0.57930000000000004</v>
      </c>
      <c r="C153">
        <f t="shared" si="8"/>
        <v>1.7262213015708612</v>
      </c>
      <c r="D153">
        <v>-7.5</v>
      </c>
      <c r="E153">
        <f t="shared" si="9"/>
        <v>1.7254713015708611</v>
      </c>
      <c r="F153">
        <f t="shared" si="10"/>
        <v>0.57955180076863899</v>
      </c>
      <c r="G153" s="4">
        <f t="shared" si="11"/>
        <v>3.8040290104338549E-2</v>
      </c>
    </row>
    <row r="154" spans="1:7" x14ac:dyDescent="0.3">
      <c r="A154" s="1">
        <v>37134</v>
      </c>
      <c r="B154">
        <v>0.60189999999999999</v>
      </c>
      <c r="C154">
        <f t="shared" si="8"/>
        <v>1.6614055490945341</v>
      </c>
      <c r="D154">
        <v>-3.45</v>
      </c>
      <c r="E154">
        <f t="shared" si="9"/>
        <v>1.661060549094534</v>
      </c>
      <c r="F154">
        <f t="shared" si="10"/>
        <v>0.60202501380525419</v>
      </c>
      <c r="G154" s="4">
        <f t="shared" si="11"/>
        <v>3.8561176415501386E-2</v>
      </c>
    </row>
    <row r="155" spans="1:7" x14ac:dyDescent="0.3">
      <c r="A155" s="1">
        <v>37162</v>
      </c>
      <c r="B155">
        <v>0.61719999999999997</v>
      </c>
      <c r="C155">
        <f t="shared" si="8"/>
        <v>1.6202203499675956</v>
      </c>
      <c r="D155">
        <v>-5.2</v>
      </c>
      <c r="E155">
        <f t="shared" si="9"/>
        <v>1.6197003499675955</v>
      </c>
      <c r="F155">
        <f t="shared" si="10"/>
        <v>0.61739815023192812</v>
      </c>
      <c r="G155" s="4">
        <f t="shared" si="11"/>
        <v>2.5206570901146395E-2</v>
      </c>
    </row>
    <row r="156" spans="1:7" x14ac:dyDescent="0.3">
      <c r="A156" s="1">
        <v>37195</v>
      </c>
      <c r="B156">
        <v>0.61199999999999999</v>
      </c>
      <c r="C156">
        <f t="shared" si="8"/>
        <v>1.6339869281045751</v>
      </c>
      <c r="D156">
        <v>-1.6</v>
      </c>
      <c r="E156">
        <f t="shared" si="9"/>
        <v>1.6338269281045752</v>
      </c>
      <c r="F156">
        <f t="shared" si="10"/>
        <v>0.61205993290863037</v>
      </c>
      <c r="G156" s="4">
        <f t="shared" si="11"/>
        <v>-8.743385819831655E-3</v>
      </c>
    </row>
    <row r="157" spans="1:7" x14ac:dyDescent="0.3">
      <c r="A157" s="1">
        <v>37225</v>
      </c>
      <c r="B157">
        <v>0.60919999999999996</v>
      </c>
      <c r="C157">
        <f t="shared" si="8"/>
        <v>1.6414970453053186</v>
      </c>
      <c r="D157">
        <v>0.5</v>
      </c>
      <c r="E157">
        <f t="shared" si="9"/>
        <v>1.6415470453053187</v>
      </c>
      <c r="F157">
        <f t="shared" si="10"/>
        <v>0.60918144433320554</v>
      </c>
      <c r="G157" s="4">
        <f t="shared" si="11"/>
        <v>-4.6726353986927937E-3</v>
      </c>
    </row>
    <row r="158" spans="1:7" x14ac:dyDescent="0.3">
      <c r="A158" s="1">
        <v>37256</v>
      </c>
      <c r="B158">
        <v>0.60229999999999995</v>
      </c>
      <c r="C158">
        <f t="shared" si="8"/>
        <v>1.6603021749958493</v>
      </c>
      <c r="D158">
        <v>-1.5</v>
      </c>
      <c r="E158">
        <f t="shared" si="9"/>
        <v>1.6601521749958492</v>
      </c>
      <c r="F158">
        <f t="shared" si="10"/>
        <v>0.60235441971004866</v>
      </c>
      <c r="G158" s="4">
        <f t="shared" si="11"/>
        <v>-1.1296214612606662E-2</v>
      </c>
    </row>
    <row r="159" spans="1:7" x14ac:dyDescent="0.3">
      <c r="A159" s="1">
        <v>37287</v>
      </c>
      <c r="B159">
        <v>0.58179999999999998</v>
      </c>
      <c r="C159">
        <f t="shared" si="8"/>
        <v>1.7188037126160194</v>
      </c>
      <c r="D159">
        <v>-3.15</v>
      </c>
      <c r="E159">
        <f t="shared" si="9"/>
        <v>1.7184887126160193</v>
      </c>
      <c r="F159">
        <f t="shared" si="10"/>
        <v>0.58190664428497818</v>
      </c>
      <c r="G159" s="4">
        <f t="shared" si="11"/>
        <v>-3.4123464587414866E-2</v>
      </c>
    </row>
    <row r="160" spans="1:7" x14ac:dyDescent="0.3">
      <c r="A160" s="1">
        <v>37315</v>
      </c>
      <c r="B160">
        <v>0.58919999999999995</v>
      </c>
      <c r="C160">
        <f t="shared" si="8"/>
        <v>1.697216564833673</v>
      </c>
      <c r="D160">
        <v>-2</v>
      </c>
      <c r="E160">
        <f t="shared" si="9"/>
        <v>1.697016564833673</v>
      </c>
      <c r="F160">
        <f t="shared" si="10"/>
        <v>0.58926943951075184</v>
      </c>
      <c r="G160" s="4">
        <f t="shared" si="11"/>
        <v>1.2533549473358441E-2</v>
      </c>
    </row>
    <row r="161" spans="1:7" x14ac:dyDescent="0.3">
      <c r="A161" s="1">
        <v>37344</v>
      </c>
      <c r="B161">
        <v>0.5948</v>
      </c>
      <c r="C161">
        <f t="shared" si="8"/>
        <v>1.6812373907195697</v>
      </c>
      <c r="D161">
        <v>-5</v>
      </c>
      <c r="E161">
        <f t="shared" si="9"/>
        <v>1.6807373907195697</v>
      </c>
      <c r="F161">
        <f t="shared" si="10"/>
        <v>0.59497694614378316</v>
      </c>
      <c r="G161" s="4">
        <f t="shared" si="11"/>
        <v>9.3854527630687495E-3</v>
      </c>
    </row>
    <row r="162" spans="1:7" x14ac:dyDescent="0.3">
      <c r="A162" s="1">
        <v>37376</v>
      </c>
      <c r="B162">
        <v>0.61850000000000005</v>
      </c>
      <c r="C162">
        <f t="shared" si="8"/>
        <v>1.6168148746968471</v>
      </c>
      <c r="D162">
        <v>-5.05</v>
      </c>
      <c r="E162">
        <f t="shared" si="9"/>
        <v>1.6163098746968472</v>
      </c>
      <c r="F162">
        <f t="shared" si="10"/>
        <v>0.6186932441946249</v>
      </c>
      <c r="G162" s="4">
        <f t="shared" si="11"/>
        <v>3.953607616005389E-2</v>
      </c>
    </row>
    <row r="163" spans="1:7" x14ac:dyDescent="0.3">
      <c r="A163" s="1">
        <v>37407</v>
      </c>
      <c r="B163">
        <v>0.63780000000000003</v>
      </c>
      <c r="C163">
        <f t="shared" si="8"/>
        <v>1.5678896205707118</v>
      </c>
      <c r="D163">
        <v>-8.85</v>
      </c>
      <c r="E163">
        <f t="shared" si="9"/>
        <v>1.5670046205707118</v>
      </c>
      <c r="F163">
        <f t="shared" si="10"/>
        <v>0.63816021144583124</v>
      </c>
      <c r="G163" s="4">
        <f t="shared" si="11"/>
        <v>3.0882438081649134E-2</v>
      </c>
    </row>
    <row r="164" spans="1:7" x14ac:dyDescent="0.3">
      <c r="A164" s="1">
        <v>37435</v>
      </c>
      <c r="B164">
        <v>0.67530000000000001</v>
      </c>
      <c r="C164">
        <f t="shared" si="8"/>
        <v>1.4808233377758033</v>
      </c>
      <c r="D164">
        <v>-8.65</v>
      </c>
      <c r="E164">
        <f t="shared" si="9"/>
        <v>1.4799583377758034</v>
      </c>
      <c r="F164">
        <f t="shared" si="10"/>
        <v>0.67569469658374159</v>
      </c>
      <c r="G164" s="4">
        <f t="shared" si="11"/>
        <v>5.8198220271401702E-2</v>
      </c>
    </row>
    <row r="165" spans="1:7" x14ac:dyDescent="0.3">
      <c r="A165" s="1">
        <v>37468</v>
      </c>
      <c r="B165">
        <v>0.67320000000000002</v>
      </c>
      <c r="C165">
        <f t="shared" si="8"/>
        <v>1.4854426619132501</v>
      </c>
      <c r="D165">
        <v>-13.2</v>
      </c>
      <c r="E165">
        <f t="shared" si="9"/>
        <v>1.4841226619132502</v>
      </c>
      <c r="F165">
        <f t="shared" si="10"/>
        <v>0.67379875374374676</v>
      </c>
      <c r="G165" s="4">
        <f t="shared" si="11"/>
        <v>-3.6920470093291546E-3</v>
      </c>
    </row>
    <row r="166" spans="1:7" x14ac:dyDescent="0.3">
      <c r="A166" s="1">
        <v>37498</v>
      </c>
      <c r="B166">
        <v>0.66739999999999999</v>
      </c>
      <c r="C166">
        <f t="shared" si="8"/>
        <v>1.4983518130056936</v>
      </c>
      <c r="D166">
        <v>-13.95</v>
      </c>
      <c r="E166">
        <f t="shared" si="9"/>
        <v>1.4969568130056936</v>
      </c>
      <c r="F166">
        <f t="shared" si="10"/>
        <v>0.66802194379417712</v>
      </c>
      <c r="G166" s="4">
        <f t="shared" si="11"/>
        <v>-9.4965354390968253E-3</v>
      </c>
    </row>
    <row r="167" spans="1:7" x14ac:dyDescent="0.3">
      <c r="A167" s="1">
        <v>37529</v>
      </c>
      <c r="B167">
        <v>0.67820000000000003</v>
      </c>
      <c r="C167">
        <f t="shared" si="8"/>
        <v>1.4744913005013269</v>
      </c>
      <c r="D167">
        <v>-14.55</v>
      </c>
      <c r="E167">
        <f t="shared" si="9"/>
        <v>1.4730363005013269</v>
      </c>
      <c r="F167">
        <f t="shared" si="10"/>
        <v>0.67886989591476066</v>
      </c>
      <c r="G167" s="4">
        <f t="shared" si="11"/>
        <v>1.5236110580461478E-2</v>
      </c>
    </row>
    <row r="168" spans="1:7" x14ac:dyDescent="0.3">
      <c r="A168" s="1">
        <v>37560</v>
      </c>
      <c r="B168">
        <v>0.67700000000000005</v>
      </c>
      <c r="C168">
        <f t="shared" si="8"/>
        <v>1.4771048744460855</v>
      </c>
      <c r="D168">
        <v>-12.4</v>
      </c>
      <c r="E168">
        <f t="shared" si="9"/>
        <v>1.4758648744460856</v>
      </c>
      <c r="F168">
        <f t="shared" si="10"/>
        <v>0.67756880546080822</v>
      </c>
      <c r="G168" s="4">
        <f t="shared" si="11"/>
        <v>-2.754424560601515E-3</v>
      </c>
    </row>
    <row r="169" spans="1:7" x14ac:dyDescent="0.3">
      <c r="A169" s="1">
        <v>37589</v>
      </c>
      <c r="B169">
        <v>0.6744</v>
      </c>
      <c r="C169">
        <f t="shared" si="8"/>
        <v>1.4827995255041519</v>
      </c>
      <c r="D169">
        <v>-9.1999999999999993</v>
      </c>
      <c r="E169">
        <f t="shared" si="9"/>
        <v>1.4818795255041519</v>
      </c>
      <c r="F169">
        <f t="shared" si="10"/>
        <v>0.67481868990651506</v>
      </c>
      <c r="G169" s="4">
        <f t="shared" si="11"/>
        <v>-4.6767286735597971E-3</v>
      </c>
    </row>
    <row r="170" spans="1:7" x14ac:dyDescent="0.3">
      <c r="A170" s="1">
        <v>37621</v>
      </c>
      <c r="B170">
        <v>0.72299999999999998</v>
      </c>
      <c r="C170">
        <f t="shared" si="8"/>
        <v>1.3831258644536653</v>
      </c>
      <c r="D170">
        <v>-9.25</v>
      </c>
      <c r="E170">
        <f t="shared" si="9"/>
        <v>1.3822008644536652</v>
      </c>
      <c r="F170">
        <f t="shared" si="10"/>
        <v>0.72348384791038634</v>
      </c>
      <c r="G170" s="4">
        <f t="shared" si="11"/>
        <v>7.1398896939501841E-2</v>
      </c>
    </row>
    <row r="171" spans="1:7" x14ac:dyDescent="0.3">
      <c r="A171" s="1">
        <v>37652</v>
      </c>
      <c r="B171">
        <v>0.73329999999999995</v>
      </c>
      <c r="C171">
        <f t="shared" si="8"/>
        <v>1.3636983499249966</v>
      </c>
      <c r="D171">
        <v>-7.8</v>
      </c>
      <c r="E171">
        <f t="shared" si="9"/>
        <v>1.3629183499249966</v>
      </c>
      <c r="F171">
        <f t="shared" si="10"/>
        <v>0.73371966857371274</v>
      </c>
      <c r="G171" s="4">
        <f t="shared" si="11"/>
        <v>1.3567893903872592E-2</v>
      </c>
    </row>
    <row r="172" spans="1:7" x14ac:dyDescent="0.3">
      <c r="A172" s="1">
        <v>37680</v>
      </c>
      <c r="B172">
        <v>0.73950000000000005</v>
      </c>
      <c r="C172">
        <f t="shared" si="8"/>
        <v>1.3522650439486139</v>
      </c>
      <c r="D172">
        <v>-8.3000000000000007</v>
      </c>
      <c r="E172">
        <f t="shared" si="9"/>
        <v>1.3514350439486138</v>
      </c>
      <c r="F172">
        <f t="shared" si="10"/>
        <v>0.73995417277193487</v>
      </c>
      <c r="G172" s="4">
        <f t="shared" si="11"/>
        <v>7.8781197695351034E-3</v>
      </c>
    </row>
    <row r="173" spans="1:7" x14ac:dyDescent="0.3">
      <c r="A173" s="1">
        <v>37711</v>
      </c>
      <c r="B173">
        <v>0.74</v>
      </c>
      <c r="C173">
        <f t="shared" si="8"/>
        <v>1.3513513513513513</v>
      </c>
      <c r="D173">
        <v>-12.15</v>
      </c>
      <c r="E173">
        <f t="shared" si="9"/>
        <v>1.3501363513513513</v>
      </c>
      <c r="F173">
        <f t="shared" si="10"/>
        <v>0.7406659327401266</v>
      </c>
      <c r="G173" s="4">
        <f t="shared" si="11"/>
        <v>6.193252197422944E-5</v>
      </c>
    </row>
    <row r="174" spans="1:7" x14ac:dyDescent="0.3">
      <c r="A174" s="1">
        <v>37741</v>
      </c>
      <c r="B174">
        <v>0.73819999999999997</v>
      </c>
      <c r="C174">
        <f t="shared" si="8"/>
        <v>1.3546464372798701</v>
      </c>
      <c r="D174">
        <v>-12.15</v>
      </c>
      <c r="E174">
        <f t="shared" si="9"/>
        <v>1.3534314372798701</v>
      </c>
      <c r="F174">
        <f t="shared" si="10"/>
        <v>0.73886269555685991</v>
      </c>
      <c r="G174" s="4">
        <f t="shared" si="11"/>
        <v>-3.3293454324324094E-3</v>
      </c>
    </row>
    <row r="175" spans="1:7" x14ac:dyDescent="0.3">
      <c r="A175" s="1">
        <v>37771</v>
      </c>
      <c r="B175">
        <v>0.77059999999999995</v>
      </c>
      <c r="C175">
        <f t="shared" si="8"/>
        <v>1.2976901116013497</v>
      </c>
      <c r="D175">
        <v>-11.55</v>
      </c>
      <c r="E175">
        <f t="shared" si="9"/>
        <v>1.2965351116013497</v>
      </c>
      <c r="F175">
        <f t="shared" si="10"/>
        <v>0.77128647813085494</v>
      </c>
      <c r="G175" s="4">
        <f t="shared" si="11"/>
        <v>4.2954265567867841E-2</v>
      </c>
    </row>
    <row r="176" spans="1:7" x14ac:dyDescent="0.3">
      <c r="A176" s="1">
        <v>37802</v>
      </c>
      <c r="B176">
        <v>0.74019999999999997</v>
      </c>
      <c r="C176">
        <f t="shared" si="8"/>
        <v>1.3509862199405567</v>
      </c>
      <c r="D176">
        <v>-10.58</v>
      </c>
      <c r="E176">
        <f t="shared" si="9"/>
        <v>1.3499282199405567</v>
      </c>
      <c r="F176">
        <f t="shared" si="10"/>
        <v>0.74078012832714502</v>
      </c>
      <c r="G176" s="4">
        <f t="shared" si="11"/>
        <v>-4.0304710392680965E-2</v>
      </c>
    </row>
    <row r="177" spans="1:7" x14ac:dyDescent="0.3">
      <c r="A177" s="1">
        <v>37833</v>
      </c>
      <c r="B177">
        <v>0.72960000000000003</v>
      </c>
      <c r="C177">
        <f t="shared" si="8"/>
        <v>1.3706140350877192</v>
      </c>
      <c r="D177">
        <v>-10.25</v>
      </c>
      <c r="E177">
        <f t="shared" si="9"/>
        <v>1.3695890350877191</v>
      </c>
      <c r="F177">
        <f t="shared" si="10"/>
        <v>0.73014603240887677</v>
      </c>
      <c r="G177" s="4">
        <f t="shared" si="11"/>
        <v>-1.5092370731369828E-2</v>
      </c>
    </row>
    <row r="178" spans="1:7" x14ac:dyDescent="0.3">
      <c r="A178" s="1">
        <v>37862</v>
      </c>
      <c r="B178">
        <v>0.71430000000000005</v>
      </c>
      <c r="C178">
        <f t="shared" si="8"/>
        <v>1.3999720005599887</v>
      </c>
      <c r="D178">
        <v>-10.199999999999999</v>
      </c>
      <c r="E178">
        <f t="shared" si="9"/>
        <v>1.3989520005599887</v>
      </c>
      <c r="F178">
        <f t="shared" si="10"/>
        <v>0.71482080843353346</v>
      </c>
      <c r="G178" s="4">
        <f t="shared" si="11"/>
        <v>-2.1702552236842192E-2</v>
      </c>
    </row>
    <row r="179" spans="1:7" x14ac:dyDescent="0.3">
      <c r="A179" s="1">
        <v>37894</v>
      </c>
      <c r="B179">
        <v>0.7581</v>
      </c>
      <c r="C179">
        <f t="shared" si="8"/>
        <v>1.3190871916633689</v>
      </c>
      <c r="D179">
        <v>-10.6</v>
      </c>
      <c r="E179">
        <f t="shared" si="9"/>
        <v>1.3180271916633688</v>
      </c>
      <c r="F179">
        <f t="shared" si="10"/>
        <v>0.75870968848372999</v>
      </c>
      <c r="G179" s="4">
        <f t="shared" si="11"/>
        <v>6.0545511624527343E-2</v>
      </c>
    </row>
    <row r="180" spans="1:7" x14ac:dyDescent="0.3">
      <c r="A180" s="1">
        <v>37925</v>
      </c>
      <c r="B180">
        <v>0.74680000000000002</v>
      </c>
      <c r="C180">
        <f t="shared" si="8"/>
        <v>1.3390465988216389</v>
      </c>
      <c r="D180">
        <v>-9.9499999999999993</v>
      </c>
      <c r="E180">
        <f t="shared" si="9"/>
        <v>1.3380515988216388</v>
      </c>
      <c r="F180">
        <f t="shared" si="10"/>
        <v>0.74735533433886592</v>
      </c>
      <c r="G180" s="4">
        <f t="shared" si="11"/>
        <v>-1.5697293265796181E-2</v>
      </c>
    </row>
    <row r="181" spans="1:7" x14ac:dyDescent="0.3">
      <c r="A181" s="1">
        <v>37953</v>
      </c>
      <c r="B181">
        <v>0.77459999999999996</v>
      </c>
      <c r="C181">
        <f t="shared" si="8"/>
        <v>1.2909888974954815</v>
      </c>
      <c r="D181">
        <v>-10.85</v>
      </c>
      <c r="E181">
        <f t="shared" si="9"/>
        <v>1.2899038974954815</v>
      </c>
      <c r="F181">
        <f t="shared" si="10"/>
        <v>0.77525155319061512</v>
      </c>
      <c r="G181" s="4">
        <f t="shared" si="11"/>
        <v>3.6454768447241402E-2</v>
      </c>
    </row>
    <row r="182" spans="1:7" x14ac:dyDescent="0.3">
      <c r="A182" s="1">
        <v>37986</v>
      </c>
      <c r="B182">
        <v>0.80689999999999995</v>
      </c>
      <c r="C182">
        <f t="shared" si="8"/>
        <v>1.2393109431156277</v>
      </c>
      <c r="D182">
        <v>-9.3000000000000007</v>
      </c>
      <c r="E182">
        <f t="shared" si="9"/>
        <v>1.2383809431156276</v>
      </c>
      <c r="F182">
        <f t="shared" si="10"/>
        <v>0.80750596620464143</v>
      </c>
      <c r="G182" s="4">
        <f t="shared" si="11"/>
        <v>4.0823454889103931E-2</v>
      </c>
    </row>
    <row r="183" spans="1:7" x14ac:dyDescent="0.3">
      <c r="A183" s="1">
        <v>38016</v>
      </c>
      <c r="B183">
        <v>0.79579999999999995</v>
      </c>
      <c r="C183">
        <f t="shared" si="8"/>
        <v>1.2565971349585323</v>
      </c>
      <c r="D183">
        <v>-8.8000000000000007</v>
      </c>
      <c r="E183">
        <f t="shared" si="9"/>
        <v>1.2557171349585323</v>
      </c>
      <c r="F183">
        <f t="shared" si="10"/>
        <v>0.79635769247747268</v>
      </c>
      <c r="G183" s="4">
        <f t="shared" si="11"/>
        <v>-1.4496445468583584E-2</v>
      </c>
    </row>
    <row r="184" spans="1:7" x14ac:dyDescent="0.3">
      <c r="A184" s="1">
        <v>38044</v>
      </c>
      <c r="B184">
        <v>0.79210000000000003</v>
      </c>
      <c r="C184">
        <f t="shared" si="8"/>
        <v>1.2624668602449185</v>
      </c>
      <c r="D184">
        <v>-9.8000000000000007</v>
      </c>
      <c r="E184">
        <f t="shared" si="9"/>
        <v>1.2614868602449185</v>
      </c>
      <c r="F184">
        <f t="shared" si="10"/>
        <v>0.79271535163342832</v>
      </c>
      <c r="G184" s="4">
        <f t="shared" si="11"/>
        <v>-5.3464573993464541E-3</v>
      </c>
    </row>
    <row r="185" spans="1:7" x14ac:dyDescent="0.3">
      <c r="A185" s="1">
        <v>38077</v>
      </c>
      <c r="B185">
        <v>0.79</v>
      </c>
      <c r="C185">
        <f t="shared" si="8"/>
        <v>1.2658227848101264</v>
      </c>
      <c r="D185">
        <v>-9.3000000000000007</v>
      </c>
      <c r="E185">
        <f t="shared" si="9"/>
        <v>1.2648927848101263</v>
      </c>
      <c r="F185">
        <f t="shared" si="10"/>
        <v>0.79058083974295934</v>
      </c>
      <c r="G185" s="4">
        <f t="shared" si="11"/>
        <v>-3.4253804065143604E-3</v>
      </c>
    </row>
    <row r="186" spans="1:7" x14ac:dyDescent="0.3">
      <c r="A186" s="1">
        <v>38107</v>
      </c>
      <c r="B186">
        <v>0.77180000000000004</v>
      </c>
      <c r="C186">
        <f t="shared" si="8"/>
        <v>1.2956724540036277</v>
      </c>
      <c r="D186">
        <v>-9.6</v>
      </c>
      <c r="E186">
        <f t="shared" si="9"/>
        <v>1.2947124540036277</v>
      </c>
      <c r="F186">
        <f t="shared" si="10"/>
        <v>0.77237227224292859</v>
      </c>
      <c r="G186" s="4">
        <f t="shared" si="11"/>
        <v>-2.3755748683544485E-2</v>
      </c>
    </row>
    <row r="187" spans="1:7" x14ac:dyDescent="0.3">
      <c r="A187" s="1">
        <v>38138</v>
      </c>
      <c r="B187">
        <v>0.79730000000000001</v>
      </c>
      <c r="C187">
        <f t="shared" si="8"/>
        <v>1.2542330364981813</v>
      </c>
      <c r="D187">
        <v>-9.35</v>
      </c>
      <c r="E187">
        <f t="shared" si="9"/>
        <v>1.2532980364981814</v>
      </c>
      <c r="F187">
        <f t="shared" si="10"/>
        <v>0.79789481103320237</v>
      </c>
      <c r="G187" s="4">
        <f t="shared" si="11"/>
        <v>3.2274239577092273E-2</v>
      </c>
    </row>
    <row r="188" spans="1:7" x14ac:dyDescent="0.3">
      <c r="A188" s="1">
        <v>38168</v>
      </c>
      <c r="B188">
        <v>0.80100000000000005</v>
      </c>
      <c r="C188">
        <f t="shared" si="8"/>
        <v>1.2484394506866416</v>
      </c>
      <c r="D188">
        <v>-10.28</v>
      </c>
      <c r="E188">
        <f t="shared" si="9"/>
        <v>1.2474114506866416</v>
      </c>
      <c r="F188">
        <f t="shared" si="10"/>
        <v>0.8016601093805471</v>
      </c>
      <c r="G188" s="4">
        <f t="shared" si="11"/>
        <v>3.891727235043347E-3</v>
      </c>
    </row>
    <row r="189" spans="1:7" x14ac:dyDescent="0.3">
      <c r="A189" s="1">
        <v>38198</v>
      </c>
      <c r="B189">
        <v>0.78029999999999999</v>
      </c>
      <c r="C189">
        <f t="shared" si="8"/>
        <v>1.2815583749839805</v>
      </c>
      <c r="D189">
        <v>-11.85</v>
      </c>
      <c r="E189">
        <f t="shared" si="9"/>
        <v>1.2803733749839805</v>
      </c>
      <c r="F189">
        <f t="shared" si="10"/>
        <v>0.78102217645107741</v>
      </c>
      <c r="G189" s="4">
        <f t="shared" si="11"/>
        <v>-2.6644845029213611E-2</v>
      </c>
    </row>
    <row r="190" spans="1:7" x14ac:dyDescent="0.3">
      <c r="A190" s="1">
        <v>38230</v>
      </c>
      <c r="B190">
        <v>0.78979999999999995</v>
      </c>
      <c r="C190">
        <f t="shared" si="8"/>
        <v>1.2661433274246645</v>
      </c>
      <c r="D190">
        <v>-13.7</v>
      </c>
      <c r="E190">
        <f t="shared" si="9"/>
        <v>1.2647733274246644</v>
      </c>
      <c r="F190">
        <f t="shared" si="10"/>
        <v>0.79065550981866706</v>
      </c>
      <c r="G190" s="4">
        <f t="shared" si="11"/>
        <v>1.123889156234781E-2</v>
      </c>
    </row>
    <row r="191" spans="1:7" x14ac:dyDescent="0.3">
      <c r="A191" s="1">
        <v>38260</v>
      </c>
      <c r="B191">
        <v>0.80259999999999998</v>
      </c>
      <c r="C191">
        <f t="shared" si="8"/>
        <v>1.2459506603538499</v>
      </c>
      <c r="D191">
        <v>-13.1</v>
      </c>
      <c r="E191">
        <f t="shared" si="9"/>
        <v>1.24464066035385</v>
      </c>
      <c r="F191">
        <f t="shared" si="10"/>
        <v>0.80344474662727239</v>
      </c>
      <c r="G191" s="4">
        <f t="shared" si="11"/>
        <v>1.5107072591035674E-2</v>
      </c>
    </row>
    <row r="192" spans="1:7" x14ac:dyDescent="0.3">
      <c r="A192" s="1">
        <v>38289</v>
      </c>
      <c r="B192">
        <v>0.83709999999999996</v>
      </c>
      <c r="C192">
        <f t="shared" si="8"/>
        <v>1.1946004061641382</v>
      </c>
      <c r="D192">
        <v>-13.55</v>
      </c>
      <c r="E192">
        <f t="shared" si="9"/>
        <v>1.1932454061641382</v>
      </c>
      <c r="F192">
        <f t="shared" si="10"/>
        <v>0.83805057604591682</v>
      </c>
      <c r="G192" s="4">
        <f t="shared" si="11"/>
        <v>4.1888696782207774E-2</v>
      </c>
    </row>
    <row r="193" spans="1:7" x14ac:dyDescent="0.3">
      <c r="A193" s="1">
        <v>38321</v>
      </c>
      <c r="B193">
        <v>0.87619999999999998</v>
      </c>
      <c r="C193">
        <f t="shared" si="8"/>
        <v>1.1412919424788861</v>
      </c>
      <c r="D193">
        <v>-16.149999999999999</v>
      </c>
      <c r="E193">
        <f t="shared" si="9"/>
        <v>1.1396769424788862</v>
      </c>
      <c r="F193">
        <f t="shared" si="10"/>
        <v>0.87744163519262053</v>
      </c>
      <c r="G193" s="4">
        <f t="shared" si="11"/>
        <v>4.5521624881017866E-2</v>
      </c>
    </row>
    <row r="194" spans="1:7" x14ac:dyDescent="0.3">
      <c r="A194" s="1">
        <v>38352</v>
      </c>
      <c r="B194">
        <v>0.87749999999999995</v>
      </c>
      <c r="C194">
        <f t="shared" si="8"/>
        <v>1.1396011396011396</v>
      </c>
      <c r="D194">
        <v>-16.7</v>
      </c>
      <c r="E194">
        <f t="shared" si="9"/>
        <v>1.1379311396011396</v>
      </c>
      <c r="F194">
        <f t="shared" si="10"/>
        <v>0.87878779760831016</v>
      </c>
      <c r="G194" s="4">
        <f t="shared" si="11"/>
        <v>6.6517025222544824E-5</v>
      </c>
    </row>
    <row r="195" spans="1:7" x14ac:dyDescent="0.3">
      <c r="A195" s="1">
        <v>38383</v>
      </c>
      <c r="B195">
        <v>0.84109999999999996</v>
      </c>
      <c r="C195">
        <f t="shared" ref="C195:C258" si="12">1/B195</f>
        <v>1.1889192723814053</v>
      </c>
      <c r="D195">
        <v>-17.25</v>
      </c>
      <c r="E195">
        <f t="shared" ref="E195:E258" si="13">C195+D195/10^4</f>
        <v>1.1871942723814053</v>
      </c>
      <c r="F195">
        <f t="shared" ref="F195:F258" si="14">1/E195</f>
        <v>0.84232212306254617</v>
      </c>
      <c r="G195" s="4">
        <f t="shared" si="11"/>
        <v>-4.2886118481481529E-2</v>
      </c>
    </row>
    <row r="196" spans="1:7" x14ac:dyDescent="0.3">
      <c r="A196" s="1">
        <v>38411</v>
      </c>
      <c r="B196">
        <v>0.85960000000000003</v>
      </c>
      <c r="C196">
        <f t="shared" si="12"/>
        <v>1.1633317822242903</v>
      </c>
      <c r="D196">
        <v>-20.6</v>
      </c>
      <c r="E196">
        <f t="shared" si="13"/>
        <v>1.1612717822242904</v>
      </c>
      <c r="F196">
        <f t="shared" si="14"/>
        <v>0.8611248592337345</v>
      </c>
      <c r="G196" s="4">
        <f t="shared" ref="G196:G259" si="15">(B196-F195)/F195</f>
        <v>2.0512196539056001E-2</v>
      </c>
    </row>
    <row r="197" spans="1:7" x14ac:dyDescent="0.3">
      <c r="A197" s="1">
        <v>38442</v>
      </c>
      <c r="B197">
        <v>0.83579999999999999</v>
      </c>
      <c r="C197">
        <f t="shared" si="12"/>
        <v>1.1964584828906437</v>
      </c>
      <c r="D197">
        <v>-21</v>
      </c>
      <c r="E197">
        <f t="shared" si="13"/>
        <v>1.1943584828906437</v>
      </c>
      <c r="F197">
        <f t="shared" si="14"/>
        <v>0.83726955878418685</v>
      </c>
      <c r="G197" s="4">
        <f t="shared" si="15"/>
        <v>-2.9409044416938149E-2</v>
      </c>
    </row>
    <row r="198" spans="1:7" x14ac:dyDescent="0.3">
      <c r="A198" s="1">
        <v>38471</v>
      </c>
      <c r="B198">
        <v>0.8367</v>
      </c>
      <c r="C198">
        <f t="shared" si="12"/>
        <v>1.1951715071112705</v>
      </c>
      <c r="D198">
        <v>-24.53</v>
      </c>
      <c r="E198">
        <f t="shared" si="13"/>
        <v>1.1927185071112705</v>
      </c>
      <c r="F198">
        <f t="shared" si="14"/>
        <v>0.83842079588583807</v>
      </c>
      <c r="G198" s="4">
        <f t="shared" si="15"/>
        <v>-6.8025736539844824E-4</v>
      </c>
    </row>
    <row r="199" spans="1:7" x14ac:dyDescent="0.3">
      <c r="A199" s="1">
        <v>38503</v>
      </c>
      <c r="B199">
        <v>0.80110000000000003</v>
      </c>
      <c r="C199">
        <f t="shared" si="12"/>
        <v>1.2482836100362003</v>
      </c>
      <c r="D199">
        <v>-27.15</v>
      </c>
      <c r="E199">
        <f t="shared" si="13"/>
        <v>1.2455686100362002</v>
      </c>
      <c r="F199">
        <f t="shared" si="14"/>
        <v>0.80284617960221138</v>
      </c>
      <c r="G199" s="4">
        <f t="shared" si="15"/>
        <v>-4.4513203953161183E-2</v>
      </c>
    </row>
    <row r="200" spans="1:7" x14ac:dyDescent="0.3">
      <c r="A200" s="1">
        <v>38533</v>
      </c>
      <c r="B200">
        <v>0.78039999999999998</v>
      </c>
      <c r="C200">
        <f t="shared" si="12"/>
        <v>1.2813941568426448</v>
      </c>
      <c r="D200">
        <v>-28.5</v>
      </c>
      <c r="E200">
        <f t="shared" si="13"/>
        <v>1.2785441568426448</v>
      </c>
      <c r="F200">
        <f t="shared" si="14"/>
        <v>0.78213958794312788</v>
      </c>
      <c r="G200" s="4">
        <f t="shared" si="15"/>
        <v>-2.7958256727749365E-2</v>
      </c>
    </row>
    <row r="201" spans="1:7" x14ac:dyDescent="0.3">
      <c r="A201" s="1">
        <v>38562</v>
      </c>
      <c r="B201">
        <v>0.77549999999999997</v>
      </c>
      <c r="C201">
        <f t="shared" si="12"/>
        <v>1.2894906511927788</v>
      </c>
      <c r="D201">
        <v>-34.229999999999997</v>
      </c>
      <c r="E201">
        <f t="shared" si="13"/>
        <v>1.2860676511927789</v>
      </c>
      <c r="F201">
        <f t="shared" si="14"/>
        <v>0.77756407221077206</v>
      </c>
      <c r="G201" s="4">
        <f t="shared" si="15"/>
        <v>-8.4890063685290652E-3</v>
      </c>
    </row>
    <row r="202" spans="1:7" x14ac:dyDescent="0.3">
      <c r="A202" s="1">
        <v>38595</v>
      </c>
      <c r="B202">
        <v>0.79810000000000003</v>
      </c>
      <c r="C202">
        <f t="shared" si="12"/>
        <v>1.2529758175667209</v>
      </c>
      <c r="D202">
        <v>-31.73</v>
      </c>
      <c r="E202">
        <f t="shared" si="13"/>
        <v>1.2498028175667208</v>
      </c>
      <c r="F202">
        <f t="shared" si="14"/>
        <v>0.80012621666746631</v>
      </c>
      <c r="G202" s="4">
        <f t="shared" si="15"/>
        <v>2.6410592416956934E-2</v>
      </c>
    </row>
    <row r="203" spans="1:7" x14ac:dyDescent="0.3">
      <c r="A203" s="1">
        <v>38625</v>
      </c>
      <c r="B203">
        <v>0.77280000000000004</v>
      </c>
      <c r="C203">
        <f t="shared" si="12"/>
        <v>1.2939958592132506</v>
      </c>
      <c r="D203">
        <v>-34.5</v>
      </c>
      <c r="E203">
        <f t="shared" si="13"/>
        <v>1.2905458592132506</v>
      </c>
      <c r="F203">
        <f t="shared" si="14"/>
        <v>0.77486591651196746</v>
      </c>
      <c r="G203" s="4">
        <f t="shared" si="15"/>
        <v>-3.4152382584438028E-2</v>
      </c>
    </row>
    <row r="204" spans="1:7" x14ac:dyDescent="0.3">
      <c r="A204" s="1">
        <v>38656</v>
      </c>
      <c r="B204">
        <v>0.77610000000000001</v>
      </c>
      <c r="C204">
        <f t="shared" si="12"/>
        <v>1.2884937508053085</v>
      </c>
      <c r="D204">
        <v>-35.700000000000003</v>
      </c>
      <c r="E204">
        <f t="shared" si="13"/>
        <v>1.2849237508053084</v>
      </c>
      <c r="F204">
        <f t="shared" si="14"/>
        <v>0.77825629682170916</v>
      </c>
      <c r="G204" s="4">
        <f t="shared" si="15"/>
        <v>1.59264133540386E-3</v>
      </c>
    </row>
    <row r="205" spans="1:7" x14ac:dyDescent="0.3">
      <c r="A205" s="1">
        <v>38686</v>
      </c>
      <c r="B205">
        <v>0.76029999999999998</v>
      </c>
      <c r="C205">
        <f t="shared" si="12"/>
        <v>1.3152702880441931</v>
      </c>
      <c r="D205">
        <v>-36.799999999999997</v>
      </c>
      <c r="E205">
        <f t="shared" si="13"/>
        <v>1.3115902880441932</v>
      </c>
      <c r="F205">
        <f t="shared" si="14"/>
        <v>0.76243321494181848</v>
      </c>
      <c r="G205" s="4">
        <f t="shared" si="15"/>
        <v>-2.3072472262724002E-2</v>
      </c>
    </row>
    <row r="206" spans="1:7" x14ac:dyDescent="0.3">
      <c r="A206" s="1">
        <v>38716</v>
      </c>
      <c r="B206">
        <v>0.76139999999999997</v>
      </c>
      <c r="C206">
        <f t="shared" si="12"/>
        <v>1.3133701076963489</v>
      </c>
      <c r="D206">
        <v>-41.75</v>
      </c>
      <c r="E206">
        <f t="shared" si="13"/>
        <v>1.3091951076963488</v>
      </c>
      <c r="F206">
        <f t="shared" si="14"/>
        <v>0.76382809110827909</v>
      </c>
      <c r="G206" s="4">
        <f t="shared" si="15"/>
        <v>-1.3551546831513126E-3</v>
      </c>
    </row>
    <row r="207" spans="1:7" x14ac:dyDescent="0.3">
      <c r="A207" s="1">
        <v>38748</v>
      </c>
      <c r="B207">
        <v>0.78249999999999997</v>
      </c>
      <c r="C207">
        <f t="shared" si="12"/>
        <v>1.2779552715654952</v>
      </c>
      <c r="D207">
        <v>-36.25</v>
      </c>
      <c r="E207">
        <f t="shared" si="13"/>
        <v>1.2743302715654952</v>
      </c>
      <c r="F207">
        <f t="shared" si="14"/>
        <v>0.78472592412916264</v>
      </c>
      <c r="G207" s="4">
        <f t="shared" si="15"/>
        <v>2.4445171772392929E-2</v>
      </c>
    </row>
    <row r="208" spans="1:7" x14ac:dyDescent="0.3">
      <c r="A208" s="1">
        <v>38776</v>
      </c>
      <c r="B208">
        <v>0.76229999999999998</v>
      </c>
      <c r="C208">
        <f t="shared" si="12"/>
        <v>1.3118194936376755</v>
      </c>
      <c r="D208">
        <v>-42</v>
      </c>
      <c r="E208">
        <f t="shared" si="13"/>
        <v>1.3076194936376755</v>
      </c>
      <c r="F208">
        <f t="shared" si="14"/>
        <v>0.76474846456907219</v>
      </c>
      <c r="G208" s="4">
        <f t="shared" si="15"/>
        <v>-2.8578033985623051E-2</v>
      </c>
    </row>
    <row r="209" spans="1:7" x14ac:dyDescent="0.3">
      <c r="A209" s="1">
        <v>38807</v>
      </c>
      <c r="B209">
        <v>0.76680000000000004</v>
      </c>
      <c r="C209">
        <f t="shared" si="12"/>
        <v>1.3041210224308815</v>
      </c>
      <c r="D209">
        <v>-40.049999999999997</v>
      </c>
      <c r="E209">
        <f t="shared" si="13"/>
        <v>1.3001160224308814</v>
      </c>
      <c r="F209">
        <f t="shared" si="14"/>
        <v>0.76916212303134157</v>
      </c>
      <c r="G209" s="4">
        <f t="shared" si="15"/>
        <v>2.6826277213696154E-3</v>
      </c>
    </row>
    <row r="210" spans="1:7" x14ac:dyDescent="0.3">
      <c r="A210" s="1">
        <v>38835</v>
      </c>
      <c r="B210">
        <v>0.80730000000000002</v>
      </c>
      <c r="C210">
        <f t="shared" si="12"/>
        <v>1.2386968908708038</v>
      </c>
      <c r="D210">
        <v>-43.8</v>
      </c>
      <c r="E210">
        <f t="shared" si="13"/>
        <v>1.2343168908708038</v>
      </c>
      <c r="F210">
        <f t="shared" si="14"/>
        <v>0.8101647213905544</v>
      </c>
      <c r="G210" s="4">
        <f t="shared" si="15"/>
        <v>4.9583664908450537E-2</v>
      </c>
    </row>
    <row r="211" spans="1:7" x14ac:dyDescent="0.3">
      <c r="A211" s="1">
        <v>38868</v>
      </c>
      <c r="B211">
        <v>0.82020000000000004</v>
      </c>
      <c r="C211">
        <f t="shared" si="12"/>
        <v>1.2192148256522799</v>
      </c>
      <c r="D211">
        <v>-39.799999999999997</v>
      </c>
      <c r="E211">
        <f t="shared" si="13"/>
        <v>1.2152348256522798</v>
      </c>
      <c r="F211">
        <f t="shared" si="14"/>
        <v>0.8228862265062622</v>
      </c>
      <c r="G211" s="4">
        <f t="shared" si="15"/>
        <v>1.2386713892233227E-2</v>
      </c>
    </row>
    <row r="212" spans="1:7" x14ac:dyDescent="0.3">
      <c r="A212" s="1">
        <v>38898</v>
      </c>
      <c r="B212">
        <v>0.81740000000000002</v>
      </c>
      <c r="C212">
        <f t="shared" si="12"/>
        <v>1.2233912405187179</v>
      </c>
      <c r="D212">
        <v>-43.73</v>
      </c>
      <c r="E212">
        <f t="shared" si="13"/>
        <v>1.219018240518718</v>
      </c>
      <c r="F212">
        <f t="shared" si="14"/>
        <v>0.82033226965863848</v>
      </c>
      <c r="G212" s="4">
        <f t="shared" si="15"/>
        <v>-6.6670535118264389E-3</v>
      </c>
    </row>
    <row r="213" spans="1:7" x14ac:dyDescent="0.3">
      <c r="A213" s="1">
        <v>38929</v>
      </c>
      <c r="B213">
        <v>0.81220000000000003</v>
      </c>
      <c r="C213">
        <f t="shared" si="12"/>
        <v>1.2312238364934744</v>
      </c>
      <c r="D213">
        <v>-44.7</v>
      </c>
      <c r="E213">
        <f t="shared" si="13"/>
        <v>1.2267538364934745</v>
      </c>
      <c r="F213">
        <f t="shared" si="14"/>
        <v>0.8151594641500185</v>
      </c>
      <c r="G213" s="4">
        <f t="shared" si="15"/>
        <v>-9.913385050697195E-3</v>
      </c>
    </row>
    <row r="214" spans="1:7" x14ac:dyDescent="0.3">
      <c r="A214" s="1">
        <v>38960</v>
      </c>
      <c r="B214">
        <v>0.81269999999999998</v>
      </c>
      <c r="C214">
        <f t="shared" si="12"/>
        <v>1.2304663467454164</v>
      </c>
      <c r="D214">
        <v>-38.43</v>
      </c>
      <c r="E214">
        <f t="shared" si="13"/>
        <v>1.2266233467454164</v>
      </c>
      <c r="F214">
        <f t="shared" si="14"/>
        <v>0.8152461818481499</v>
      </c>
      <c r="G214" s="4">
        <f t="shared" si="15"/>
        <v>-3.0171570817533813E-3</v>
      </c>
    </row>
    <row r="215" spans="1:7" x14ac:dyDescent="0.3">
      <c r="A215" s="1">
        <v>38989</v>
      </c>
      <c r="B215">
        <v>0.79959999999999998</v>
      </c>
      <c r="C215">
        <f t="shared" si="12"/>
        <v>1.2506253126563283</v>
      </c>
      <c r="D215">
        <v>-38.4</v>
      </c>
      <c r="E215">
        <f t="shared" si="13"/>
        <v>1.2467853126563282</v>
      </c>
      <c r="F215">
        <f t="shared" si="14"/>
        <v>0.80206270466040241</v>
      </c>
      <c r="G215" s="4">
        <f t="shared" si="15"/>
        <v>-1.9191971942365039E-2</v>
      </c>
    </row>
    <row r="216" spans="1:7" x14ac:dyDescent="0.3">
      <c r="A216" s="1">
        <v>39021</v>
      </c>
      <c r="B216">
        <v>0.80369999999999997</v>
      </c>
      <c r="C216">
        <f t="shared" si="12"/>
        <v>1.2442453651860148</v>
      </c>
      <c r="D216">
        <v>-39.5</v>
      </c>
      <c r="E216">
        <f t="shared" si="13"/>
        <v>1.2402953651860149</v>
      </c>
      <c r="F216">
        <f t="shared" si="14"/>
        <v>0.80625956370483065</v>
      </c>
      <c r="G216" s="4">
        <f t="shared" si="15"/>
        <v>2.041355781890887E-3</v>
      </c>
    </row>
    <row r="217" spans="1:7" x14ac:dyDescent="0.3">
      <c r="A217" s="1">
        <v>39051</v>
      </c>
      <c r="B217">
        <v>0.83479999999999999</v>
      </c>
      <c r="C217">
        <f t="shared" si="12"/>
        <v>1.1978917105893627</v>
      </c>
      <c r="D217">
        <v>-35.299999999999997</v>
      </c>
      <c r="E217">
        <f t="shared" si="13"/>
        <v>1.1943617105893627</v>
      </c>
      <c r="F217">
        <f t="shared" si="14"/>
        <v>0.83726729610793194</v>
      </c>
      <c r="G217" s="4">
        <f t="shared" si="15"/>
        <v>3.5398570857285247E-2</v>
      </c>
    </row>
    <row r="218" spans="1:7" x14ac:dyDescent="0.3">
      <c r="A218" s="1">
        <v>39080</v>
      </c>
      <c r="B218">
        <v>0.8196</v>
      </c>
      <c r="C218">
        <f t="shared" si="12"/>
        <v>1.2201073694485114</v>
      </c>
      <c r="D218">
        <v>-35.15</v>
      </c>
      <c r="E218">
        <f t="shared" si="13"/>
        <v>1.2165923694485115</v>
      </c>
      <c r="F218">
        <f t="shared" si="14"/>
        <v>0.82196800268713333</v>
      </c>
      <c r="G218" s="4">
        <f t="shared" si="15"/>
        <v>-2.1101142000958382E-2</v>
      </c>
    </row>
    <row r="219" spans="1:7" x14ac:dyDescent="0.3">
      <c r="A219" s="1">
        <v>39113</v>
      </c>
      <c r="B219">
        <v>0.80379999999999996</v>
      </c>
      <c r="C219">
        <f t="shared" si="12"/>
        <v>1.244090569793481</v>
      </c>
      <c r="D219">
        <v>-31</v>
      </c>
      <c r="E219">
        <f t="shared" si="13"/>
        <v>1.2409905697934809</v>
      </c>
      <c r="F219">
        <f t="shared" si="14"/>
        <v>0.80580789599909264</v>
      </c>
      <c r="G219" s="4">
        <f t="shared" si="15"/>
        <v>-2.2103053437286507E-2</v>
      </c>
    </row>
    <row r="220" spans="1:7" x14ac:dyDescent="0.3">
      <c r="A220" s="1">
        <v>39141</v>
      </c>
      <c r="B220">
        <v>0.81989999999999996</v>
      </c>
      <c r="C220">
        <f t="shared" si="12"/>
        <v>1.2196609342602758</v>
      </c>
      <c r="D220">
        <v>-33.25</v>
      </c>
      <c r="E220">
        <f t="shared" si="13"/>
        <v>1.2163359342602758</v>
      </c>
      <c r="F220">
        <f t="shared" si="14"/>
        <v>0.82214129487850562</v>
      </c>
      <c r="G220" s="4">
        <f t="shared" si="15"/>
        <v>1.7488168173674972E-2</v>
      </c>
    </row>
    <row r="221" spans="1:7" x14ac:dyDescent="0.3">
      <c r="A221" s="1">
        <v>39171</v>
      </c>
      <c r="B221">
        <v>0.82269999999999999</v>
      </c>
      <c r="C221">
        <f t="shared" si="12"/>
        <v>1.2155099064057373</v>
      </c>
      <c r="D221">
        <v>-31.3</v>
      </c>
      <c r="E221">
        <f t="shared" si="13"/>
        <v>1.2123799064057372</v>
      </c>
      <c r="F221">
        <f t="shared" si="14"/>
        <v>0.82482396377273692</v>
      </c>
      <c r="G221" s="4">
        <f t="shared" si="15"/>
        <v>6.7957311592884665E-4</v>
      </c>
    </row>
    <row r="222" spans="1:7" x14ac:dyDescent="0.3">
      <c r="A222" s="1">
        <v>39202</v>
      </c>
      <c r="B222">
        <v>0.82830000000000004</v>
      </c>
      <c r="C222">
        <f t="shared" si="12"/>
        <v>1.2072920439454304</v>
      </c>
      <c r="D222">
        <v>-33.33</v>
      </c>
      <c r="E222">
        <f t="shared" si="13"/>
        <v>1.2039590439454304</v>
      </c>
      <c r="F222">
        <f t="shared" si="14"/>
        <v>0.8305930380513219</v>
      </c>
      <c r="G222" s="4">
        <f t="shared" si="15"/>
        <v>4.2142764758722048E-3</v>
      </c>
    </row>
    <row r="223" spans="1:7" x14ac:dyDescent="0.3">
      <c r="A223" s="1">
        <v>39233</v>
      </c>
      <c r="B223">
        <v>0.81610000000000005</v>
      </c>
      <c r="C223">
        <f t="shared" si="12"/>
        <v>1.2253400318588408</v>
      </c>
      <c r="D223">
        <v>-31.17</v>
      </c>
      <c r="E223">
        <f t="shared" si="13"/>
        <v>1.2222230318588407</v>
      </c>
      <c r="F223">
        <f t="shared" si="14"/>
        <v>0.81818127619402758</v>
      </c>
      <c r="G223" s="4">
        <f t="shared" si="15"/>
        <v>-1.7449024236134196E-2</v>
      </c>
    </row>
    <row r="224" spans="1:7" x14ac:dyDescent="0.3">
      <c r="A224" s="1">
        <v>39262</v>
      </c>
      <c r="B224">
        <v>0.81859999999999999</v>
      </c>
      <c r="C224">
        <f t="shared" si="12"/>
        <v>1.221597849987784</v>
      </c>
      <c r="D224">
        <v>-28.3</v>
      </c>
      <c r="E224">
        <f t="shared" si="13"/>
        <v>1.2187678499877839</v>
      </c>
      <c r="F224">
        <f t="shared" si="14"/>
        <v>0.82050080334004816</v>
      </c>
      <c r="G224" s="4">
        <f t="shared" si="15"/>
        <v>5.1177387964707153E-4</v>
      </c>
    </row>
    <row r="225" spans="1:7" x14ac:dyDescent="0.3">
      <c r="A225" s="1">
        <v>39294</v>
      </c>
      <c r="B225">
        <v>0.83250000000000002</v>
      </c>
      <c r="C225">
        <f t="shared" si="12"/>
        <v>1.2012012012012012</v>
      </c>
      <c r="D225">
        <v>-29.4</v>
      </c>
      <c r="E225">
        <f t="shared" si="13"/>
        <v>1.1982612012012013</v>
      </c>
      <c r="F225">
        <f t="shared" si="14"/>
        <v>0.8345425847031902</v>
      </c>
      <c r="G225" s="4">
        <f t="shared" si="15"/>
        <v>1.4624235114830127E-2</v>
      </c>
    </row>
    <row r="226" spans="1:7" x14ac:dyDescent="0.3">
      <c r="A226" s="1">
        <v>39325</v>
      </c>
      <c r="B226">
        <v>0.82750000000000001</v>
      </c>
      <c r="C226">
        <f t="shared" si="12"/>
        <v>1.2084592145015105</v>
      </c>
      <c r="D226">
        <v>-33.520000000000003</v>
      </c>
      <c r="E226">
        <f t="shared" si="13"/>
        <v>1.2051072145015105</v>
      </c>
      <c r="F226">
        <f t="shared" si="14"/>
        <v>0.8298016873242664</v>
      </c>
      <c r="G226" s="4">
        <f t="shared" si="15"/>
        <v>-8.4388560060058848E-3</v>
      </c>
    </row>
    <row r="227" spans="1:7" x14ac:dyDescent="0.3">
      <c r="A227" s="1">
        <v>39353</v>
      </c>
      <c r="B227">
        <v>0.85929999999999995</v>
      </c>
      <c r="C227">
        <f t="shared" si="12"/>
        <v>1.1637379262190155</v>
      </c>
      <c r="D227">
        <v>-26.67</v>
      </c>
      <c r="E227">
        <f t="shared" si="13"/>
        <v>1.1610709262190155</v>
      </c>
      <c r="F227">
        <f t="shared" si="14"/>
        <v>0.86127382696289101</v>
      </c>
      <c r="G227" s="4">
        <f t="shared" si="15"/>
        <v>3.5548629421147858E-2</v>
      </c>
    </row>
    <row r="228" spans="1:7" x14ac:dyDescent="0.3">
      <c r="A228" s="1">
        <v>39386</v>
      </c>
      <c r="B228">
        <v>0.86350000000000005</v>
      </c>
      <c r="C228">
        <f t="shared" si="12"/>
        <v>1.1580775911986103</v>
      </c>
      <c r="D228">
        <v>-24.61</v>
      </c>
      <c r="E228">
        <f t="shared" si="13"/>
        <v>1.1556165911986103</v>
      </c>
      <c r="F228">
        <f t="shared" si="14"/>
        <v>0.86533890878357489</v>
      </c>
      <c r="G228" s="4">
        <f t="shared" si="15"/>
        <v>2.5847447901199872E-3</v>
      </c>
    </row>
    <row r="229" spans="1:7" x14ac:dyDescent="0.3">
      <c r="A229" s="1">
        <v>39416</v>
      </c>
      <c r="B229">
        <v>0.88339999999999996</v>
      </c>
      <c r="C229">
        <f t="shared" si="12"/>
        <v>1.1319900384876613</v>
      </c>
      <c r="D229">
        <v>-27.5</v>
      </c>
      <c r="E229">
        <f t="shared" si="13"/>
        <v>1.1292400384876613</v>
      </c>
      <c r="F229">
        <f t="shared" si="14"/>
        <v>0.88555131408487209</v>
      </c>
      <c r="G229" s="4">
        <f t="shared" si="15"/>
        <v>2.0871696664852307E-2</v>
      </c>
    </row>
    <row r="230" spans="1:7" x14ac:dyDescent="0.3">
      <c r="A230" s="1">
        <v>39447</v>
      </c>
      <c r="B230">
        <v>0.8821</v>
      </c>
      <c r="C230">
        <f t="shared" si="12"/>
        <v>1.1336583153837434</v>
      </c>
      <c r="D230">
        <v>-22.8</v>
      </c>
      <c r="E230">
        <f t="shared" si="13"/>
        <v>1.1313783153837433</v>
      </c>
      <c r="F230">
        <f t="shared" si="14"/>
        <v>0.88387764411130498</v>
      </c>
      <c r="G230" s="4">
        <f t="shared" si="15"/>
        <v>-3.8973620500339693E-3</v>
      </c>
    </row>
    <row r="231" spans="1:7" x14ac:dyDescent="0.3">
      <c r="A231" s="1">
        <v>39478</v>
      </c>
      <c r="B231">
        <v>0.92469999999999997</v>
      </c>
      <c r="C231">
        <f t="shared" si="12"/>
        <v>1.0814318157240186</v>
      </c>
      <c r="D231">
        <v>-6.39</v>
      </c>
      <c r="E231">
        <f t="shared" si="13"/>
        <v>1.0807928157240185</v>
      </c>
      <c r="F231">
        <f t="shared" si="14"/>
        <v>0.9252467128309918</v>
      </c>
      <c r="G231" s="4">
        <f t="shared" si="15"/>
        <v>4.6185528235347363E-2</v>
      </c>
    </row>
    <row r="232" spans="1:7" x14ac:dyDescent="0.3">
      <c r="A232" s="1">
        <v>39507</v>
      </c>
      <c r="B232">
        <v>0.96040000000000003</v>
      </c>
      <c r="C232">
        <f t="shared" si="12"/>
        <v>1.0412328196584757</v>
      </c>
      <c r="D232">
        <v>-4.58</v>
      </c>
      <c r="E232">
        <f t="shared" si="13"/>
        <v>1.0407748196584756</v>
      </c>
      <c r="F232">
        <f t="shared" si="14"/>
        <v>0.96082263051689154</v>
      </c>
      <c r="G232" s="4">
        <f t="shared" si="15"/>
        <v>3.7993420221347413E-2</v>
      </c>
    </row>
    <row r="233" spans="1:7" x14ac:dyDescent="0.3">
      <c r="A233" s="1">
        <v>39538</v>
      </c>
      <c r="B233">
        <v>1.0071000000000001</v>
      </c>
      <c r="C233">
        <f t="shared" si="12"/>
        <v>0.99295005461225294</v>
      </c>
      <c r="D233">
        <v>-2.0699999999999998</v>
      </c>
      <c r="E233">
        <f t="shared" si="13"/>
        <v>0.99274305461225298</v>
      </c>
      <c r="F233">
        <f t="shared" si="14"/>
        <v>1.0073099936121754</v>
      </c>
      <c r="G233" s="4">
        <f t="shared" si="15"/>
        <v>4.8164320878050962E-2</v>
      </c>
    </row>
    <row r="234" spans="1:7" x14ac:dyDescent="0.3">
      <c r="A234" s="1">
        <v>39568</v>
      </c>
      <c r="B234">
        <v>0.96660000000000001</v>
      </c>
      <c r="C234">
        <f t="shared" si="12"/>
        <v>1.0345541071798054</v>
      </c>
      <c r="D234">
        <v>-4.74</v>
      </c>
      <c r="E234">
        <f t="shared" si="13"/>
        <v>1.0340801071798054</v>
      </c>
      <c r="F234">
        <f t="shared" si="14"/>
        <v>0.96704306857546041</v>
      </c>
      <c r="G234" s="4">
        <f t="shared" si="15"/>
        <v>-4.0414563411796334E-2</v>
      </c>
    </row>
    <row r="235" spans="1:7" x14ac:dyDescent="0.3">
      <c r="A235" s="1">
        <v>39598</v>
      </c>
      <c r="B235">
        <v>0.95950000000000002</v>
      </c>
      <c r="C235">
        <f t="shared" si="12"/>
        <v>1.0422094841063054</v>
      </c>
      <c r="D235">
        <v>-2.74</v>
      </c>
      <c r="E235">
        <f t="shared" si="13"/>
        <v>1.0419354841063053</v>
      </c>
      <c r="F235">
        <f t="shared" si="14"/>
        <v>0.95975232176464897</v>
      </c>
      <c r="G235" s="4">
        <f t="shared" si="15"/>
        <v>-7.8001371609766994E-3</v>
      </c>
    </row>
    <row r="236" spans="1:7" x14ac:dyDescent="0.3">
      <c r="A236" s="1">
        <v>39629</v>
      </c>
      <c r="B236">
        <v>0.97929999999999995</v>
      </c>
      <c r="C236">
        <f t="shared" si="12"/>
        <v>1.0211375472276116</v>
      </c>
      <c r="D236">
        <v>-4.07</v>
      </c>
      <c r="E236">
        <f t="shared" si="13"/>
        <v>1.0207305472276116</v>
      </c>
      <c r="F236">
        <f t="shared" si="14"/>
        <v>0.97969048023112715</v>
      </c>
      <c r="G236" s="4">
        <f t="shared" si="15"/>
        <v>2.0367419585304705E-2</v>
      </c>
    </row>
    <row r="237" spans="1:7" x14ac:dyDescent="0.3">
      <c r="A237" s="1">
        <v>39660</v>
      </c>
      <c r="B237">
        <v>0.95509999999999995</v>
      </c>
      <c r="C237">
        <f t="shared" si="12"/>
        <v>1.0470107842110774</v>
      </c>
      <c r="D237">
        <v>-3.02</v>
      </c>
      <c r="E237">
        <f t="shared" si="13"/>
        <v>1.0467087842110774</v>
      </c>
      <c r="F237">
        <f t="shared" si="14"/>
        <v>0.95537556872011675</v>
      </c>
      <c r="G237" s="4">
        <f t="shared" si="15"/>
        <v>-2.5100254342908229E-2</v>
      </c>
    </row>
    <row r="238" spans="1:7" x14ac:dyDescent="0.3">
      <c r="A238" s="1">
        <v>39689</v>
      </c>
      <c r="B238">
        <v>0.90800000000000003</v>
      </c>
      <c r="C238">
        <f t="shared" si="12"/>
        <v>1.1013215859030836</v>
      </c>
      <c r="D238">
        <v>-3.84</v>
      </c>
      <c r="E238">
        <f t="shared" si="13"/>
        <v>1.1009375859030837</v>
      </c>
      <c r="F238">
        <f t="shared" si="14"/>
        <v>0.90831670460202707</v>
      </c>
      <c r="G238" s="4">
        <f t="shared" si="15"/>
        <v>-4.9588423936341719E-2</v>
      </c>
    </row>
    <row r="239" spans="1:7" x14ac:dyDescent="0.3">
      <c r="A239" s="1">
        <v>39721</v>
      </c>
      <c r="B239">
        <v>0.89119999999999999</v>
      </c>
      <c r="C239">
        <f t="shared" si="12"/>
        <v>1.1220825852782765</v>
      </c>
      <c r="D239">
        <v>-42</v>
      </c>
      <c r="E239">
        <f t="shared" si="13"/>
        <v>1.1178825852782766</v>
      </c>
      <c r="F239">
        <f t="shared" si="14"/>
        <v>0.89454833018180369</v>
      </c>
      <c r="G239" s="4">
        <f t="shared" si="15"/>
        <v>-1.8844423443171891E-2</v>
      </c>
    </row>
    <row r="240" spans="1:7" x14ac:dyDescent="0.3">
      <c r="A240" s="1">
        <v>39752</v>
      </c>
      <c r="B240">
        <v>0.86140000000000005</v>
      </c>
      <c r="C240">
        <f t="shared" si="12"/>
        <v>1.1609008590666356</v>
      </c>
      <c r="D240">
        <v>-4.5</v>
      </c>
      <c r="E240">
        <f t="shared" si="13"/>
        <v>1.1604508590666356</v>
      </c>
      <c r="F240">
        <f t="shared" si="14"/>
        <v>0.86173403396358539</v>
      </c>
      <c r="G240" s="4">
        <f t="shared" si="15"/>
        <v>-3.7055941041292562E-2</v>
      </c>
    </row>
    <row r="241" spans="1:7" x14ac:dyDescent="0.3">
      <c r="A241" s="1">
        <v>39780</v>
      </c>
      <c r="B241">
        <v>0.82410000000000005</v>
      </c>
      <c r="C241">
        <f t="shared" si="12"/>
        <v>1.2134449702705981</v>
      </c>
      <c r="D241">
        <v>-25.86</v>
      </c>
      <c r="E241">
        <f t="shared" si="13"/>
        <v>1.2108589702705981</v>
      </c>
      <c r="F241">
        <f t="shared" si="14"/>
        <v>0.82586000892946587</v>
      </c>
      <c r="G241" s="4">
        <f t="shared" si="15"/>
        <v>-4.3672447043185542E-2</v>
      </c>
    </row>
    <row r="242" spans="1:7" x14ac:dyDescent="0.3">
      <c r="A242" s="1">
        <v>39813</v>
      </c>
      <c r="B242">
        <v>0.93259999999999998</v>
      </c>
      <c r="C242">
        <f t="shared" si="12"/>
        <v>1.0722710701265281</v>
      </c>
      <c r="D242">
        <v>-4.05</v>
      </c>
      <c r="E242">
        <f t="shared" si="13"/>
        <v>1.0718660701265281</v>
      </c>
      <c r="F242">
        <f t="shared" si="14"/>
        <v>0.93295237891237226</v>
      </c>
      <c r="G242" s="4">
        <f t="shared" si="15"/>
        <v>0.12924707567435978</v>
      </c>
    </row>
    <row r="243" spans="1:7" x14ac:dyDescent="0.3">
      <c r="A243" s="1">
        <v>39843</v>
      </c>
      <c r="B243">
        <v>0.8619</v>
      </c>
      <c r="C243">
        <f t="shared" si="12"/>
        <v>1.1602274045712959</v>
      </c>
      <c r="D243">
        <v>-4.47</v>
      </c>
      <c r="E243">
        <f t="shared" si="13"/>
        <v>1.1597804045712958</v>
      </c>
      <c r="F243">
        <f t="shared" si="14"/>
        <v>0.86223219159289255</v>
      </c>
      <c r="G243" s="4">
        <f t="shared" si="15"/>
        <v>-7.6158634157945451E-2</v>
      </c>
    </row>
    <row r="244" spans="1:7" x14ac:dyDescent="0.3">
      <c r="A244" s="1">
        <v>39871</v>
      </c>
      <c r="B244">
        <v>0.85529999999999995</v>
      </c>
      <c r="C244">
        <f t="shared" si="12"/>
        <v>1.16918040453642</v>
      </c>
      <c r="D244">
        <v>-6.24</v>
      </c>
      <c r="E244">
        <f t="shared" si="13"/>
        <v>1.1685564045364201</v>
      </c>
      <c r="F244">
        <f t="shared" si="14"/>
        <v>0.85575672352479348</v>
      </c>
      <c r="G244" s="4">
        <f t="shared" si="15"/>
        <v>-8.0398199701707165E-3</v>
      </c>
    </row>
    <row r="245" spans="1:7" x14ac:dyDescent="0.3">
      <c r="A245" s="1">
        <v>39903</v>
      </c>
      <c r="B245">
        <v>0.87760000000000005</v>
      </c>
      <c r="C245">
        <f t="shared" si="12"/>
        <v>1.1394712853236098</v>
      </c>
      <c r="D245">
        <v>-7.2</v>
      </c>
      <c r="E245">
        <f t="shared" si="13"/>
        <v>1.1387512853236097</v>
      </c>
      <c r="F245">
        <f t="shared" si="14"/>
        <v>0.87815488148127141</v>
      </c>
      <c r="G245" s="4">
        <f t="shared" si="15"/>
        <v>2.5525100621162349E-2</v>
      </c>
    </row>
    <row r="246" spans="1:7" x14ac:dyDescent="0.3">
      <c r="A246" s="1">
        <v>39933</v>
      </c>
      <c r="B246">
        <v>0.87690000000000001</v>
      </c>
      <c r="C246">
        <f t="shared" si="12"/>
        <v>1.1403808872163301</v>
      </c>
      <c r="D246">
        <v>-4.9000000000000004</v>
      </c>
      <c r="E246">
        <f t="shared" si="13"/>
        <v>1.13989088721633</v>
      </c>
      <c r="F246">
        <f t="shared" si="14"/>
        <v>0.8772769492368252</v>
      </c>
      <c r="G246" s="4">
        <f t="shared" si="15"/>
        <v>-1.4289978997265988E-3</v>
      </c>
    </row>
    <row r="247" spans="1:7" x14ac:dyDescent="0.3">
      <c r="A247" s="1">
        <v>39962</v>
      </c>
      <c r="B247">
        <v>0.93720000000000003</v>
      </c>
      <c r="C247">
        <f t="shared" si="12"/>
        <v>1.0670081092616304</v>
      </c>
      <c r="D247">
        <v>-3.65</v>
      </c>
      <c r="E247">
        <f t="shared" si="13"/>
        <v>1.0666431092616304</v>
      </c>
      <c r="F247">
        <f t="shared" si="14"/>
        <v>0.93752070520779607</v>
      </c>
      <c r="G247" s="4">
        <f t="shared" si="15"/>
        <v>6.8305739499144549E-2</v>
      </c>
    </row>
    <row r="248" spans="1:7" x14ac:dyDescent="0.3">
      <c r="A248" s="1">
        <v>39994</v>
      </c>
      <c r="B248">
        <v>0.92079999999999995</v>
      </c>
      <c r="C248">
        <f t="shared" si="12"/>
        <v>1.0860121633362294</v>
      </c>
      <c r="D248">
        <v>-4.3600000000000003</v>
      </c>
      <c r="E248">
        <f t="shared" si="13"/>
        <v>1.0855761633362293</v>
      </c>
      <c r="F248">
        <f t="shared" si="14"/>
        <v>0.92116982094261013</v>
      </c>
      <c r="G248" s="4">
        <f t="shared" si="15"/>
        <v>-1.7835024991890786E-2</v>
      </c>
    </row>
    <row r="249" spans="1:7" x14ac:dyDescent="0.3">
      <c r="A249" s="1">
        <v>40025</v>
      </c>
      <c r="B249">
        <v>0.93610000000000004</v>
      </c>
      <c r="C249">
        <f t="shared" si="12"/>
        <v>1.0682619378271552</v>
      </c>
      <c r="D249">
        <v>-3.1</v>
      </c>
      <c r="E249">
        <f t="shared" si="13"/>
        <v>1.0679519378271551</v>
      </c>
      <c r="F249">
        <f t="shared" si="14"/>
        <v>0.93637172664772772</v>
      </c>
      <c r="G249" s="4">
        <f t="shared" si="15"/>
        <v>1.6207846499044262E-2</v>
      </c>
    </row>
    <row r="250" spans="1:7" x14ac:dyDescent="0.3">
      <c r="A250" s="1">
        <v>40056</v>
      </c>
      <c r="B250">
        <v>0.94440000000000002</v>
      </c>
      <c r="C250">
        <f t="shared" si="12"/>
        <v>1.058873358746294</v>
      </c>
      <c r="D250">
        <v>-2.67</v>
      </c>
      <c r="E250">
        <f t="shared" si="13"/>
        <v>1.0586063587462939</v>
      </c>
      <c r="F250">
        <f t="shared" si="14"/>
        <v>0.94463819505514646</v>
      </c>
      <c r="G250" s="4">
        <f t="shared" si="15"/>
        <v>8.5738100839653098E-3</v>
      </c>
    </row>
    <row r="251" spans="1:7" x14ac:dyDescent="0.3">
      <c r="A251" s="1">
        <v>40086</v>
      </c>
      <c r="B251">
        <v>0.96509999999999996</v>
      </c>
      <c r="C251">
        <f t="shared" si="12"/>
        <v>1.0361620557455187</v>
      </c>
      <c r="D251">
        <v>-2.4500000000000002</v>
      </c>
      <c r="E251">
        <f t="shared" si="13"/>
        <v>1.0359170557455186</v>
      </c>
      <c r="F251">
        <f t="shared" si="14"/>
        <v>0.96532825138237521</v>
      </c>
      <c r="G251" s="4">
        <f t="shared" si="15"/>
        <v>2.1660996826048277E-2</v>
      </c>
    </row>
    <row r="252" spans="1:7" x14ac:dyDescent="0.3">
      <c r="A252" s="1">
        <v>40116</v>
      </c>
      <c r="B252">
        <v>0.97450000000000003</v>
      </c>
      <c r="C252">
        <f t="shared" si="12"/>
        <v>1.026167265264238</v>
      </c>
      <c r="D252">
        <v>-2.0499999999999998</v>
      </c>
      <c r="E252">
        <f t="shared" si="13"/>
        <v>1.0259622652642379</v>
      </c>
      <c r="F252">
        <f t="shared" si="14"/>
        <v>0.97469471720039202</v>
      </c>
      <c r="G252" s="4">
        <f t="shared" si="15"/>
        <v>9.5011708240079346E-3</v>
      </c>
    </row>
    <row r="253" spans="1:7" x14ac:dyDescent="0.3">
      <c r="A253" s="1">
        <v>40147</v>
      </c>
      <c r="B253">
        <v>0.99470000000000003</v>
      </c>
      <c r="C253">
        <f t="shared" si="12"/>
        <v>1.0053282396702523</v>
      </c>
      <c r="D253">
        <v>-2.33</v>
      </c>
      <c r="E253">
        <f t="shared" si="13"/>
        <v>1.0050952396702524</v>
      </c>
      <c r="F253">
        <f t="shared" si="14"/>
        <v>0.99493059018772789</v>
      </c>
      <c r="G253" s="4">
        <f t="shared" si="15"/>
        <v>2.0524665258337522E-2</v>
      </c>
    </row>
    <row r="254" spans="1:7" x14ac:dyDescent="0.3">
      <c r="A254" s="1">
        <v>40178</v>
      </c>
      <c r="B254">
        <v>0.96750000000000003</v>
      </c>
      <c r="C254">
        <f t="shared" si="12"/>
        <v>1.0335917312661498</v>
      </c>
      <c r="D254">
        <v>-2</v>
      </c>
      <c r="E254">
        <f t="shared" si="13"/>
        <v>1.0333917312661498</v>
      </c>
      <c r="F254">
        <f t="shared" si="14"/>
        <v>0.96768724748238788</v>
      </c>
      <c r="G254" s="4">
        <f t="shared" si="15"/>
        <v>-2.7570355619030811E-2</v>
      </c>
    </row>
    <row r="255" spans="1:7" x14ac:dyDescent="0.3">
      <c r="A255" s="1">
        <v>40207</v>
      </c>
      <c r="B255">
        <v>0.94289999999999996</v>
      </c>
      <c r="C255">
        <f t="shared" si="12"/>
        <v>1.0605578534309048</v>
      </c>
      <c r="D255">
        <v>-1.75</v>
      </c>
      <c r="E255">
        <f t="shared" si="13"/>
        <v>1.0603828534309048</v>
      </c>
      <c r="F255">
        <f t="shared" si="14"/>
        <v>0.94305561124877302</v>
      </c>
      <c r="G255" s="4">
        <f t="shared" si="15"/>
        <v>-2.5614936589147368E-2</v>
      </c>
    </row>
    <row r="256" spans="1:7" x14ac:dyDescent="0.3">
      <c r="A256" s="1">
        <v>40235</v>
      </c>
      <c r="B256">
        <v>0.93159999999999998</v>
      </c>
      <c r="C256">
        <f t="shared" si="12"/>
        <v>1.0734220695577501</v>
      </c>
      <c r="D256">
        <v>-2.4</v>
      </c>
      <c r="E256">
        <f t="shared" si="13"/>
        <v>1.0731820695577501</v>
      </c>
      <c r="F256">
        <f t="shared" si="14"/>
        <v>0.9318083374353171</v>
      </c>
      <c r="G256" s="4">
        <f t="shared" si="15"/>
        <v>-1.2147333743769121E-2</v>
      </c>
    </row>
    <row r="257" spans="1:7" x14ac:dyDescent="0.3">
      <c r="A257" s="1">
        <v>40268</v>
      </c>
      <c r="B257">
        <v>0.94879999999999998</v>
      </c>
      <c r="C257">
        <f t="shared" si="12"/>
        <v>1.0539629005059021</v>
      </c>
      <c r="D257">
        <v>-2.7</v>
      </c>
      <c r="E257">
        <f t="shared" si="13"/>
        <v>1.0536929005059021</v>
      </c>
      <c r="F257">
        <f t="shared" si="14"/>
        <v>0.94904312207083963</v>
      </c>
      <c r="G257" s="4">
        <f t="shared" si="15"/>
        <v>1.8235147596393317E-2</v>
      </c>
    </row>
    <row r="258" spans="1:7" x14ac:dyDescent="0.3">
      <c r="A258" s="1">
        <v>40298</v>
      </c>
      <c r="B258">
        <v>0.92810000000000004</v>
      </c>
      <c r="C258">
        <f t="shared" si="12"/>
        <v>1.0774701002047193</v>
      </c>
      <c r="D258">
        <v>-4.3899999999999997</v>
      </c>
      <c r="E258">
        <f t="shared" si="13"/>
        <v>1.0770311002047193</v>
      </c>
      <c r="F258">
        <f t="shared" si="14"/>
        <v>0.92847829538991267</v>
      </c>
      <c r="G258" s="4">
        <f t="shared" si="15"/>
        <v>-2.2067619040472147E-2</v>
      </c>
    </row>
    <row r="259" spans="1:7" x14ac:dyDescent="0.3">
      <c r="A259" s="1">
        <v>40329</v>
      </c>
      <c r="B259">
        <v>0.8659</v>
      </c>
      <c r="C259">
        <f t="shared" ref="C259:C322" si="16">1/B259</f>
        <v>1.1548677676406052</v>
      </c>
      <c r="D259">
        <v>-9.1</v>
      </c>
      <c r="E259">
        <f t="shared" ref="E259:E322" si="17">C259+D259/10^4</f>
        <v>1.1539577676406052</v>
      </c>
      <c r="F259">
        <f t="shared" ref="F259:F322" si="18">1/E259</f>
        <v>0.86658284041417832</v>
      </c>
      <c r="G259" s="4">
        <f t="shared" si="15"/>
        <v>-6.7398770332733546E-2</v>
      </c>
    </row>
    <row r="260" spans="1:7" x14ac:dyDescent="0.3">
      <c r="A260" s="1">
        <v>40359</v>
      </c>
      <c r="B260">
        <v>0.92830000000000001</v>
      </c>
      <c r="C260">
        <f t="shared" si="16"/>
        <v>1.0772379618657761</v>
      </c>
      <c r="D260">
        <v>-5.05</v>
      </c>
      <c r="E260">
        <f t="shared" si="17"/>
        <v>1.0767329618657762</v>
      </c>
      <c r="F260">
        <f t="shared" si="18"/>
        <v>0.92873538325341842</v>
      </c>
      <c r="G260" s="4">
        <f t="shared" ref="G260:G323" si="19">(B260-F259)/F259</f>
        <v>7.121899570077378E-2</v>
      </c>
    </row>
    <row r="261" spans="1:7" x14ac:dyDescent="0.3">
      <c r="A261" s="1">
        <v>40389</v>
      </c>
      <c r="B261">
        <v>0.96050000000000002</v>
      </c>
      <c r="C261">
        <f t="shared" si="16"/>
        <v>1.0411244143675169</v>
      </c>
      <c r="D261">
        <v>-3.5</v>
      </c>
      <c r="E261">
        <f t="shared" si="17"/>
        <v>1.0407744143675168</v>
      </c>
      <c r="F261">
        <f t="shared" si="18"/>
        <v>0.96082300467359627</v>
      </c>
      <c r="G261" s="4">
        <f t="shared" si="19"/>
        <v>3.420200987207804E-2</v>
      </c>
    </row>
    <row r="262" spans="1:7" x14ac:dyDescent="0.3">
      <c r="A262" s="1">
        <v>40421</v>
      </c>
      <c r="B262">
        <v>0.98509999999999998</v>
      </c>
      <c r="C262">
        <f t="shared" si="16"/>
        <v>1.0151253679829459</v>
      </c>
      <c r="D262">
        <v>-2.75</v>
      </c>
      <c r="E262">
        <f t="shared" si="17"/>
        <v>1.0148503679829459</v>
      </c>
      <c r="F262">
        <f t="shared" si="18"/>
        <v>0.98536693836702094</v>
      </c>
      <c r="G262" s="4">
        <f t="shared" si="19"/>
        <v>2.5266875593440759E-2</v>
      </c>
    </row>
    <row r="263" spans="1:7" x14ac:dyDescent="0.3">
      <c r="A263" s="1">
        <v>40451</v>
      </c>
      <c r="B263">
        <v>1.0177</v>
      </c>
      <c r="C263">
        <f t="shared" si="16"/>
        <v>0.98260784121057276</v>
      </c>
      <c r="D263">
        <v>-2.96</v>
      </c>
      <c r="E263">
        <f t="shared" si="17"/>
        <v>0.9823118412105728</v>
      </c>
      <c r="F263">
        <f t="shared" si="18"/>
        <v>1.0180066635129115</v>
      </c>
      <c r="G263" s="4">
        <f t="shared" si="19"/>
        <v>3.281321949624412E-2</v>
      </c>
    </row>
    <row r="264" spans="1:7" x14ac:dyDescent="0.3">
      <c r="A264" s="1">
        <v>40480</v>
      </c>
      <c r="B264">
        <v>1.018</v>
      </c>
      <c r="C264">
        <f t="shared" si="16"/>
        <v>0.98231827111984282</v>
      </c>
      <c r="D264">
        <v>-2.35</v>
      </c>
      <c r="E264">
        <f t="shared" si="17"/>
        <v>0.98208327111984284</v>
      </c>
      <c r="F264">
        <f t="shared" si="18"/>
        <v>1.0182435944150918</v>
      </c>
      <c r="G264" s="4">
        <f t="shared" si="19"/>
        <v>-6.5456476369802086E-6</v>
      </c>
    </row>
    <row r="265" spans="1:7" x14ac:dyDescent="0.3">
      <c r="A265" s="1">
        <v>40512</v>
      </c>
      <c r="B265">
        <v>0.99660000000000004</v>
      </c>
      <c r="C265">
        <f t="shared" si="16"/>
        <v>1.0034115994380894</v>
      </c>
      <c r="D265">
        <v>-5.45</v>
      </c>
      <c r="E265">
        <f t="shared" si="17"/>
        <v>1.0028665994380894</v>
      </c>
      <c r="F265">
        <f t="shared" si="18"/>
        <v>0.99714159446560924</v>
      </c>
      <c r="G265" s="4">
        <f t="shared" si="19"/>
        <v>-2.12558120019645E-2</v>
      </c>
    </row>
    <row r="266" spans="1:7" x14ac:dyDescent="0.3">
      <c r="A266" s="1">
        <v>40543</v>
      </c>
      <c r="B266">
        <v>1.0692999999999999</v>
      </c>
      <c r="C266">
        <f t="shared" si="16"/>
        <v>0.9351912466099318</v>
      </c>
      <c r="D266">
        <v>-3.75</v>
      </c>
      <c r="E266">
        <f t="shared" si="17"/>
        <v>0.93481624660993179</v>
      </c>
      <c r="F266">
        <f t="shared" si="18"/>
        <v>1.0697289479365106</v>
      </c>
      <c r="G266" s="4">
        <f t="shared" si="19"/>
        <v>7.2365254779148999E-2</v>
      </c>
    </row>
    <row r="267" spans="1:7" x14ac:dyDescent="0.3">
      <c r="A267" s="1">
        <v>40574</v>
      </c>
      <c r="B267">
        <v>1.0592999999999999</v>
      </c>
      <c r="C267">
        <f t="shared" si="16"/>
        <v>0.94401963560842073</v>
      </c>
      <c r="D267">
        <v>-2.5499999999999998</v>
      </c>
      <c r="E267">
        <f t="shared" si="17"/>
        <v>0.94376463560842072</v>
      </c>
      <c r="F267">
        <f t="shared" si="18"/>
        <v>1.0595862170183203</v>
      </c>
      <c r="G267" s="4">
        <f t="shared" si="19"/>
        <v>-9.7491499660993484E-3</v>
      </c>
    </row>
    <row r="268" spans="1:7" x14ac:dyDescent="0.3">
      <c r="A268" s="1">
        <v>40602</v>
      </c>
      <c r="B268">
        <v>1.0765</v>
      </c>
      <c r="C268">
        <f t="shared" si="16"/>
        <v>0.92893636785880163</v>
      </c>
      <c r="D268">
        <v>-2.6</v>
      </c>
      <c r="E268">
        <f t="shared" si="17"/>
        <v>0.92867636785880159</v>
      </c>
      <c r="F268">
        <f t="shared" si="18"/>
        <v>1.0768013859399108</v>
      </c>
      <c r="G268" s="4">
        <f t="shared" si="19"/>
        <v>1.596263023246482E-2</v>
      </c>
    </row>
    <row r="269" spans="1:7" x14ac:dyDescent="0.3">
      <c r="A269" s="1">
        <v>40633</v>
      </c>
      <c r="B269">
        <v>1.0881000000000001</v>
      </c>
      <c r="C269">
        <f t="shared" si="16"/>
        <v>0.91903317709769317</v>
      </c>
      <c r="D269">
        <v>-1.7</v>
      </c>
      <c r="E269">
        <f t="shared" si="17"/>
        <v>0.91886317709769316</v>
      </c>
      <c r="F269">
        <f t="shared" si="18"/>
        <v>1.0883013107115516</v>
      </c>
      <c r="G269" s="4">
        <f t="shared" si="19"/>
        <v>1.0492755867162074E-2</v>
      </c>
    </row>
    <row r="270" spans="1:7" x14ac:dyDescent="0.3">
      <c r="A270" s="1">
        <v>40662</v>
      </c>
      <c r="B270">
        <v>1.1556999999999999</v>
      </c>
      <c r="C270">
        <f t="shared" si="16"/>
        <v>0.86527645582763701</v>
      </c>
      <c r="D270">
        <v>-1.6</v>
      </c>
      <c r="E270">
        <f t="shared" si="17"/>
        <v>0.86511645582763697</v>
      </c>
      <c r="F270">
        <f t="shared" si="18"/>
        <v>1.1559137423219201</v>
      </c>
      <c r="G270" s="4">
        <f t="shared" si="19"/>
        <v>6.1930173771803945E-2</v>
      </c>
    </row>
    <row r="271" spans="1:7" x14ac:dyDescent="0.3">
      <c r="A271" s="1">
        <v>40694</v>
      </c>
      <c r="B271">
        <v>1.1711</v>
      </c>
      <c r="C271">
        <f t="shared" si="16"/>
        <v>0.85389804457347795</v>
      </c>
      <c r="D271">
        <v>-1.5</v>
      </c>
      <c r="E271">
        <f t="shared" si="17"/>
        <v>0.85374804457347797</v>
      </c>
      <c r="F271">
        <f t="shared" si="18"/>
        <v>1.1713057574258781</v>
      </c>
      <c r="G271" s="4">
        <f t="shared" si="19"/>
        <v>1.3137881419745728E-2</v>
      </c>
    </row>
    <row r="272" spans="1:7" x14ac:dyDescent="0.3">
      <c r="A272" s="1">
        <v>40724</v>
      </c>
      <c r="B272">
        <v>1.1898</v>
      </c>
      <c r="C272">
        <f t="shared" si="16"/>
        <v>0.84047739115817788</v>
      </c>
      <c r="D272">
        <v>-1.6</v>
      </c>
      <c r="E272">
        <f t="shared" si="17"/>
        <v>0.84031739115817783</v>
      </c>
      <c r="F272">
        <f t="shared" si="18"/>
        <v>1.1900265429729326</v>
      </c>
      <c r="G272" s="4">
        <f t="shared" si="19"/>
        <v>1.5789423433524147E-2</v>
      </c>
    </row>
    <row r="273" spans="1:7" x14ac:dyDescent="0.3">
      <c r="A273" s="1">
        <v>40753</v>
      </c>
      <c r="B273">
        <v>1.2727999999999999</v>
      </c>
      <c r="C273">
        <f t="shared" si="16"/>
        <v>0.78566939032055316</v>
      </c>
      <c r="D273">
        <v>-4.32</v>
      </c>
      <c r="E273">
        <f t="shared" si="17"/>
        <v>0.78523739032055317</v>
      </c>
      <c r="F273">
        <f t="shared" si="18"/>
        <v>1.2735002335940415</v>
      </c>
      <c r="G273" s="4">
        <f t="shared" si="19"/>
        <v>6.9555975466128725E-2</v>
      </c>
    </row>
    <row r="274" spans="1:7" x14ac:dyDescent="0.3">
      <c r="A274" s="1">
        <v>40786</v>
      </c>
      <c r="B274">
        <v>1.2407999999999999</v>
      </c>
      <c r="C274">
        <f t="shared" si="16"/>
        <v>0.80593165699548686</v>
      </c>
      <c r="D274">
        <v>-6.8</v>
      </c>
      <c r="E274">
        <f t="shared" si="17"/>
        <v>0.80525165699548684</v>
      </c>
      <c r="F274">
        <f t="shared" si="18"/>
        <v>1.2418478016315397</v>
      </c>
      <c r="G274" s="4">
        <f t="shared" si="19"/>
        <v>-2.5677446090257721E-2</v>
      </c>
    </row>
    <row r="275" spans="1:7" x14ac:dyDescent="0.3">
      <c r="A275" s="1">
        <v>40816</v>
      </c>
      <c r="B275">
        <v>1.1011</v>
      </c>
      <c r="C275">
        <f t="shared" si="16"/>
        <v>0.90818272636454456</v>
      </c>
      <c r="D275">
        <v>-5.47</v>
      </c>
      <c r="E275">
        <f t="shared" si="17"/>
        <v>0.90763572636454459</v>
      </c>
      <c r="F275">
        <f t="shared" si="18"/>
        <v>1.1017635940857158</v>
      </c>
      <c r="G275" s="4">
        <f t="shared" si="19"/>
        <v>-0.11333740048226948</v>
      </c>
    </row>
    <row r="276" spans="1:7" x14ac:dyDescent="0.3">
      <c r="A276" s="1">
        <v>40847</v>
      </c>
      <c r="B276">
        <v>1.1403000000000001</v>
      </c>
      <c r="C276">
        <f t="shared" si="16"/>
        <v>0.87696220292905369</v>
      </c>
      <c r="D276">
        <v>-3.57</v>
      </c>
      <c r="E276">
        <f t="shared" si="17"/>
        <v>0.87660520292905364</v>
      </c>
      <c r="F276">
        <f t="shared" si="18"/>
        <v>1.1407643904674989</v>
      </c>
      <c r="G276" s="4">
        <f t="shared" si="19"/>
        <v>3.4977018773490375E-2</v>
      </c>
    </row>
    <row r="277" spans="1:7" x14ac:dyDescent="0.3">
      <c r="A277" s="1">
        <v>40877</v>
      </c>
      <c r="B277">
        <v>1.095</v>
      </c>
      <c r="C277">
        <f t="shared" si="16"/>
        <v>0.91324200913242015</v>
      </c>
      <c r="D277">
        <v>-7.87</v>
      </c>
      <c r="E277">
        <f t="shared" si="17"/>
        <v>0.91245500913242017</v>
      </c>
      <c r="F277">
        <f t="shared" si="18"/>
        <v>1.0959444465659949</v>
      </c>
      <c r="G277" s="4">
        <f t="shared" si="19"/>
        <v>-4.0117302792686334E-2</v>
      </c>
    </row>
    <row r="278" spans="1:7" x14ac:dyDescent="0.3">
      <c r="A278" s="1">
        <v>40907</v>
      </c>
      <c r="B278">
        <v>1.0647</v>
      </c>
      <c r="C278">
        <f t="shared" si="16"/>
        <v>0.93923170846247772</v>
      </c>
      <c r="D278">
        <v>-4.8099999999999996</v>
      </c>
      <c r="E278">
        <f t="shared" si="17"/>
        <v>0.93875070846247777</v>
      </c>
      <c r="F278">
        <f t="shared" si="18"/>
        <v>1.0652455342886917</v>
      </c>
      <c r="G278" s="4">
        <f t="shared" si="19"/>
        <v>-2.8509151776712288E-2</v>
      </c>
    </row>
    <row r="279" spans="1:7" x14ac:dyDescent="0.3">
      <c r="A279" s="1">
        <v>40939</v>
      </c>
      <c r="B279">
        <v>1.0868</v>
      </c>
      <c r="C279">
        <f t="shared" si="16"/>
        <v>0.92013249907986749</v>
      </c>
      <c r="D279">
        <v>-3.63</v>
      </c>
      <c r="E279">
        <f t="shared" si="17"/>
        <v>0.91976949907986749</v>
      </c>
      <c r="F279">
        <f t="shared" si="18"/>
        <v>1.0872289209420345</v>
      </c>
      <c r="G279" s="4">
        <f t="shared" si="19"/>
        <v>2.0234269957020812E-2</v>
      </c>
    </row>
    <row r="280" spans="1:7" x14ac:dyDescent="0.3">
      <c r="A280" s="1">
        <v>40968</v>
      </c>
      <c r="B280">
        <v>1.1055999999999999</v>
      </c>
      <c r="C280">
        <f t="shared" si="16"/>
        <v>0.90448625180897257</v>
      </c>
      <c r="D280">
        <v>-2.83</v>
      </c>
      <c r="E280">
        <f t="shared" si="17"/>
        <v>0.90420325180897254</v>
      </c>
      <c r="F280">
        <f t="shared" si="18"/>
        <v>1.105946033703566</v>
      </c>
      <c r="G280" s="4">
        <f t="shared" si="19"/>
        <v>1.6897158182701502E-2</v>
      </c>
    </row>
    <row r="281" spans="1:7" x14ac:dyDescent="0.3">
      <c r="A281" s="1">
        <v>40998</v>
      </c>
      <c r="B281">
        <v>1.1080000000000001</v>
      </c>
      <c r="C281">
        <f t="shared" si="16"/>
        <v>0.90252707581227432</v>
      </c>
      <c r="D281">
        <v>-3</v>
      </c>
      <c r="E281">
        <f t="shared" si="17"/>
        <v>0.90222707581227435</v>
      </c>
      <c r="F281">
        <f t="shared" si="18"/>
        <v>1.1083684216633609</v>
      </c>
      <c r="G281" s="4">
        <f t="shared" si="19"/>
        <v>1.8572030043417112E-3</v>
      </c>
    </row>
    <row r="282" spans="1:7" x14ac:dyDescent="0.3">
      <c r="A282" s="1">
        <v>41029</v>
      </c>
      <c r="B282">
        <v>1.1019000000000001</v>
      </c>
      <c r="C282">
        <f t="shared" si="16"/>
        <v>0.90752336872674466</v>
      </c>
      <c r="D282">
        <v>-3.09</v>
      </c>
      <c r="E282">
        <f t="shared" si="17"/>
        <v>0.90721436872674466</v>
      </c>
      <c r="F282">
        <f t="shared" si="18"/>
        <v>1.1022753105238818</v>
      </c>
      <c r="G282" s="4">
        <f t="shared" si="19"/>
        <v>-5.8359851624547937E-3</v>
      </c>
    </row>
    <row r="283" spans="1:7" x14ac:dyDescent="0.3">
      <c r="A283" s="1">
        <v>41060</v>
      </c>
      <c r="B283">
        <v>1.0295000000000001</v>
      </c>
      <c r="C283">
        <f t="shared" si="16"/>
        <v>0.97134531325886342</v>
      </c>
      <c r="D283">
        <v>-4.93</v>
      </c>
      <c r="E283">
        <f t="shared" si="17"/>
        <v>0.97085231325886345</v>
      </c>
      <c r="F283">
        <f t="shared" si="18"/>
        <v>1.0300227813675351</v>
      </c>
      <c r="G283" s="4">
        <f t="shared" si="19"/>
        <v>-6.6022807395816202E-2</v>
      </c>
    </row>
    <row r="284" spans="1:7" x14ac:dyDescent="0.3">
      <c r="A284" s="1">
        <v>41089</v>
      </c>
      <c r="B284">
        <v>1.0542</v>
      </c>
      <c r="C284">
        <f t="shared" si="16"/>
        <v>0.94858660595712385</v>
      </c>
      <c r="D284">
        <v>-6.77</v>
      </c>
      <c r="E284">
        <f t="shared" si="17"/>
        <v>0.94790960595712381</v>
      </c>
      <c r="F284">
        <f t="shared" si="18"/>
        <v>1.0549529129312698</v>
      </c>
      <c r="G284" s="4">
        <f t="shared" si="19"/>
        <v>2.3472508637493856E-2</v>
      </c>
    </row>
    <row r="285" spans="1:7" x14ac:dyDescent="0.3">
      <c r="A285" s="1">
        <v>41121</v>
      </c>
      <c r="B285">
        <v>1.0241</v>
      </c>
      <c r="C285">
        <f t="shared" si="16"/>
        <v>0.97646714188067574</v>
      </c>
      <c r="D285">
        <v>-7.12</v>
      </c>
      <c r="E285">
        <f t="shared" si="17"/>
        <v>0.97575514188067569</v>
      </c>
      <c r="F285">
        <f t="shared" si="18"/>
        <v>1.0248472768204886</v>
      </c>
      <c r="G285" s="4">
        <f t="shared" si="19"/>
        <v>-2.9245772539309402E-2</v>
      </c>
    </row>
    <row r="286" spans="1:7" x14ac:dyDescent="0.3">
      <c r="A286" s="1">
        <v>41152</v>
      </c>
      <c r="B286">
        <v>1.0471999999999999</v>
      </c>
      <c r="C286">
        <f t="shared" si="16"/>
        <v>0.9549274255156609</v>
      </c>
      <c r="D286">
        <v>-4.43</v>
      </c>
      <c r="E286">
        <f t="shared" si="17"/>
        <v>0.95448442551566093</v>
      </c>
      <c r="F286">
        <f t="shared" si="18"/>
        <v>1.0476860316078487</v>
      </c>
      <c r="G286" s="4">
        <f t="shared" si="19"/>
        <v>2.181078457744353E-2</v>
      </c>
    </row>
    <row r="287" spans="1:7" x14ac:dyDescent="0.3">
      <c r="A287" s="1">
        <v>41180</v>
      </c>
      <c r="B287">
        <v>1.0640000000000001</v>
      </c>
      <c r="C287">
        <f t="shared" si="16"/>
        <v>0.93984962406015038</v>
      </c>
      <c r="D287">
        <v>-5.3</v>
      </c>
      <c r="E287">
        <f t="shared" si="17"/>
        <v>0.93931962406015035</v>
      </c>
      <c r="F287">
        <f t="shared" si="18"/>
        <v>1.0646003494290501</v>
      </c>
      <c r="G287" s="4">
        <f t="shared" si="19"/>
        <v>1.557142874866326E-2</v>
      </c>
    </row>
    <row r="288" spans="1:7" x14ac:dyDescent="0.3">
      <c r="A288" s="1">
        <v>41213</v>
      </c>
      <c r="B288">
        <v>1.0736000000000001</v>
      </c>
      <c r="C288">
        <f t="shared" si="16"/>
        <v>0.93144560357675099</v>
      </c>
      <c r="D288">
        <v>-4.2300000000000004</v>
      </c>
      <c r="E288">
        <f t="shared" si="17"/>
        <v>0.93102260357675104</v>
      </c>
      <c r="F288">
        <f t="shared" si="18"/>
        <v>1.0740877784902916</v>
      </c>
      <c r="G288" s="4">
        <f t="shared" si="19"/>
        <v>8.4535483909774518E-3</v>
      </c>
    </row>
    <row r="289" spans="1:7" x14ac:dyDescent="0.3">
      <c r="A289" s="1">
        <v>41243</v>
      </c>
      <c r="B289">
        <v>1.0774999999999999</v>
      </c>
      <c r="C289">
        <f t="shared" si="16"/>
        <v>0.92807424593967525</v>
      </c>
      <c r="D289">
        <v>-4.53</v>
      </c>
      <c r="E289">
        <f t="shared" si="17"/>
        <v>0.92762124593967521</v>
      </c>
      <c r="F289">
        <f t="shared" si="18"/>
        <v>1.0780261926698385</v>
      </c>
      <c r="G289" s="4">
        <f t="shared" si="19"/>
        <v>3.1768553539492364E-3</v>
      </c>
    </row>
    <row r="290" spans="1:7" x14ac:dyDescent="0.3">
      <c r="A290" s="1">
        <v>41274</v>
      </c>
      <c r="B290">
        <v>1.0924</v>
      </c>
      <c r="C290">
        <f t="shared" si="16"/>
        <v>0.91541559868180156</v>
      </c>
      <c r="D290">
        <v>-5.75</v>
      </c>
      <c r="E290">
        <f t="shared" si="17"/>
        <v>0.91484059868180156</v>
      </c>
      <c r="F290">
        <f t="shared" si="18"/>
        <v>1.0930866004863635</v>
      </c>
      <c r="G290" s="4">
        <f t="shared" si="19"/>
        <v>1.3333449064501323E-2</v>
      </c>
    </row>
    <row r="291" spans="1:7" x14ac:dyDescent="0.3">
      <c r="A291" s="1">
        <v>41305</v>
      </c>
      <c r="B291">
        <v>1.0989</v>
      </c>
      <c r="C291">
        <f t="shared" si="16"/>
        <v>0.91000091000090999</v>
      </c>
      <c r="D291">
        <v>-2.6</v>
      </c>
      <c r="E291">
        <f t="shared" si="17"/>
        <v>0.90974091000090995</v>
      </c>
      <c r="F291">
        <f t="shared" si="18"/>
        <v>1.0992140608461807</v>
      </c>
      <c r="G291" s="4">
        <f t="shared" si="19"/>
        <v>5.3183338914316765E-3</v>
      </c>
    </row>
    <row r="292" spans="1:7" x14ac:dyDescent="0.3">
      <c r="A292" s="1">
        <v>41333</v>
      </c>
      <c r="B292">
        <v>1.0674999999999999</v>
      </c>
      <c r="C292">
        <f t="shared" si="16"/>
        <v>0.93676814988290402</v>
      </c>
      <c r="D292">
        <v>-3.2</v>
      </c>
      <c r="E292">
        <f t="shared" si="17"/>
        <v>0.93644814988290404</v>
      </c>
      <c r="F292">
        <f t="shared" si="18"/>
        <v>1.0678647826097394</v>
      </c>
      <c r="G292" s="4">
        <f t="shared" si="19"/>
        <v>-2.885157857402873E-2</v>
      </c>
    </row>
    <row r="293" spans="1:7" x14ac:dyDescent="0.3">
      <c r="A293" s="1">
        <v>41362</v>
      </c>
      <c r="B293">
        <v>1.0531999999999999</v>
      </c>
      <c r="C293">
        <f t="shared" si="16"/>
        <v>0.94948727687049006</v>
      </c>
      <c r="D293">
        <v>-3.48</v>
      </c>
      <c r="E293">
        <f t="shared" si="17"/>
        <v>0.94913927687049005</v>
      </c>
      <c r="F293">
        <f t="shared" si="18"/>
        <v>1.0535861536540858</v>
      </c>
      <c r="G293" s="4">
        <f t="shared" si="19"/>
        <v>-1.373280854332551E-2</v>
      </c>
    </row>
    <row r="294" spans="1:7" x14ac:dyDescent="0.3">
      <c r="A294" s="1">
        <v>41394</v>
      </c>
      <c r="B294">
        <v>1.0760000000000001</v>
      </c>
      <c r="C294">
        <f t="shared" si="16"/>
        <v>0.92936802973977695</v>
      </c>
      <c r="D294">
        <v>-2.7</v>
      </c>
      <c r="E294">
        <f t="shared" si="17"/>
        <v>0.92909802973977695</v>
      </c>
      <c r="F294">
        <f t="shared" si="18"/>
        <v>1.0763126903628042</v>
      </c>
      <c r="G294" s="4">
        <f t="shared" si="19"/>
        <v>2.1273861912647334E-2</v>
      </c>
    </row>
    <row r="295" spans="1:7" x14ac:dyDescent="0.3">
      <c r="A295" s="1">
        <v>41425</v>
      </c>
      <c r="B295">
        <v>1.0468</v>
      </c>
      <c r="C295">
        <f t="shared" si="16"/>
        <v>0.95529231944975168</v>
      </c>
      <c r="D295">
        <v>-2.95</v>
      </c>
      <c r="E295">
        <f t="shared" si="17"/>
        <v>0.95499731944975164</v>
      </c>
      <c r="F295">
        <f t="shared" si="18"/>
        <v>1.0471233579756831</v>
      </c>
      <c r="G295" s="4">
        <f t="shared" si="19"/>
        <v>-2.742018246840152E-2</v>
      </c>
    </row>
    <row r="296" spans="1:7" x14ac:dyDescent="0.3">
      <c r="A296" s="1">
        <v>41453</v>
      </c>
      <c r="B296">
        <v>1.0582</v>
      </c>
      <c r="C296">
        <f t="shared" si="16"/>
        <v>0.945000945000945</v>
      </c>
      <c r="D296">
        <v>-2.5299999999999998</v>
      </c>
      <c r="E296">
        <f t="shared" si="17"/>
        <v>0.94474794500094506</v>
      </c>
      <c r="F296">
        <f t="shared" si="18"/>
        <v>1.0584833820400632</v>
      </c>
      <c r="G296" s="4">
        <f t="shared" si="19"/>
        <v>1.0578163441727116E-2</v>
      </c>
    </row>
    <row r="297" spans="1:7" x14ac:dyDescent="0.3">
      <c r="A297" s="1">
        <v>41486</v>
      </c>
      <c r="B297">
        <v>1.0794999999999999</v>
      </c>
      <c r="C297">
        <f t="shared" si="16"/>
        <v>0.92635479388605846</v>
      </c>
      <c r="D297">
        <v>-2.35</v>
      </c>
      <c r="E297">
        <f t="shared" si="17"/>
        <v>0.92611979388605847</v>
      </c>
      <c r="F297">
        <f t="shared" si="18"/>
        <v>1.0797739197473961</v>
      </c>
      <c r="G297" s="4">
        <f t="shared" si="19"/>
        <v>1.9855406628520155E-2</v>
      </c>
    </row>
    <row r="298" spans="1:7" x14ac:dyDescent="0.3">
      <c r="A298" s="1">
        <v>41516</v>
      </c>
      <c r="B298">
        <v>1.0753999999999999</v>
      </c>
      <c r="C298">
        <f t="shared" si="16"/>
        <v>0.92988655384043151</v>
      </c>
      <c r="D298">
        <v>-2.12</v>
      </c>
      <c r="E298">
        <f t="shared" si="17"/>
        <v>0.92967455384043152</v>
      </c>
      <c r="F298">
        <f t="shared" si="18"/>
        <v>1.0756452307628064</v>
      </c>
      <c r="G298" s="4">
        <f t="shared" si="19"/>
        <v>-4.0507736549327336E-3</v>
      </c>
    </row>
    <row r="299" spans="1:7" x14ac:dyDescent="0.3">
      <c r="A299" s="1">
        <v>41547</v>
      </c>
      <c r="B299">
        <v>1.1052</v>
      </c>
      <c r="C299">
        <f t="shared" si="16"/>
        <v>0.90481360839667035</v>
      </c>
      <c r="D299">
        <v>-2.2999999999999998</v>
      </c>
      <c r="E299">
        <f t="shared" si="17"/>
        <v>0.9045836083966704</v>
      </c>
      <c r="F299">
        <f t="shared" si="18"/>
        <v>1.1054810088505256</v>
      </c>
      <c r="G299" s="4">
        <f t="shared" si="19"/>
        <v>2.747631690444485E-2</v>
      </c>
    </row>
    <row r="300" spans="1:7" x14ac:dyDescent="0.3">
      <c r="A300" s="1">
        <v>41578</v>
      </c>
      <c r="B300">
        <v>1.1027</v>
      </c>
      <c r="C300">
        <f t="shared" si="16"/>
        <v>0.90686496780629366</v>
      </c>
      <c r="D300">
        <v>-2.15</v>
      </c>
      <c r="E300">
        <f t="shared" si="17"/>
        <v>0.9066499678062937</v>
      </c>
      <c r="F300">
        <f t="shared" si="18"/>
        <v>1.1029614906616867</v>
      </c>
      <c r="G300" s="4">
        <f t="shared" si="19"/>
        <v>-2.5156550209914953E-3</v>
      </c>
    </row>
    <row r="301" spans="1:7" x14ac:dyDescent="0.3">
      <c r="A301" s="1">
        <v>41607</v>
      </c>
      <c r="B301">
        <v>1.1035999999999999</v>
      </c>
      <c r="C301">
        <f t="shared" si="16"/>
        <v>0.90612540775643358</v>
      </c>
      <c r="D301">
        <v>-2.79</v>
      </c>
      <c r="E301">
        <f t="shared" si="17"/>
        <v>0.90584640775643355</v>
      </c>
      <c r="F301">
        <f t="shared" si="18"/>
        <v>1.103939907954995</v>
      </c>
      <c r="G301" s="4">
        <f t="shared" si="19"/>
        <v>5.789044710256989E-4</v>
      </c>
    </row>
    <row r="302" spans="1:7" x14ac:dyDescent="0.3">
      <c r="A302" s="1">
        <v>41639</v>
      </c>
      <c r="B302">
        <v>1.1198999999999999</v>
      </c>
      <c r="C302">
        <f t="shared" si="16"/>
        <v>0.89293686936333605</v>
      </c>
      <c r="D302">
        <v>-2.27</v>
      </c>
      <c r="E302">
        <f t="shared" si="17"/>
        <v>0.89270986936333607</v>
      </c>
      <c r="F302">
        <f t="shared" si="18"/>
        <v>1.1201847703478189</v>
      </c>
      <c r="G302" s="4">
        <f t="shared" si="19"/>
        <v>1.4457392046429741E-2</v>
      </c>
    </row>
    <row r="303" spans="1:7" x14ac:dyDescent="0.3">
      <c r="A303" s="1">
        <v>41670</v>
      </c>
      <c r="B303">
        <v>1.1032999999999999</v>
      </c>
      <c r="C303">
        <f t="shared" si="16"/>
        <v>0.90637179370977983</v>
      </c>
      <c r="D303">
        <v>-2.0699999999999998</v>
      </c>
      <c r="E303">
        <f t="shared" si="17"/>
        <v>0.90616479370977987</v>
      </c>
      <c r="F303">
        <f t="shared" si="18"/>
        <v>1.1035520326342241</v>
      </c>
      <c r="G303" s="4">
        <f t="shared" si="19"/>
        <v>-1.5073201131431419E-2</v>
      </c>
    </row>
    <row r="304" spans="1:7" x14ac:dyDescent="0.3">
      <c r="A304" s="1">
        <v>41698</v>
      </c>
      <c r="B304">
        <v>1.1361000000000001</v>
      </c>
      <c r="C304">
        <f t="shared" si="16"/>
        <v>0.88020420737611116</v>
      </c>
      <c r="D304">
        <v>-2.12</v>
      </c>
      <c r="E304">
        <f t="shared" si="17"/>
        <v>0.87999220737611117</v>
      </c>
      <c r="F304">
        <f t="shared" si="18"/>
        <v>1.1363736992418583</v>
      </c>
      <c r="G304" s="4">
        <f t="shared" si="19"/>
        <v>2.9493822133681086E-2</v>
      </c>
    </row>
    <row r="305" spans="1:7" x14ac:dyDescent="0.3">
      <c r="A305" s="1">
        <v>41729</v>
      </c>
      <c r="B305">
        <v>1.1305000000000001</v>
      </c>
      <c r="C305">
        <f t="shared" si="16"/>
        <v>0.8845643520566121</v>
      </c>
      <c r="D305">
        <v>-2.09</v>
      </c>
      <c r="E305">
        <f t="shared" si="17"/>
        <v>0.88435535205661209</v>
      </c>
      <c r="F305">
        <f t="shared" si="18"/>
        <v>1.1307671714480503</v>
      </c>
      <c r="G305" s="4">
        <f t="shared" si="19"/>
        <v>-5.1688095613061976E-3</v>
      </c>
    </row>
    <row r="306" spans="1:7" x14ac:dyDescent="0.3">
      <c r="A306" s="1">
        <v>41759</v>
      </c>
      <c r="B306">
        <v>1.1358999999999999</v>
      </c>
      <c r="C306">
        <f t="shared" si="16"/>
        <v>0.88035918654811174</v>
      </c>
      <c r="D306">
        <v>-2.13</v>
      </c>
      <c r="E306">
        <f t="shared" si="17"/>
        <v>0.88014618654811172</v>
      </c>
      <c r="F306">
        <f t="shared" si="18"/>
        <v>1.1361748937661695</v>
      </c>
      <c r="G306" s="4">
        <f t="shared" si="19"/>
        <v>4.5392444011056465E-3</v>
      </c>
    </row>
    <row r="307" spans="1:7" x14ac:dyDescent="0.3">
      <c r="A307" s="1">
        <v>41789</v>
      </c>
      <c r="B307">
        <v>1.1169</v>
      </c>
      <c r="C307">
        <f t="shared" si="16"/>
        <v>0.89533530307100007</v>
      </c>
      <c r="D307">
        <v>-2.65</v>
      </c>
      <c r="E307">
        <f t="shared" si="17"/>
        <v>0.89507030307100011</v>
      </c>
      <c r="F307">
        <f t="shared" si="18"/>
        <v>1.1172306762597133</v>
      </c>
      <c r="G307" s="4">
        <f t="shared" si="19"/>
        <v>-1.6964724244414083E-2</v>
      </c>
    </row>
    <row r="308" spans="1:7" x14ac:dyDescent="0.3">
      <c r="A308" s="1">
        <v>41820</v>
      </c>
      <c r="B308">
        <v>1.1275999999999999</v>
      </c>
      <c r="C308">
        <f t="shared" si="16"/>
        <v>0.88683930471798511</v>
      </c>
      <c r="D308">
        <v>-2.37</v>
      </c>
      <c r="E308">
        <f t="shared" si="17"/>
        <v>0.88660230471798507</v>
      </c>
      <c r="F308">
        <f t="shared" si="18"/>
        <v>1.1279014217294248</v>
      </c>
      <c r="G308" s="4">
        <f t="shared" si="19"/>
        <v>9.28127374285969E-3</v>
      </c>
    </row>
    <row r="309" spans="1:7" x14ac:dyDescent="0.3">
      <c r="A309" s="1">
        <v>41851</v>
      </c>
      <c r="B309">
        <v>1.1003000000000001</v>
      </c>
      <c r="C309">
        <f t="shared" si="16"/>
        <v>0.9088430428065073</v>
      </c>
      <c r="D309">
        <v>-1.89</v>
      </c>
      <c r="E309">
        <f t="shared" si="17"/>
        <v>0.9086540428065073</v>
      </c>
      <c r="F309">
        <f t="shared" si="18"/>
        <v>1.1005288623504692</v>
      </c>
      <c r="G309" s="4">
        <f t="shared" si="19"/>
        <v>-2.4471484118801012E-2</v>
      </c>
    </row>
    <row r="310" spans="1:7" x14ac:dyDescent="0.3">
      <c r="A310" s="1">
        <v>41880</v>
      </c>
      <c r="B310">
        <v>1.089</v>
      </c>
      <c r="C310">
        <f t="shared" si="16"/>
        <v>0.91827364554637281</v>
      </c>
      <c r="D310">
        <v>-2.4300000000000002</v>
      </c>
      <c r="E310">
        <f t="shared" si="17"/>
        <v>0.91803064554637281</v>
      </c>
      <c r="F310">
        <f t="shared" si="18"/>
        <v>1.0892882550830778</v>
      </c>
      <c r="G310" s="4">
        <f t="shared" si="19"/>
        <v>-1.0475747383713605E-2</v>
      </c>
    </row>
    <row r="311" spans="1:7" x14ac:dyDescent="0.3">
      <c r="A311" s="1">
        <v>41912</v>
      </c>
      <c r="B311">
        <v>1.0470999999999999</v>
      </c>
      <c r="C311">
        <f t="shared" si="16"/>
        <v>0.95501862286314587</v>
      </c>
      <c r="D311">
        <v>-2.4700000000000002</v>
      </c>
      <c r="E311">
        <f t="shared" si="17"/>
        <v>0.95477162286314587</v>
      </c>
      <c r="F311">
        <f t="shared" si="18"/>
        <v>1.0473708854073651</v>
      </c>
      <c r="G311" s="4">
        <f t="shared" si="19"/>
        <v>-3.8730111048393037E-2</v>
      </c>
    </row>
    <row r="312" spans="1:7" x14ac:dyDescent="0.3">
      <c r="A312" s="1">
        <v>41943</v>
      </c>
      <c r="B312">
        <v>1.0387999999999999</v>
      </c>
      <c r="C312">
        <f t="shared" si="16"/>
        <v>0.9626492106276473</v>
      </c>
      <c r="D312">
        <v>-2.1</v>
      </c>
      <c r="E312">
        <f t="shared" si="17"/>
        <v>0.96243921062764726</v>
      </c>
      <c r="F312">
        <f t="shared" si="18"/>
        <v>1.0390266615881723</v>
      </c>
      <c r="G312" s="4">
        <f t="shared" si="19"/>
        <v>-8.1832381697640975E-3</v>
      </c>
    </row>
    <row r="313" spans="1:7" x14ac:dyDescent="0.3">
      <c r="A313" s="1">
        <v>41971</v>
      </c>
      <c r="B313">
        <v>1.0354000000000001</v>
      </c>
      <c r="C313">
        <f t="shared" si="16"/>
        <v>0.96581031485416258</v>
      </c>
      <c r="D313">
        <v>-4.3499999999999996</v>
      </c>
      <c r="E313">
        <f t="shared" si="17"/>
        <v>0.96537531485416261</v>
      </c>
      <c r="F313">
        <f t="shared" si="18"/>
        <v>1.0358665532597215</v>
      </c>
      <c r="G313" s="4">
        <f t="shared" si="19"/>
        <v>-3.4904413161340165E-3</v>
      </c>
    </row>
    <row r="314" spans="1:7" x14ac:dyDescent="0.3">
      <c r="A314" s="1">
        <v>42004</v>
      </c>
      <c r="B314">
        <v>1.0057</v>
      </c>
      <c r="C314">
        <f t="shared" si="16"/>
        <v>0.99433230585661725</v>
      </c>
      <c r="D314">
        <v>-4.97</v>
      </c>
      <c r="E314">
        <f t="shared" si="17"/>
        <v>0.99383530585661728</v>
      </c>
      <c r="F314">
        <f t="shared" si="18"/>
        <v>1.006202933330155</v>
      </c>
      <c r="G314" s="4">
        <f t="shared" si="19"/>
        <v>-2.9122045851168517E-2</v>
      </c>
    </row>
    <row r="315" spans="1:7" x14ac:dyDescent="0.3">
      <c r="A315" s="1">
        <v>42034</v>
      </c>
      <c r="B315">
        <v>1.0866</v>
      </c>
      <c r="C315">
        <f t="shared" si="16"/>
        <v>0.92030185900975514</v>
      </c>
      <c r="D315">
        <v>-14.03</v>
      </c>
      <c r="E315">
        <f t="shared" si="17"/>
        <v>0.9188988590097551</v>
      </c>
      <c r="F315">
        <f t="shared" si="18"/>
        <v>1.0882590507051484</v>
      </c>
      <c r="G315" s="4">
        <f t="shared" si="19"/>
        <v>7.9901443343800282E-2</v>
      </c>
    </row>
    <row r="316" spans="1:7" x14ac:dyDescent="0.3">
      <c r="A316" s="1">
        <v>42062</v>
      </c>
      <c r="B316">
        <v>1.0484</v>
      </c>
      <c r="C316">
        <f t="shared" si="16"/>
        <v>0.95383441434566962</v>
      </c>
      <c r="D316">
        <v>-13.2</v>
      </c>
      <c r="E316">
        <f t="shared" si="17"/>
        <v>0.95251441434566964</v>
      </c>
      <c r="F316">
        <f t="shared" si="18"/>
        <v>1.0498528788007377</v>
      </c>
      <c r="G316" s="4">
        <f t="shared" si="19"/>
        <v>-3.6626436214172831E-2</v>
      </c>
    </row>
    <row r="317" spans="1:7" x14ac:dyDescent="0.3">
      <c r="A317" s="1">
        <v>42094</v>
      </c>
      <c r="B317">
        <v>1.0283</v>
      </c>
      <c r="C317">
        <f t="shared" si="16"/>
        <v>0.9724788485850433</v>
      </c>
      <c r="D317">
        <v>-12.45</v>
      </c>
      <c r="E317">
        <f t="shared" si="17"/>
        <v>0.97123384858504325</v>
      </c>
      <c r="F317">
        <f t="shared" si="18"/>
        <v>1.0296181516499503</v>
      </c>
      <c r="G317" s="4">
        <f t="shared" si="19"/>
        <v>-2.052942772834792E-2</v>
      </c>
    </row>
    <row r="318" spans="1:7" x14ac:dyDescent="0.3">
      <c r="A318" s="1">
        <v>42124</v>
      </c>
      <c r="B318">
        <v>1.0722</v>
      </c>
      <c r="C318">
        <f t="shared" si="16"/>
        <v>0.93266181682521909</v>
      </c>
      <c r="D318">
        <v>-9.99</v>
      </c>
      <c r="E318">
        <f t="shared" si="17"/>
        <v>0.93166281682521912</v>
      </c>
      <c r="F318">
        <f t="shared" si="18"/>
        <v>1.0733496946971117</v>
      </c>
      <c r="G318" s="4">
        <f t="shared" si="19"/>
        <v>4.1356932452883494E-2</v>
      </c>
    </row>
    <row r="319" spans="1:7" x14ac:dyDescent="0.3">
      <c r="A319" s="1">
        <v>42153</v>
      </c>
      <c r="B319">
        <v>1.0634999999999999</v>
      </c>
      <c r="C319">
        <f t="shared" si="16"/>
        <v>0.94029149036201232</v>
      </c>
      <c r="D319">
        <v>-10.029999999999999</v>
      </c>
      <c r="E319">
        <f t="shared" si="17"/>
        <v>0.93928849036201234</v>
      </c>
      <c r="F319">
        <f t="shared" si="18"/>
        <v>1.0646356367196501</v>
      </c>
      <c r="G319" s="4">
        <f t="shared" si="19"/>
        <v>-9.1765943063796332E-3</v>
      </c>
    </row>
    <row r="320" spans="1:7" x14ac:dyDescent="0.3">
      <c r="A320" s="1">
        <v>42185</v>
      </c>
      <c r="B320">
        <v>1.0689</v>
      </c>
      <c r="C320">
        <f t="shared" si="16"/>
        <v>0.93554121059032658</v>
      </c>
      <c r="D320">
        <v>-11.26</v>
      </c>
      <c r="E320">
        <f t="shared" si="17"/>
        <v>0.93441521059032662</v>
      </c>
      <c r="F320">
        <f t="shared" si="18"/>
        <v>1.0701880584416423</v>
      </c>
      <c r="G320" s="4">
        <f t="shared" si="19"/>
        <v>4.0054673479550072E-3</v>
      </c>
    </row>
    <row r="321" spans="1:7" x14ac:dyDescent="0.3">
      <c r="A321" s="1">
        <v>42216</v>
      </c>
      <c r="B321">
        <v>1.0348999999999999</v>
      </c>
      <c r="C321">
        <f t="shared" si="16"/>
        <v>0.96627693496956235</v>
      </c>
      <c r="D321">
        <v>-9.61</v>
      </c>
      <c r="E321">
        <f t="shared" si="17"/>
        <v>0.96531593496956236</v>
      </c>
      <c r="F321">
        <f t="shared" si="18"/>
        <v>1.0359302729541404</v>
      </c>
      <c r="G321" s="4">
        <f t="shared" si="19"/>
        <v>-3.2973698560071034E-2</v>
      </c>
    </row>
    <row r="322" spans="1:7" x14ac:dyDescent="0.3">
      <c r="A322" s="1">
        <v>42247</v>
      </c>
      <c r="B322">
        <v>1.0338000000000001</v>
      </c>
      <c r="C322">
        <f t="shared" si="16"/>
        <v>0.967305088024763</v>
      </c>
      <c r="D322">
        <v>-8.35</v>
      </c>
      <c r="E322">
        <f t="shared" si="17"/>
        <v>0.96647008802476297</v>
      </c>
      <c r="F322">
        <f t="shared" si="18"/>
        <v>1.0346931709431011</v>
      </c>
      <c r="G322" s="4">
        <f t="shared" si="19"/>
        <v>-2.0563864284663795E-3</v>
      </c>
    </row>
    <row r="323" spans="1:7" x14ac:dyDescent="0.3">
      <c r="A323" s="1">
        <v>42277</v>
      </c>
      <c r="B323">
        <v>1.0274000000000001</v>
      </c>
      <c r="C323">
        <f t="shared" ref="C323:C386" si="20">1/B323</f>
        <v>0.97333073778469914</v>
      </c>
      <c r="D323">
        <v>-9.86</v>
      </c>
      <c r="E323">
        <f t="shared" ref="E323:E386" si="21">C323+D323/10^4</f>
        <v>0.9723447377846991</v>
      </c>
      <c r="F323">
        <f t="shared" ref="F323:F386" si="22">1/E323</f>
        <v>1.0284418284386545</v>
      </c>
      <c r="G323" s="4">
        <f t="shared" si="19"/>
        <v>-7.048631563358468E-3</v>
      </c>
    </row>
    <row r="324" spans="1:7" x14ac:dyDescent="0.3">
      <c r="A324" s="1">
        <v>42307</v>
      </c>
      <c r="B324">
        <v>1.0123</v>
      </c>
      <c r="C324">
        <f t="shared" si="20"/>
        <v>0.98784945174355432</v>
      </c>
      <c r="D324">
        <v>-8.9700000000000006</v>
      </c>
      <c r="E324">
        <f t="shared" si="21"/>
        <v>0.98695245174355428</v>
      </c>
      <c r="F324">
        <f t="shared" si="22"/>
        <v>1.0132200373314801</v>
      </c>
      <c r="G324" s="4">
        <f t="shared" ref="G324:G387" si="23">(B324-F323)/F323</f>
        <v>-1.5695421940549133E-2</v>
      </c>
    </row>
    <row r="325" spans="1:7" x14ac:dyDescent="0.3">
      <c r="A325" s="1">
        <v>42338</v>
      </c>
      <c r="B325">
        <v>0.97189999999999999</v>
      </c>
      <c r="C325">
        <f t="shared" si="20"/>
        <v>1.0289124395513942</v>
      </c>
      <c r="D325">
        <v>-27.66</v>
      </c>
      <c r="E325">
        <f t="shared" si="21"/>
        <v>1.0261464395513942</v>
      </c>
      <c r="F325">
        <f t="shared" si="22"/>
        <v>0.97451977754478714</v>
      </c>
      <c r="G325" s="4">
        <f t="shared" si="23"/>
        <v>-4.0780912150439531E-2</v>
      </c>
    </row>
    <row r="326" spans="1:7" x14ac:dyDescent="0.3">
      <c r="A326" s="1">
        <v>42369</v>
      </c>
      <c r="B326">
        <v>0.99770000000000003</v>
      </c>
      <c r="C326">
        <f t="shared" si="20"/>
        <v>1.0023053021950485</v>
      </c>
      <c r="D326">
        <v>-12.9</v>
      </c>
      <c r="E326">
        <f t="shared" si="21"/>
        <v>1.0010153021950485</v>
      </c>
      <c r="F326">
        <f t="shared" si="22"/>
        <v>0.99898572759794768</v>
      </c>
      <c r="G326" s="4">
        <f t="shared" si="23"/>
        <v>2.378630274042599E-2</v>
      </c>
    </row>
    <row r="327" spans="1:7" x14ac:dyDescent="0.3">
      <c r="A327" s="1">
        <v>42398</v>
      </c>
      <c r="B327">
        <v>0.97750000000000004</v>
      </c>
      <c r="C327">
        <f t="shared" si="20"/>
        <v>1.0230179028132993</v>
      </c>
      <c r="D327">
        <v>-11.38</v>
      </c>
      <c r="E327">
        <f t="shared" si="21"/>
        <v>1.0218799028132992</v>
      </c>
      <c r="F327">
        <f t="shared" si="22"/>
        <v>0.97858857704015656</v>
      </c>
      <c r="G327" s="4">
        <f t="shared" si="23"/>
        <v>-2.1507542104340055E-2</v>
      </c>
    </row>
    <row r="328" spans="1:7" x14ac:dyDescent="0.3">
      <c r="A328" s="1">
        <v>42429</v>
      </c>
      <c r="B328">
        <v>1.0015000000000001</v>
      </c>
      <c r="C328">
        <f t="shared" si="20"/>
        <v>0.99850224663005482</v>
      </c>
      <c r="D328">
        <v>-16.309999999999999</v>
      </c>
      <c r="E328">
        <f t="shared" si="21"/>
        <v>0.99687124663005477</v>
      </c>
      <c r="F328">
        <f t="shared" si="22"/>
        <v>1.0031385731913947</v>
      </c>
      <c r="G328" s="4">
        <f t="shared" si="23"/>
        <v>2.3412722667519266E-2</v>
      </c>
    </row>
    <row r="329" spans="1:7" x14ac:dyDescent="0.3">
      <c r="A329" s="1">
        <v>42460</v>
      </c>
      <c r="B329">
        <v>1.0397000000000001</v>
      </c>
      <c r="C329">
        <f t="shared" si="20"/>
        <v>0.96181590843512543</v>
      </c>
      <c r="D329">
        <v>-12.64</v>
      </c>
      <c r="E329">
        <f t="shared" si="21"/>
        <v>0.96055190843512539</v>
      </c>
      <c r="F329">
        <f t="shared" si="22"/>
        <v>1.0410681517765563</v>
      </c>
      <c r="G329" s="4">
        <f t="shared" si="23"/>
        <v>3.6447035121267984E-2</v>
      </c>
    </row>
    <row r="330" spans="1:7" x14ac:dyDescent="0.3">
      <c r="A330" s="1">
        <v>42489</v>
      </c>
      <c r="B330">
        <v>1.0424</v>
      </c>
      <c r="C330">
        <f t="shared" si="20"/>
        <v>0.95932463545663849</v>
      </c>
      <c r="D330">
        <v>-12.35</v>
      </c>
      <c r="E330">
        <f t="shared" si="21"/>
        <v>0.9580896354566385</v>
      </c>
      <c r="F330">
        <f t="shared" si="22"/>
        <v>1.0437436780363316</v>
      </c>
      <c r="G330" s="4">
        <f t="shared" si="23"/>
        <v>1.2793093527747551E-3</v>
      </c>
    </row>
    <row r="331" spans="1:7" x14ac:dyDescent="0.3">
      <c r="A331" s="1">
        <v>42521</v>
      </c>
      <c r="B331">
        <v>1.0061</v>
      </c>
      <c r="C331">
        <f t="shared" si="20"/>
        <v>0.9939369843951894</v>
      </c>
      <c r="D331">
        <v>-13.9</v>
      </c>
      <c r="E331">
        <f t="shared" si="21"/>
        <v>0.9925469843951894</v>
      </c>
      <c r="F331">
        <f t="shared" si="22"/>
        <v>1.0075089801510526</v>
      </c>
      <c r="G331" s="4">
        <f t="shared" si="23"/>
        <v>-3.6066017767076027E-2</v>
      </c>
    </row>
    <row r="332" spans="1:7" x14ac:dyDescent="0.3">
      <c r="A332" s="1">
        <v>42551</v>
      </c>
      <c r="B332">
        <v>1.0245</v>
      </c>
      <c r="C332">
        <f t="shared" si="20"/>
        <v>0.9760858955588092</v>
      </c>
      <c r="D332">
        <v>-19.72</v>
      </c>
      <c r="E332">
        <f t="shared" si="21"/>
        <v>0.97411389555880923</v>
      </c>
      <c r="F332">
        <f t="shared" si="22"/>
        <v>1.026574001827929</v>
      </c>
      <c r="G332" s="4">
        <f t="shared" si="23"/>
        <v>1.6864385512871501E-2</v>
      </c>
    </row>
    <row r="333" spans="1:7" x14ac:dyDescent="0.3">
      <c r="A333" s="1">
        <v>42580</v>
      </c>
      <c r="B333">
        <v>1.0315000000000001</v>
      </c>
      <c r="C333">
        <f t="shared" si="20"/>
        <v>0.96946194861851664</v>
      </c>
      <c r="D333">
        <v>-17.23</v>
      </c>
      <c r="E333">
        <f t="shared" si="21"/>
        <v>0.96773894861851661</v>
      </c>
      <c r="F333">
        <f t="shared" si="22"/>
        <v>1.0333365226516276</v>
      </c>
      <c r="G333" s="4">
        <f t="shared" si="23"/>
        <v>4.7984832689117194E-3</v>
      </c>
    </row>
    <row r="334" spans="1:7" x14ac:dyDescent="0.3">
      <c r="A334" s="1">
        <v>42613</v>
      </c>
      <c r="B334">
        <v>1.0164</v>
      </c>
      <c r="C334">
        <f t="shared" si="20"/>
        <v>0.9838646202282566</v>
      </c>
      <c r="D334">
        <v>-18.8</v>
      </c>
      <c r="E334">
        <f t="shared" si="21"/>
        <v>0.98198462022825661</v>
      </c>
      <c r="F334">
        <f t="shared" si="22"/>
        <v>1.0183458879096863</v>
      </c>
      <c r="G334" s="4">
        <f t="shared" si="23"/>
        <v>-1.639013262413978E-2</v>
      </c>
    </row>
    <row r="335" spans="1:7" x14ac:dyDescent="0.3">
      <c r="A335" s="1">
        <v>42643</v>
      </c>
      <c r="B335">
        <v>1.0295000000000001</v>
      </c>
      <c r="C335">
        <f t="shared" si="20"/>
        <v>0.97134531325886342</v>
      </c>
      <c r="D335">
        <v>-17.8</v>
      </c>
      <c r="E335">
        <f t="shared" si="21"/>
        <v>0.96956531325886341</v>
      </c>
      <c r="F335">
        <f t="shared" si="22"/>
        <v>1.0313900325485457</v>
      </c>
      <c r="G335" s="4">
        <f t="shared" si="23"/>
        <v>1.0953166524990208E-2</v>
      </c>
    </row>
    <row r="336" spans="1:7" x14ac:dyDescent="0.3">
      <c r="A336" s="1">
        <v>42674</v>
      </c>
      <c r="B336">
        <v>1.0109999999999999</v>
      </c>
      <c r="C336">
        <f t="shared" si="20"/>
        <v>0.98911968348170143</v>
      </c>
      <c r="D336">
        <v>-14.98</v>
      </c>
      <c r="E336">
        <f t="shared" si="21"/>
        <v>0.98762168348170143</v>
      </c>
      <c r="F336">
        <f t="shared" si="22"/>
        <v>1.012533459648902</v>
      </c>
      <c r="G336" s="4">
        <f t="shared" si="23"/>
        <v>-1.9769468295289198E-2</v>
      </c>
    </row>
    <row r="337" spans="1:7" x14ac:dyDescent="0.3">
      <c r="A337" s="1">
        <v>42704</v>
      </c>
      <c r="B337">
        <v>0.9829</v>
      </c>
      <c r="C337">
        <f t="shared" si="20"/>
        <v>1.0173974972021569</v>
      </c>
      <c r="D337">
        <v>-25.53</v>
      </c>
      <c r="E337">
        <f t="shared" si="21"/>
        <v>1.0148444972021569</v>
      </c>
      <c r="F337">
        <f t="shared" si="22"/>
        <v>0.98537263862288071</v>
      </c>
      <c r="G337" s="4">
        <f t="shared" si="23"/>
        <v>-2.9266647305835624E-2</v>
      </c>
    </row>
    <row r="338" spans="1:7" x14ac:dyDescent="0.3">
      <c r="A338" s="1">
        <v>42734</v>
      </c>
      <c r="B338">
        <v>0.98150000000000004</v>
      </c>
      <c r="C338">
        <f t="shared" si="20"/>
        <v>1.0188487009679061</v>
      </c>
      <c r="D338">
        <v>-23.38</v>
      </c>
      <c r="E338">
        <f t="shared" si="21"/>
        <v>1.0165107009679062</v>
      </c>
      <c r="F338">
        <f t="shared" si="22"/>
        <v>0.98375747451336715</v>
      </c>
      <c r="G338" s="4">
        <f t="shared" si="23"/>
        <v>-3.9301259960829917E-3</v>
      </c>
    </row>
    <row r="339" spans="1:7" x14ac:dyDescent="0.3">
      <c r="A339" s="1">
        <v>42766</v>
      </c>
      <c r="B339">
        <v>1.0106999999999999</v>
      </c>
      <c r="C339">
        <f t="shared" si="20"/>
        <v>0.98941327792618983</v>
      </c>
      <c r="D339">
        <v>-13.7</v>
      </c>
      <c r="E339">
        <f t="shared" si="21"/>
        <v>0.98804327792618984</v>
      </c>
      <c r="F339">
        <f t="shared" si="22"/>
        <v>1.0121014153336545</v>
      </c>
      <c r="G339" s="4">
        <f t="shared" si="23"/>
        <v>2.7387365468262773E-2</v>
      </c>
    </row>
    <row r="340" spans="1:7" x14ac:dyDescent="0.3">
      <c r="A340" s="1">
        <v>42794</v>
      </c>
      <c r="B340">
        <v>0.99419999999999997</v>
      </c>
      <c r="C340">
        <f t="shared" si="20"/>
        <v>1.0058338362502515</v>
      </c>
      <c r="D340">
        <v>-19.63</v>
      </c>
      <c r="E340">
        <f t="shared" si="21"/>
        <v>1.0038708362502515</v>
      </c>
      <c r="F340">
        <f t="shared" si="22"/>
        <v>0.99614408934847609</v>
      </c>
      <c r="G340" s="4">
        <f t="shared" si="23"/>
        <v>-1.7687373085782172E-2</v>
      </c>
    </row>
    <row r="341" spans="1:7" x14ac:dyDescent="0.3">
      <c r="A341" s="1">
        <v>42825</v>
      </c>
      <c r="B341">
        <v>0.99709999999999999</v>
      </c>
      <c r="C341">
        <f t="shared" si="20"/>
        <v>1.0029084344599337</v>
      </c>
      <c r="D341">
        <v>-17.11</v>
      </c>
      <c r="E341">
        <f t="shared" si="21"/>
        <v>1.0011974344599337</v>
      </c>
      <c r="F341">
        <f t="shared" si="22"/>
        <v>0.99880399767446504</v>
      </c>
      <c r="G341" s="4">
        <f t="shared" si="23"/>
        <v>9.5961082512581496E-4</v>
      </c>
    </row>
    <row r="342" spans="1:7" x14ac:dyDescent="0.3">
      <c r="A342" s="1">
        <v>42853</v>
      </c>
      <c r="B342">
        <v>1.0052000000000001</v>
      </c>
      <c r="C342">
        <f t="shared" si="20"/>
        <v>0.99482690011937913</v>
      </c>
      <c r="D342">
        <v>-20.36</v>
      </c>
      <c r="E342">
        <f t="shared" si="21"/>
        <v>0.99279090011937909</v>
      </c>
      <c r="F342">
        <f t="shared" si="22"/>
        <v>1.007261448387323</v>
      </c>
      <c r="G342" s="4">
        <f t="shared" si="23"/>
        <v>6.403661119125467E-3</v>
      </c>
    </row>
    <row r="343" spans="1:7" x14ac:dyDescent="0.3">
      <c r="A343" s="1">
        <v>42886</v>
      </c>
      <c r="B343">
        <v>1.0333000000000001</v>
      </c>
      <c r="C343">
        <f t="shared" si="20"/>
        <v>0.96777315397270869</v>
      </c>
      <c r="D343">
        <v>-20.190000000000001</v>
      </c>
      <c r="E343">
        <f t="shared" si="21"/>
        <v>0.9657541539727087</v>
      </c>
      <c r="F343">
        <f t="shared" si="22"/>
        <v>1.0354602109516362</v>
      </c>
      <c r="G343" s="4">
        <f t="shared" si="23"/>
        <v>2.5850837093354607E-2</v>
      </c>
    </row>
    <row r="344" spans="1:7" x14ac:dyDescent="0.3">
      <c r="A344" s="1">
        <v>42916</v>
      </c>
      <c r="B344">
        <v>1.0435000000000001</v>
      </c>
      <c r="C344">
        <f t="shared" si="20"/>
        <v>0.95831336847149007</v>
      </c>
      <c r="D344">
        <v>-19.72</v>
      </c>
      <c r="E344">
        <f t="shared" si="21"/>
        <v>0.95634136847149009</v>
      </c>
      <c r="F344">
        <f t="shared" si="22"/>
        <v>1.0456517232944644</v>
      </c>
      <c r="G344" s="4">
        <f t="shared" si="23"/>
        <v>7.7644596705217159E-3</v>
      </c>
    </row>
    <row r="345" spans="1:7" x14ac:dyDescent="0.3">
      <c r="A345" s="1">
        <v>42947</v>
      </c>
      <c r="B345">
        <v>1.0342</v>
      </c>
      <c r="C345">
        <f t="shared" si="20"/>
        <v>0.96693096112937538</v>
      </c>
      <c r="D345">
        <v>-19.86</v>
      </c>
      <c r="E345">
        <f t="shared" si="21"/>
        <v>0.96494496112937533</v>
      </c>
      <c r="F345">
        <f t="shared" si="22"/>
        <v>1.0363285371526227</v>
      </c>
      <c r="G345" s="4">
        <f t="shared" si="23"/>
        <v>-1.0951756726784946E-2</v>
      </c>
    </row>
    <row r="346" spans="1:7" x14ac:dyDescent="0.3">
      <c r="A346" s="1">
        <v>42978</v>
      </c>
      <c r="B346">
        <v>1.0429999999999999</v>
      </c>
      <c r="C346">
        <f t="shared" si="20"/>
        <v>0.95877277085330781</v>
      </c>
      <c r="D346">
        <v>-19.100000000000001</v>
      </c>
      <c r="E346">
        <f t="shared" si="21"/>
        <v>0.95686277085330784</v>
      </c>
      <c r="F346">
        <f t="shared" si="22"/>
        <v>1.0450819390833059</v>
      </c>
      <c r="G346" s="4">
        <f t="shared" si="23"/>
        <v>6.4375944579384498E-3</v>
      </c>
    </row>
    <row r="347" spans="1:7" x14ac:dyDescent="0.3">
      <c r="A347" s="1">
        <v>43007</v>
      </c>
      <c r="B347">
        <v>1.0327999999999999</v>
      </c>
      <c r="C347">
        <f t="shared" si="20"/>
        <v>0.96824167312161125</v>
      </c>
      <c r="D347">
        <v>-19.510000000000002</v>
      </c>
      <c r="E347">
        <f t="shared" si="21"/>
        <v>0.96629067312161121</v>
      </c>
      <c r="F347">
        <f t="shared" si="22"/>
        <v>1.0348852864009237</v>
      </c>
      <c r="G347" s="4">
        <f t="shared" si="23"/>
        <v>-1.1752130262703707E-2</v>
      </c>
    </row>
    <row r="348" spans="1:7" x14ac:dyDescent="0.3">
      <c r="A348" s="1">
        <v>43039</v>
      </c>
      <c r="B348">
        <v>1.0023</v>
      </c>
      <c r="C348">
        <f t="shared" si="20"/>
        <v>0.99770527786091989</v>
      </c>
      <c r="D348">
        <v>-20.149999999999999</v>
      </c>
      <c r="E348">
        <f t="shared" si="21"/>
        <v>0.9956902778609199</v>
      </c>
      <c r="F348">
        <f t="shared" si="22"/>
        <v>1.0043283762379791</v>
      </c>
      <c r="G348" s="4">
        <f t="shared" si="23"/>
        <v>-3.1486858330209075E-2</v>
      </c>
    </row>
    <row r="349" spans="1:7" x14ac:dyDescent="0.3">
      <c r="A349" s="1">
        <v>43069</v>
      </c>
      <c r="B349">
        <v>1.0166999999999999</v>
      </c>
      <c r="C349">
        <f t="shared" si="20"/>
        <v>0.98357430903904797</v>
      </c>
      <c r="D349">
        <v>-28.65</v>
      </c>
      <c r="E349">
        <f t="shared" si="21"/>
        <v>0.98070930903904796</v>
      </c>
      <c r="F349">
        <f t="shared" si="22"/>
        <v>1.0196701415833955</v>
      </c>
      <c r="G349" s="4">
        <f t="shared" si="23"/>
        <v>1.2318305501197283E-2</v>
      </c>
    </row>
    <row r="350" spans="1:7" x14ac:dyDescent="0.3">
      <c r="A350" s="1">
        <v>43098</v>
      </c>
      <c r="B350">
        <v>1.0261</v>
      </c>
      <c r="C350">
        <f t="shared" si="20"/>
        <v>0.97456388266250848</v>
      </c>
      <c r="D350">
        <v>-21.99</v>
      </c>
      <c r="E350">
        <f t="shared" si="21"/>
        <v>0.97236488266250853</v>
      </c>
      <c r="F350">
        <f t="shared" si="22"/>
        <v>1.0284205217920064</v>
      </c>
      <c r="G350" s="4">
        <f t="shared" si="23"/>
        <v>6.3058220049670901E-3</v>
      </c>
    </row>
    <row r="351" spans="1:7" x14ac:dyDescent="0.3">
      <c r="A351" s="1">
        <v>43131</v>
      </c>
      <c r="B351">
        <v>1.0738000000000001</v>
      </c>
      <c r="C351">
        <f t="shared" si="20"/>
        <v>0.93127211771279561</v>
      </c>
      <c r="D351">
        <v>-19.53</v>
      </c>
      <c r="E351">
        <f t="shared" si="21"/>
        <v>0.92931911771279563</v>
      </c>
      <c r="F351">
        <f t="shared" si="22"/>
        <v>1.0760566321514631</v>
      </c>
      <c r="G351" s="4">
        <f t="shared" si="23"/>
        <v>4.4125411003001658E-2</v>
      </c>
    </row>
    <row r="352" spans="1:7" x14ac:dyDescent="0.3">
      <c r="A352" s="1">
        <v>43159</v>
      </c>
      <c r="B352">
        <v>1.0587</v>
      </c>
      <c r="C352">
        <f t="shared" si="20"/>
        <v>0.9445546424860678</v>
      </c>
      <c r="D352">
        <v>-27.56</v>
      </c>
      <c r="E352">
        <f t="shared" si="21"/>
        <v>0.94179864248606782</v>
      </c>
      <c r="F352">
        <f t="shared" si="22"/>
        <v>1.0617980902587605</v>
      </c>
      <c r="G352" s="4">
        <f t="shared" si="23"/>
        <v>-1.6129850077463235E-2</v>
      </c>
    </row>
    <row r="353" spans="1:7" x14ac:dyDescent="0.3">
      <c r="A353" s="1">
        <v>43189</v>
      </c>
      <c r="B353">
        <v>1.0486</v>
      </c>
      <c r="C353">
        <f t="shared" si="20"/>
        <v>0.95365248903299638</v>
      </c>
      <c r="D353">
        <v>-23.35</v>
      </c>
      <c r="E353">
        <f t="shared" si="21"/>
        <v>0.9513174890329964</v>
      </c>
      <c r="F353">
        <f t="shared" si="22"/>
        <v>1.0511737790256424</v>
      </c>
      <c r="G353" s="4">
        <f t="shared" si="23"/>
        <v>-1.2429943489109243E-2</v>
      </c>
    </row>
    <row r="354" spans="1:7" x14ac:dyDescent="0.3">
      <c r="A354" s="1">
        <v>43220</v>
      </c>
      <c r="B354">
        <v>1.0094000000000001</v>
      </c>
      <c r="C354">
        <f t="shared" si="20"/>
        <v>0.99068753715078262</v>
      </c>
      <c r="D354">
        <v>-26.09</v>
      </c>
      <c r="E354">
        <f t="shared" si="21"/>
        <v>0.98807853715078264</v>
      </c>
      <c r="F354">
        <f t="shared" si="22"/>
        <v>1.0120652988613577</v>
      </c>
      <c r="G354" s="4">
        <f t="shared" si="23"/>
        <v>-3.9740126570093265E-2</v>
      </c>
    </row>
    <row r="355" spans="1:7" x14ac:dyDescent="0.3">
      <c r="A355" s="1">
        <v>43251</v>
      </c>
      <c r="B355">
        <v>1.0144</v>
      </c>
      <c r="C355">
        <f t="shared" si="20"/>
        <v>0.98580441640378547</v>
      </c>
      <c r="D355">
        <v>-27.65</v>
      </c>
      <c r="E355">
        <f t="shared" si="21"/>
        <v>0.98303941640378545</v>
      </c>
      <c r="F355">
        <f t="shared" si="22"/>
        <v>1.0172532080740575</v>
      </c>
      <c r="G355" s="4">
        <f t="shared" si="23"/>
        <v>2.3068680857539648E-3</v>
      </c>
    </row>
    <row r="356" spans="1:7" x14ac:dyDescent="0.3">
      <c r="A356" s="1">
        <v>43280</v>
      </c>
      <c r="B356">
        <v>1.0096000000000001</v>
      </c>
      <c r="C356">
        <f t="shared" si="20"/>
        <v>0.99049128367670358</v>
      </c>
      <c r="D356">
        <v>-25.57</v>
      </c>
      <c r="E356">
        <f t="shared" si="21"/>
        <v>0.98793428367670355</v>
      </c>
      <c r="F356">
        <f t="shared" si="22"/>
        <v>1.0122130758317169</v>
      </c>
      <c r="G356" s="4">
        <f t="shared" si="23"/>
        <v>-7.5234051987381739E-3</v>
      </c>
    </row>
    <row r="357" spans="1:7" x14ac:dyDescent="0.3">
      <c r="A357" s="1">
        <v>43312</v>
      </c>
      <c r="B357">
        <v>1.0097</v>
      </c>
      <c r="C357">
        <f t="shared" si="20"/>
        <v>0.99039318609487959</v>
      </c>
      <c r="D357">
        <v>-26.08</v>
      </c>
      <c r="E357">
        <f t="shared" si="21"/>
        <v>0.98778518609487953</v>
      </c>
      <c r="F357">
        <f t="shared" si="22"/>
        <v>1.0123658605910164</v>
      </c>
      <c r="G357" s="4">
        <f t="shared" si="23"/>
        <v>-2.4827537716324648E-3</v>
      </c>
    </row>
    <row r="358" spans="1:7" x14ac:dyDescent="0.3">
      <c r="A358" s="1">
        <v>43343</v>
      </c>
      <c r="B358">
        <v>1.0321</v>
      </c>
      <c r="C358">
        <f t="shared" si="20"/>
        <v>0.9688983625617672</v>
      </c>
      <c r="D358">
        <v>-24.78</v>
      </c>
      <c r="E358">
        <f t="shared" si="21"/>
        <v>0.96642036256176722</v>
      </c>
      <c r="F358">
        <f t="shared" si="22"/>
        <v>1.0347464092635843</v>
      </c>
      <c r="G358" s="4">
        <f t="shared" si="23"/>
        <v>1.9493090568525169E-2</v>
      </c>
    </row>
    <row r="359" spans="1:7" x14ac:dyDescent="0.3">
      <c r="A359" s="1">
        <v>43371</v>
      </c>
      <c r="B359">
        <v>1.0185999999999999</v>
      </c>
      <c r="C359">
        <f t="shared" si="20"/>
        <v>0.98173964264677016</v>
      </c>
      <c r="D359">
        <v>-27.08</v>
      </c>
      <c r="E359">
        <f t="shared" si="21"/>
        <v>0.97903164264677012</v>
      </c>
      <c r="F359">
        <f t="shared" si="22"/>
        <v>1.0214174460148631</v>
      </c>
      <c r="G359" s="4">
        <f t="shared" si="23"/>
        <v>-1.5604218694583866E-2</v>
      </c>
    </row>
    <row r="360" spans="1:7" x14ac:dyDescent="0.3">
      <c r="A360" s="1">
        <v>43404</v>
      </c>
      <c r="B360">
        <v>0.99170000000000003</v>
      </c>
      <c r="C360">
        <f t="shared" si="20"/>
        <v>1.0083694665725522</v>
      </c>
      <c r="D360">
        <v>-27.3</v>
      </c>
      <c r="E360">
        <f t="shared" si="21"/>
        <v>1.0056394665725523</v>
      </c>
      <c r="F360">
        <f t="shared" si="22"/>
        <v>0.99439215866122188</v>
      </c>
      <c r="G360" s="4">
        <f t="shared" si="23"/>
        <v>-2.909431998719807E-2</v>
      </c>
    </row>
    <row r="361" spans="1:7" x14ac:dyDescent="0.3">
      <c r="A361" s="1">
        <v>43434</v>
      </c>
      <c r="B361">
        <v>1.0015000000000001</v>
      </c>
      <c r="C361">
        <f t="shared" si="20"/>
        <v>0.99850224663005482</v>
      </c>
      <c r="D361">
        <v>-36.5</v>
      </c>
      <c r="E361">
        <f t="shared" si="21"/>
        <v>0.99485224663005478</v>
      </c>
      <c r="F361">
        <f t="shared" si="22"/>
        <v>1.0051743898527472</v>
      </c>
      <c r="G361" s="4">
        <f t="shared" si="23"/>
        <v>7.1479257724112212E-3</v>
      </c>
    </row>
    <row r="362" spans="1:7" x14ac:dyDescent="0.3">
      <c r="A362" s="1">
        <v>43465</v>
      </c>
      <c r="B362">
        <v>1.0186999999999999</v>
      </c>
      <c r="C362">
        <f t="shared" si="20"/>
        <v>0.9816432708353785</v>
      </c>
      <c r="D362">
        <v>-28.4</v>
      </c>
      <c r="E362">
        <f t="shared" si="21"/>
        <v>0.97880327083537855</v>
      </c>
      <c r="F362">
        <f t="shared" si="22"/>
        <v>1.0216557604538148</v>
      </c>
      <c r="G362" s="4">
        <f t="shared" si="23"/>
        <v>1.3455983642036644E-2</v>
      </c>
    </row>
    <row r="363" spans="1:7" x14ac:dyDescent="0.3">
      <c r="A363" s="1">
        <v>43496</v>
      </c>
      <c r="B363">
        <v>1.0057</v>
      </c>
      <c r="C363">
        <f t="shared" si="20"/>
        <v>0.99433230585661725</v>
      </c>
      <c r="D363">
        <v>-26.3</v>
      </c>
      <c r="E363">
        <f t="shared" si="21"/>
        <v>0.99170230585661723</v>
      </c>
      <c r="F363">
        <f t="shared" si="22"/>
        <v>1.0083671219622863</v>
      </c>
      <c r="G363" s="4">
        <f t="shared" si="23"/>
        <v>-1.5617550520859662E-2</v>
      </c>
    </row>
    <row r="364" spans="1:7" x14ac:dyDescent="0.3">
      <c r="A364" s="1">
        <v>43524</v>
      </c>
      <c r="B364">
        <v>1.002</v>
      </c>
      <c r="C364">
        <f t="shared" si="20"/>
        <v>0.99800399201596801</v>
      </c>
      <c r="D364">
        <v>-29.3</v>
      </c>
      <c r="E364">
        <f t="shared" si="21"/>
        <v>0.99507399201596802</v>
      </c>
      <c r="F364">
        <f t="shared" si="22"/>
        <v>1.0049503936627386</v>
      </c>
      <c r="G364" s="4">
        <f t="shared" si="23"/>
        <v>-6.3142895316696144E-3</v>
      </c>
    </row>
    <row r="365" spans="1:7" x14ac:dyDescent="0.3">
      <c r="A365" s="1">
        <v>43553</v>
      </c>
      <c r="B365">
        <v>1.0046999999999999</v>
      </c>
      <c r="C365">
        <f t="shared" si="20"/>
        <v>0.99532198666268545</v>
      </c>
      <c r="D365">
        <v>-28.27</v>
      </c>
      <c r="E365">
        <f t="shared" si="21"/>
        <v>0.99249498666268543</v>
      </c>
      <c r="F365">
        <f t="shared" si="22"/>
        <v>1.007561764480595</v>
      </c>
      <c r="G365" s="4">
        <f t="shared" si="23"/>
        <v>-2.4916022155691079E-4</v>
      </c>
    </row>
    <row r="366" spans="1:7" x14ac:dyDescent="0.3">
      <c r="A366" s="1">
        <v>43585</v>
      </c>
      <c r="B366">
        <v>0.98109999999999997</v>
      </c>
      <c r="C366">
        <f t="shared" si="20"/>
        <v>1.0192640913260627</v>
      </c>
      <c r="D366">
        <v>-30.78</v>
      </c>
      <c r="E366">
        <f t="shared" si="21"/>
        <v>1.0161860913260627</v>
      </c>
      <c r="F366">
        <f t="shared" si="22"/>
        <v>0.98407172518476327</v>
      </c>
      <c r="G366" s="4">
        <f t="shared" si="23"/>
        <v>-2.6263168585239267E-2</v>
      </c>
    </row>
    <row r="367" spans="1:7" x14ac:dyDescent="0.3">
      <c r="A367" s="1">
        <v>43616</v>
      </c>
      <c r="B367">
        <v>0.99919999999999998</v>
      </c>
      <c r="C367">
        <f t="shared" si="20"/>
        <v>1.0008006405124099</v>
      </c>
      <c r="D367">
        <v>-29.97</v>
      </c>
      <c r="E367">
        <f t="shared" si="21"/>
        <v>0.99780364051240988</v>
      </c>
      <c r="F367">
        <f t="shared" si="22"/>
        <v>1.0022011941011382</v>
      </c>
      <c r="G367" s="4">
        <f t="shared" si="23"/>
        <v>1.5373142453001906E-2</v>
      </c>
    </row>
    <row r="368" spans="1:7" x14ac:dyDescent="0.3">
      <c r="A368" s="1">
        <v>43644</v>
      </c>
      <c r="B368">
        <v>1.0244</v>
      </c>
      <c r="C368">
        <f t="shared" si="20"/>
        <v>0.97618117922686454</v>
      </c>
      <c r="D368">
        <v>-28.55</v>
      </c>
      <c r="E368">
        <f t="shared" si="21"/>
        <v>0.97332617922686449</v>
      </c>
      <c r="F368">
        <f t="shared" si="22"/>
        <v>1.0274048118117229</v>
      </c>
      <c r="G368" s="4">
        <f t="shared" si="23"/>
        <v>2.2150049340912671E-2</v>
      </c>
    </row>
    <row r="369" spans="1:7" x14ac:dyDescent="0.3">
      <c r="A369" s="1">
        <v>43677</v>
      </c>
      <c r="B369">
        <v>1.0061</v>
      </c>
      <c r="C369">
        <f t="shared" si="20"/>
        <v>0.9939369843951894</v>
      </c>
      <c r="D369">
        <v>-28.37</v>
      </c>
      <c r="E369">
        <f t="shared" si="21"/>
        <v>0.99109998439518943</v>
      </c>
      <c r="F369">
        <f t="shared" si="22"/>
        <v>1.0089799371858952</v>
      </c>
      <c r="G369" s="4">
        <f t="shared" si="23"/>
        <v>-2.0736531079851666E-2</v>
      </c>
    </row>
    <row r="370" spans="1:7" x14ac:dyDescent="0.3">
      <c r="A370" s="1">
        <v>43707</v>
      </c>
      <c r="B370">
        <v>1.0099</v>
      </c>
      <c r="C370">
        <f t="shared" si="20"/>
        <v>0.99019704921279328</v>
      </c>
      <c r="D370">
        <v>-27.62</v>
      </c>
      <c r="E370">
        <f t="shared" si="21"/>
        <v>0.98743504921279324</v>
      </c>
      <c r="F370">
        <f t="shared" si="22"/>
        <v>1.0127248377472764</v>
      </c>
      <c r="G370" s="4">
        <f t="shared" si="23"/>
        <v>9.118742407018994E-4</v>
      </c>
    </row>
    <row r="371" spans="1:7" x14ac:dyDescent="0.3">
      <c r="A371" s="1">
        <v>43738</v>
      </c>
      <c r="B371">
        <v>1.0021</v>
      </c>
      <c r="C371">
        <f t="shared" si="20"/>
        <v>0.99790440075840736</v>
      </c>
      <c r="D371">
        <v>-28.4</v>
      </c>
      <c r="E371">
        <f t="shared" si="21"/>
        <v>0.99506440075840741</v>
      </c>
      <c r="F371">
        <f t="shared" si="22"/>
        <v>1.0049600802097138</v>
      </c>
      <c r="G371" s="4">
        <f t="shared" si="23"/>
        <v>-1.0491337183859821E-2</v>
      </c>
    </row>
    <row r="372" spans="1:7" x14ac:dyDescent="0.3">
      <c r="A372" s="1">
        <v>43769</v>
      </c>
      <c r="B372">
        <v>1.0137</v>
      </c>
      <c r="C372">
        <f t="shared" si="20"/>
        <v>0.98648515339844134</v>
      </c>
      <c r="D372">
        <v>-21.6</v>
      </c>
      <c r="E372">
        <f t="shared" si="21"/>
        <v>0.98432515339844129</v>
      </c>
      <c r="F372">
        <f t="shared" si="22"/>
        <v>1.0159244600703745</v>
      </c>
      <c r="G372" s="4">
        <f t="shared" si="23"/>
        <v>8.6967830487976946E-3</v>
      </c>
    </row>
    <row r="373" spans="1:7" x14ac:dyDescent="0.3">
      <c r="A373" s="1">
        <v>43798</v>
      </c>
      <c r="B373">
        <v>0.99990000000000001</v>
      </c>
      <c r="C373">
        <f t="shared" si="20"/>
        <v>1.000100010001</v>
      </c>
      <c r="D373">
        <v>-29.35</v>
      </c>
      <c r="E373">
        <f t="shared" si="21"/>
        <v>0.997165010001</v>
      </c>
      <c r="F373">
        <f t="shared" si="22"/>
        <v>1.002843050017366</v>
      </c>
      <c r="G373" s="4">
        <f t="shared" si="23"/>
        <v>-1.5773279116898579E-2</v>
      </c>
    </row>
    <row r="374" spans="1:7" x14ac:dyDescent="0.3">
      <c r="A374" s="1">
        <v>43830</v>
      </c>
      <c r="B374">
        <v>1.0333000000000001</v>
      </c>
      <c r="C374">
        <f t="shared" si="20"/>
        <v>0.96777315397270869</v>
      </c>
      <c r="D374">
        <v>-21.15</v>
      </c>
      <c r="E374">
        <f t="shared" si="21"/>
        <v>0.96565815397270871</v>
      </c>
      <c r="F374">
        <f t="shared" si="22"/>
        <v>1.0355631502576861</v>
      </c>
      <c r="G374" s="4">
        <f t="shared" si="23"/>
        <v>3.0370604834033338E-2</v>
      </c>
    </row>
    <row r="375" spans="1:7" x14ac:dyDescent="0.3">
      <c r="A375" s="1">
        <v>43861</v>
      </c>
      <c r="B375">
        <v>1.038</v>
      </c>
      <c r="C375">
        <f t="shared" si="20"/>
        <v>0.96339113680154143</v>
      </c>
      <c r="D375">
        <v>-19.37</v>
      </c>
      <c r="E375">
        <f t="shared" si="21"/>
        <v>0.96145413680154146</v>
      </c>
      <c r="F375">
        <f t="shared" si="22"/>
        <v>1.0400912136346812</v>
      </c>
      <c r="G375" s="4">
        <f t="shared" si="23"/>
        <v>2.3531638236717611E-3</v>
      </c>
    </row>
    <row r="376" spans="1:7" x14ac:dyDescent="0.3">
      <c r="A376" s="1">
        <v>43889</v>
      </c>
      <c r="B376">
        <v>1.0359</v>
      </c>
      <c r="C376">
        <f t="shared" si="20"/>
        <v>0.96534414518775935</v>
      </c>
      <c r="D376">
        <v>-21.52</v>
      </c>
      <c r="E376">
        <f t="shared" si="21"/>
        <v>0.96319214518775931</v>
      </c>
      <c r="F376">
        <f t="shared" si="22"/>
        <v>1.0382144466149748</v>
      </c>
      <c r="G376" s="4">
        <f t="shared" si="23"/>
        <v>-4.0296596872831797E-3</v>
      </c>
    </row>
    <row r="377" spans="1:7" x14ac:dyDescent="0.3">
      <c r="A377" s="1">
        <v>43921</v>
      </c>
      <c r="B377">
        <v>1.0404</v>
      </c>
      <c r="C377">
        <f t="shared" si="20"/>
        <v>0.96116878123798544</v>
      </c>
      <c r="D377">
        <v>-15.72</v>
      </c>
      <c r="E377">
        <f t="shared" si="21"/>
        <v>0.95959678123798542</v>
      </c>
      <c r="F377">
        <f t="shared" si="22"/>
        <v>1.0421043708690747</v>
      </c>
      <c r="G377" s="4">
        <f t="shared" si="23"/>
        <v>2.1051078533448307E-3</v>
      </c>
    </row>
    <row r="378" spans="1:7" x14ac:dyDescent="0.3">
      <c r="A378" s="1">
        <v>43951</v>
      </c>
      <c r="B378">
        <v>1.0356000000000001</v>
      </c>
      <c r="C378">
        <f t="shared" si="20"/>
        <v>0.96562379297025869</v>
      </c>
      <c r="D378">
        <v>-8.0500000000000007</v>
      </c>
      <c r="E378">
        <f t="shared" si="21"/>
        <v>0.96481879297025874</v>
      </c>
      <c r="F378">
        <f t="shared" si="22"/>
        <v>1.0364640565524574</v>
      </c>
      <c r="G378" s="4">
        <f t="shared" si="23"/>
        <v>-6.2415733499421311E-3</v>
      </c>
    </row>
    <row r="379" spans="1:7" x14ac:dyDescent="0.3">
      <c r="A379" s="1">
        <v>43980</v>
      </c>
      <c r="B379">
        <v>1.0402</v>
      </c>
      <c r="C379">
        <f t="shared" si="20"/>
        <v>0.9613535858488752</v>
      </c>
      <c r="D379">
        <v>-8.1999999999999993</v>
      </c>
      <c r="E379">
        <f t="shared" si="21"/>
        <v>0.96053358584887516</v>
      </c>
      <c r="F379">
        <f t="shared" si="22"/>
        <v>1.0410880105938682</v>
      </c>
      <c r="G379" s="4">
        <f t="shared" si="23"/>
        <v>3.6045084476631771E-3</v>
      </c>
    </row>
    <row r="380" spans="1:7" x14ac:dyDescent="0.3">
      <c r="A380" s="1">
        <v>44012</v>
      </c>
      <c r="B380">
        <v>1.0556000000000001</v>
      </c>
      <c r="C380">
        <f t="shared" si="20"/>
        <v>0.94732853353543001</v>
      </c>
      <c r="D380">
        <v>-8.84</v>
      </c>
      <c r="E380">
        <f t="shared" si="21"/>
        <v>0.94644453353543001</v>
      </c>
      <c r="F380">
        <f t="shared" si="22"/>
        <v>1.0565859536052411</v>
      </c>
      <c r="G380" s="4">
        <f t="shared" si="23"/>
        <v>1.3939253222072718E-2</v>
      </c>
    </row>
    <row r="381" spans="1:7" x14ac:dyDescent="0.3">
      <c r="A381" s="1">
        <v>44043</v>
      </c>
      <c r="B381">
        <v>1.0949</v>
      </c>
      <c r="C381">
        <f t="shared" si="20"/>
        <v>0.91332541784637866</v>
      </c>
      <c r="D381">
        <v>-8.08</v>
      </c>
      <c r="E381">
        <f t="shared" si="21"/>
        <v>0.91251741784637863</v>
      </c>
      <c r="F381">
        <f t="shared" si="22"/>
        <v>1.0958694929463242</v>
      </c>
      <c r="G381" s="4">
        <f t="shared" si="23"/>
        <v>3.62621197679424E-2</v>
      </c>
    </row>
    <row r="382" spans="1:7" x14ac:dyDescent="0.3">
      <c r="A382" s="1">
        <v>44074</v>
      </c>
      <c r="B382">
        <v>1.1065</v>
      </c>
      <c r="C382">
        <f t="shared" si="20"/>
        <v>0.90375056484410299</v>
      </c>
      <c r="D382">
        <v>-8.2100000000000009</v>
      </c>
      <c r="E382">
        <f t="shared" si="21"/>
        <v>0.90292956484410303</v>
      </c>
      <c r="F382">
        <f t="shared" si="22"/>
        <v>1.1075060989642718</v>
      </c>
      <c r="G382" s="4">
        <f t="shared" si="23"/>
        <v>9.700522847018004E-3</v>
      </c>
    </row>
    <row r="383" spans="1:7" x14ac:dyDescent="0.3">
      <c r="A383" s="1">
        <v>44104</v>
      </c>
      <c r="B383">
        <v>1.0859000000000001</v>
      </c>
      <c r="C383">
        <f t="shared" si="20"/>
        <v>0.92089511004696556</v>
      </c>
      <c r="D383">
        <v>-7.89</v>
      </c>
      <c r="E383">
        <f t="shared" si="21"/>
        <v>0.92010611004696552</v>
      </c>
      <c r="F383">
        <f t="shared" si="22"/>
        <v>1.0868311698842608</v>
      </c>
      <c r="G383" s="4">
        <f t="shared" si="23"/>
        <v>-1.9508785535788453E-2</v>
      </c>
    </row>
    <row r="384" spans="1:7" x14ac:dyDescent="0.3">
      <c r="A384" s="1">
        <v>44134</v>
      </c>
      <c r="B384">
        <v>1.0906</v>
      </c>
      <c r="C384">
        <f t="shared" si="20"/>
        <v>0.91692646249770771</v>
      </c>
      <c r="D384">
        <v>-7.94</v>
      </c>
      <c r="E384">
        <f t="shared" si="21"/>
        <v>0.91613246249770774</v>
      </c>
      <c r="F384">
        <f t="shared" si="22"/>
        <v>1.0915452087284836</v>
      </c>
      <c r="G384" s="4">
        <f t="shared" si="23"/>
        <v>3.4677236172206984E-3</v>
      </c>
    </row>
    <row r="385" spans="1:7" x14ac:dyDescent="0.3">
      <c r="A385" s="1">
        <v>44165</v>
      </c>
      <c r="B385">
        <v>1.1001000000000001</v>
      </c>
      <c r="C385">
        <f t="shared" si="20"/>
        <v>0.9090082719752749</v>
      </c>
      <c r="D385">
        <v>-12.81</v>
      </c>
      <c r="E385">
        <f t="shared" si="21"/>
        <v>0.90772727197527492</v>
      </c>
      <c r="F385">
        <f t="shared" si="22"/>
        <v>1.1016524796307303</v>
      </c>
      <c r="G385" s="4">
        <f t="shared" si="23"/>
        <v>7.8373219937282902E-3</v>
      </c>
    </row>
    <row r="386" spans="1:7" x14ac:dyDescent="0.3">
      <c r="A386" s="1">
        <v>44196</v>
      </c>
      <c r="B386">
        <v>1.1301000000000001</v>
      </c>
      <c r="C386">
        <f t="shared" si="20"/>
        <v>0.88487744447394023</v>
      </c>
      <c r="D386">
        <v>-8.5</v>
      </c>
      <c r="E386">
        <f t="shared" si="21"/>
        <v>0.88402744447394022</v>
      </c>
      <c r="F386">
        <f t="shared" si="22"/>
        <v>1.1311866008810074</v>
      </c>
      <c r="G386" s="4">
        <f t="shared" si="23"/>
        <v>2.582259005925833E-2</v>
      </c>
    </row>
    <row r="387" spans="1:7" x14ac:dyDescent="0.3">
      <c r="A387" s="1">
        <v>44225</v>
      </c>
      <c r="B387">
        <v>1.1226</v>
      </c>
      <c r="C387">
        <f t="shared" ref="C387:C444" si="24">1/B387</f>
        <v>0.89078923926598963</v>
      </c>
      <c r="D387">
        <v>-7.08</v>
      </c>
      <c r="E387">
        <f t="shared" ref="E387:E444" si="25">C387+D387/10^4</f>
        <v>0.89008123926598959</v>
      </c>
      <c r="F387">
        <f t="shared" ref="F387:F444" si="26">1/E387</f>
        <v>1.1234929530979167</v>
      </c>
      <c r="G387" s="4">
        <f t="shared" si="23"/>
        <v>-7.5907908335546359E-3</v>
      </c>
    </row>
    <row r="388" spans="1:7" x14ac:dyDescent="0.3">
      <c r="A388" s="1">
        <v>44253</v>
      </c>
      <c r="B388">
        <v>1.1006</v>
      </c>
      <c r="C388">
        <f t="shared" si="24"/>
        <v>0.90859531164819185</v>
      </c>
      <c r="D388">
        <v>-9</v>
      </c>
      <c r="E388">
        <f t="shared" si="25"/>
        <v>0.90769531164819184</v>
      </c>
      <c r="F388">
        <f t="shared" si="26"/>
        <v>1.1016912692698626</v>
      </c>
      <c r="G388" s="4">
        <f t="shared" ref="G388:G444" si="27">(B388-F387)/F387</f>
        <v>-2.0376588063851894E-2</v>
      </c>
    </row>
    <row r="389" spans="1:7" x14ac:dyDescent="0.3">
      <c r="A389" s="1">
        <v>44286</v>
      </c>
      <c r="B389">
        <v>1.0595000000000001</v>
      </c>
      <c r="C389">
        <f t="shared" si="24"/>
        <v>0.94384143463898051</v>
      </c>
      <c r="D389">
        <v>-7.68</v>
      </c>
      <c r="E389">
        <f t="shared" si="25"/>
        <v>0.94307343463898052</v>
      </c>
      <c r="F389">
        <f t="shared" si="26"/>
        <v>1.0603628129794702</v>
      </c>
      <c r="G389" s="4">
        <f t="shared" si="27"/>
        <v>-3.829681730874062E-2</v>
      </c>
    </row>
    <row r="390" spans="1:7" x14ac:dyDescent="0.3">
      <c r="A390" s="1">
        <v>44316</v>
      </c>
      <c r="B390">
        <v>1.0951</v>
      </c>
      <c r="C390">
        <f t="shared" si="24"/>
        <v>0.91315861565153866</v>
      </c>
      <c r="D390">
        <v>-7.25</v>
      </c>
      <c r="E390">
        <f t="shared" si="25"/>
        <v>0.91243361565153869</v>
      </c>
      <c r="F390">
        <f t="shared" si="26"/>
        <v>1.0959701427549149</v>
      </c>
      <c r="G390" s="4">
        <f t="shared" si="27"/>
        <v>3.2759718273147609E-2</v>
      </c>
    </row>
    <row r="391" spans="1:7" x14ac:dyDescent="0.3">
      <c r="A391" s="1">
        <v>44347</v>
      </c>
      <c r="B391">
        <v>1.1125</v>
      </c>
      <c r="C391">
        <f t="shared" si="24"/>
        <v>0.898876404494382</v>
      </c>
      <c r="D391">
        <v>-6.95</v>
      </c>
      <c r="E391">
        <f t="shared" si="25"/>
        <v>0.898181404494382</v>
      </c>
      <c r="F391">
        <f t="shared" si="26"/>
        <v>1.1133608366819121</v>
      </c>
      <c r="G391" s="4">
        <f t="shared" si="27"/>
        <v>1.508239741233683E-2</v>
      </c>
    </row>
    <row r="392" spans="1:7" x14ac:dyDescent="0.3">
      <c r="A392" s="1">
        <v>44377</v>
      </c>
      <c r="B392">
        <v>1.081</v>
      </c>
      <c r="C392">
        <f t="shared" si="24"/>
        <v>0.92506938020351526</v>
      </c>
      <c r="D392">
        <v>-7.56</v>
      </c>
      <c r="E392">
        <f t="shared" si="25"/>
        <v>0.92431338020351528</v>
      </c>
      <c r="F392">
        <f t="shared" si="26"/>
        <v>1.0818841546790332</v>
      </c>
      <c r="G392" s="4">
        <f t="shared" si="27"/>
        <v>-2.9065901741573162E-2</v>
      </c>
    </row>
    <row r="393" spans="1:7" x14ac:dyDescent="0.3">
      <c r="A393" s="1">
        <v>44407</v>
      </c>
      <c r="B393">
        <v>1.1045</v>
      </c>
      <c r="C393">
        <f t="shared" si="24"/>
        <v>0.90538705296514255</v>
      </c>
      <c r="D393">
        <v>-7.07</v>
      </c>
      <c r="E393">
        <f t="shared" si="25"/>
        <v>0.90468005296514253</v>
      </c>
      <c r="F393">
        <f t="shared" si="26"/>
        <v>1.1053631576405831</v>
      </c>
      <c r="G393" s="4">
        <f t="shared" si="27"/>
        <v>2.0904128434782707E-2</v>
      </c>
    </row>
    <row r="394" spans="1:7" x14ac:dyDescent="0.3">
      <c r="A394" s="1">
        <v>44439</v>
      </c>
      <c r="B394">
        <v>1.0926</v>
      </c>
      <c r="C394">
        <f t="shared" si="24"/>
        <v>0.91524803221673068</v>
      </c>
      <c r="D394">
        <v>-7.14</v>
      </c>
      <c r="E394">
        <f t="shared" si="25"/>
        <v>0.91453403221673069</v>
      </c>
      <c r="F394">
        <f t="shared" si="26"/>
        <v>1.0934530206340263</v>
      </c>
      <c r="G394" s="4">
        <f t="shared" si="27"/>
        <v>-1.1546574130285195E-2</v>
      </c>
    </row>
    <row r="395" spans="1:7" x14ac:dyDescent="0.3">
      <c r="A395" s="1">
        <v>44469</v>
      </c>
      <c r="B395">
        <v>1.0734999999999999</v>
      </c>
      <c r="C395">
        <f t="shared" si="24"/>
        <v>0.9315323707498836</v>
      </c>
      <c r="D395">
        <v>-6.97</v>
      </c>
      <c r="E395">
        <f t="shared" si="25"/>
        <v>0.93083537074988365</v>
      </c>
      <c r="F395">
        <f t="shared" si="26"/>
        <v>1.0743038258144371</v>
      </c>
      <c r="G395" s="4">
        <f t="shared" si="27"/>
        <v>-1.8247716415339767E-2</v>
      </c>
    </row>
    <row r="396" spans="1:7" x14ac:dyDescent="0.3">
      <c r="A396" s="1">
        <v>44498</v>
      </c>
      <c r="B396">
        <v>1.0924</v>
      </c>
      <c r="C396">
        <f t="shared" si="24"/>
        <v>0.91541559868180156</v>
      </c>
      <c r="D396">
        <v>-7.12</v>
      </c>
      <c r="E396">
        <f t="shared" si="25"/>
        <v>0.91470359868180151</v>
      </c>
      <c r="F396">
        <f t="shared" si="26"/>
        <v>1.0932503178528223</v>
      </c>
      <c r="G396" s="4">
        <f t="shared" si="27"/>
        <v>1.6844559007172986E-2</v>
      </c>
    </row>
    <row r="397" spans="1:7" x14ac:dyDescent="0.3">
      <c r="A397" s="1">
        <v>44530</v>
      </c>
      <c r="B397">
        <v>1.0888</v>
      </c>
      <c r="C397">
        <f t="shared" si="24"/>
        <v>0.91844232182218954</v>
      </c>
      <c r="D397">
        <v>-13.87</v>
      </c>
      <c r="E397">
        <f t="shared" si="25"/>
        <v>0.91705532182218952</v>
      </c>
      <c r="F397">
        <f t="shared" si="26"/>
        <v>1.0904467551783019</v>
      </c>
      <c r="G397" s="4">
        <f t="shared" si="27"/>
        <v>-4.0707217552544712E-3</v>
      </c>
    </row>
    <row r="398" spans="1:7" x14ac:dyDescent="0.3">
      <c r="A398" s="1">
        <v>44561</v>
      </c>
      <c r="B398">
        <v>1.0962000000000001</v>
      </c>
      <c r="C398">
        <f t="shared" si="24"/>
        <v>0.91224229155263636</v>
      </c>
      <c r="D398">
        <v>-7.24</v>
      </c>
      <c r="E398">
        <f t="shared" si="25"/>
        <v>0.91151829155263642</v>
      </c>
      <c r="F398">
        <f t="shared" si="26"/>
        <v>1.0970706888357096</v>
      </c>
      <c r="G398" s="4">
        <f t="shared" si="27"/>
        <v>5.2760437814842378E-3</v>
      </c>
    </row>
    <row r="399" spans="1:7" x14ac:dyDescent="0.3">
      <c r="A399" s="1">
        <v>44592</v>
      </c>
      <c r="B399">
        <v>1.0788</v>
      </c>
      <c r="C399">
        <f t="shared" si="24"/>
        <v>0.9269558769002596</v>
      </c>
      <c r="D399">
        <v>-6.64</v>
      </c>
      <c r="E399">
        <f t="shared" si="25"/>
        <v>0.9262918769002596</v>
      </c>
      <c r="F399">
        <f t="shared" si="26"/>
        <v>1.0795733234176652</v>
      </c>
      <c r="G399" s="4">
        <f t="shared" si="27"/>
        <v>-1.6654067073015835E-2</v>
      </c>
    </row>
    <row r="400" spans="1:7" x14ac:dyDescent="0.3">
      <c r="A400" s="1">
        <v>44620</v>
      </c>
      <c r="B400">
        <v>1.0906</v>
      </c>
      <c r="C400">
        <f t="shared" si="24"/>
        <v>0.91692646249770771</v>
      </c>
      <c r="D400">
        <v>-13.9</v>
      </c>
      <c r="E400">
        <f t="shared" si="25"/>
        <v>0.9155364624977077</v>
      </c>
      <c r="F400">
        <f t="shared" si="26"/>
        <v>1.0922557876852488</v>
      </c>
      <c r="G400" s="4">
        <f t="shared" si="27"/>
        <v>1.0213920947423046E-2</v>
      </c>
    </row>
    <row r="401" spans="1:7" x14ac:dyDescent="0.3">
      <c r="A401" s="1">
        <v>44651</v>
      </c>
      <c r="B401">
        <v>1.0839000000000001</v>
      </c>
      <c r="C401">
        <f t="shared" si="24"/>
        <v>0.92259433527078138</v>
      </c>
      <c r="D401">
        <v>-9.35</v>
      </c>
      <c r="E401">
        <f t="shared" si="25"/>
        <v>0.92165933527078137</v>
      </c>
      <c r="F401">
        <f t="shared" si="26"/>
        <v>1.08499958903601</v>
      </c>
      <c r="G401" s="4">
        <f t="shared" si="27"/>
        <v>-7.6500282987344995E-3</v>
      </c>
    </row>
    <row r="402" spans="1:7" x14ac:dyDescent="0.3">
      <c r="A402" s="1">
        <v>44680</v>
      </c>
      <c r="B402">
        <v>1.0271999999999999</v>
      </c>
      <c r="C402">
        <f t="shared" si="24"/>
        <v>0.97352024922118385</v>
      </c>
      <c r="D402">
        <v>-14.08</v>
      </c>
      <c r="E402">
        <f t="shared" si="25"/>
        <v>0.97211224922118389</v>
      </c>
      <c r="F402">
        <f t="shared" si="26"/>
        <v>1.0286877886799171</v>
      </c>
      <c r="G402" s="4">
        <f t="shared" si="27"/>
        <v>-5.3271530809853439E-2</v>
      </c>
    </row>
    <row r="403" spans="1:7" x14ac:dyDescent="0.3">
      <c r="A403" s="1">
        <v>44712</v>
      </c>
      <c r="B403">
        <v>1.0421</v>
      </c>
      <c r="C403">
        <f t="shared" si="24"/>
        <v>0.95960080606467713</v>
      </c>
      <c r="D403">
        <v>-17.010000000000002</v>
      </c>
      <c r="E403">
        <f t="shared" si="25"/>
        <v>0.95789980606467717</v>
      </c>
      <c r="F403">
        <f t="shared" si="26"/>
        <v>1.0439505193223519</v>
      </c>
      <c r="G403" s="4">
        <f t="shared" si="27"/>
        <v>1.3038174913395676E-2</v>
      </c>
    </row>
    <row r="404" spans="1:7" x14ac:dyDescent="0.3">
      <c r="A404" s="1">
        <v>44742</v>
      </c>
      <c r="B404">
        <v>1.0471999999999999</v>
      </c>
      <c r="C404">
        <f t="shared" si="24"/>
        <v>0.9549274255156609</v>
      </c>
      <c r="D404">
        <v>-18.25</v>
      </c>
      <c r="E404">
        <f t="shared" si="25"/>
        <v>0.95310242551566093</v>
      </c>
      <c r="F404">
        <f t="shared" si="26"/>
        <v>1.0492051779838518</v>
      </c>
      <c r="G404" s="4">
        <f t="shared" si="27"/>
        <v>3.1126769109299014E-3</v>
      </c>
    </row>
    <row r="405" spans="1:7" x14ac:dyDescent="0.3">
      <c r="A405" s="1">
        <v>44771</v>
      </c>
      <c r="B405">
        <v>1.0499000000000001</v>
      </c>
      <c r="C405">
        <f t="shared" si="24"/>
        <v>0.95247166396799687</v>
      </c>
      <c r="D405">
        <v>-23.98</v>
      </c>
      <c r="E405">
        <f t="shared" si="25"/>
        <v>0.95007366396799686</v>
      </c>
      <c r="F405">
        <f t="shared" si="26"/>
        <v>1.0525499631507362</v>
      </c>
      <c r="G405" s="4">
        <f t="shared" si="27"/>
        <v>6.6223654889256288E-4</v>
      </c>
    </row>
    <row r="406" spans="1:7" x14ac:dyDescent="0.3">
      <c r="A406" s="1">
        <v>44804</v>
      </c>
      <c r="B406">
        <v>1.0229999999999999</v>
      </c>
      <c r="C406">
        <f t="shared" si="24"/>
        <v>0.97751710654936474</v>
      </c>
      <c r="D406">
        <v>-24.15</v>
      </c>
      <c r="E406">
        <f t="shared" si="25"/>
        <v>0.9751021065493648</v>
      </c>
      <c r="F406">
        <f t="shared" si="26"/>
        <v>1.0255336269744535</v>
      </c>
      <c r="G406" s="4">
        <f t="shared" si="27"/>
        <v>-2.8074641760739351E-2</v>
      </c>
    </row>
    <row r="407" spans="1:7" x14ac:dyDescent="0.3">
      <c r="A407" s="1">
        <v>44834</v>
      </c>
      <c r="B407">
        <v>1.0130999999999999</v>
      </c>
      <c r="C407">
        <f t="shared" si="24"/>
        <v>0.98706939097818591</v>
      </c>
      <c r="D407">
        <v>-26.9</v>
      </c>
      <c r="E407">
        <f t="shared" si="25"/>
        <v>0.98437939097818594</v>
      </c>
      <c r="F407">
        <f t="shared" si="26"/>
        <v>1.0158684844125918</v>
      </c>
      <c r="G407" s="4">
        <f t="shared" si="27"/>
        <v>-1.2124055854838714E-2</v>
      </c>
    </row>
    <row r="408" spans="1:7" x14ac:dyDescent="0.3">
      <c r="A408" s="1">
        <v>44865</v>
      </c>
      <c r="B408">
        <v>0.99870000000000003</v>
      </c>
      <c r="C408">
        <f t="shared" si="24"/>
        <v>1.0013016921998599</v>
      </c>
      <c r="D408">
        <v>-32.35</v>
      </c>
      <c r="E408">
        <f t="shared" si="25"/>
        <v>0.99806669219985988</v>
      </c>
      <c r="F408">
        <f t="shared" si="26"/>
        <v>1.0019370527192715</v>
      </c>
      <c r="G408" s="4">
        <f t="shared" si="27"/>
        <v>-1.6900302230085575E-2</v>
      </c>
    </row>
    <row r="409" spans="1:7" x14ac:dyDescent="0.3">
      <c r="A409" s="1">
        <v>44895</v>
      </c>
      <c r="B409">
        <v>1.0573999999999999</v>
      </c>
      <c r="C409">
        <f t="shared" si="24"/>
        <v>0.94571590694155483</v>
      </c>
      <c r="D409">
        <v>-42.1</v>
      </c>
      <c r="E409">
        <f t="shared" si="25"/>
        <v>0.94150590694155478</v>
      </c>
      <c r="F409">
        <f t="shared" si="26"/>
        <v>1.0621282273718931</v>
      </c>
      <c r="G409" s="4">
        <f t="shared" si="27"/>
        <v>5.535572033213184E-2</v>
      </c>
    </row>
    <row r="410" spans="1:7" x14ac:dyDescent="0.3">
      <c r="A410" s="1">
        <v>44925</v>
      </c>
      <c r="B410">
        <v>1.0817000000000001</v>
      </c>
      <c r="C410">
        <f t="shared" si="24"/>
        <v>0.92447074050106304</v>
      </c>
      <c r="D410">
        <v>-32.56</v>
      </c>
      <c r="E410">
        <f t="shared" si="25"/>
        <v>0.921214740501063</v>
      </c>
      <c r="F410">
        <f t="shared" si="26"/>
        <v>1.0855232293135957</v>
      </c>
      <c r="G410" s="4">
        <f t="shared" si="27"/>
        <v>1.8426939538679826E-2</v>
      </c>
    </row>
    <row r="411" spans="1:7" x14ac:dyDescent="0.3">
      <c r="A411" s="1">
        <v>44957</v>
      </c>
      <c r="B411">
        <v>1.0913999999999999</v>
      </c>
      <c r="C411">
        <f t="shared" si="24"/>
        <v>0.91625435220817308</v>
      </c>
      <c r="D411">
        <v>-27.61</v>
      </c>
      <c r="E411">
        <f t="shared" si="25"/>
        <v>0.91349335220817307</v>
      </c>
      <c r="F411">
        <f t="shared" si="26"/>
        <v>1.0946987162880997</v>
      </c>
      <c r="G411" s="4">
        <f t="shared" si="27"/>
        <v>5.4137677828601386E-3</v>
      </c>
    </row>
    <row r="412" spans="1:7" x14ac:dyDescent="0.3">
      <c r="A412" s="1">
        <v>44985</v>
      </c>
      <c r="B412">
        <v>1.0612999999999999</v>
      </c>
      <c r="C412">
        <f t="shared" si="24"/>
        <v>0.94224064826156606</v>
      </c>
      <c r="D412">
        <v>-33.1</v>
      </c>
      <c r="E412">
        <f t="shared" si="25"/>
        <v>0.93893064826156603</v>
      </c>
      <c r="F412">
        <f t="shared" si="26"/>
        <v>1.0650413870838109</v>
      </c>
      <c r="G412" s="4">
        <f t="shared" si="27"/>
        <v>-3.0509505301465963E-2</v>
      </c>
    </row>
    <row r="413" spans="1:7" x14ac:dyDescent="0.3">
      <c r="A413" s="1">
        <v>45016</v>
      </c>
      <c r="B413">
        <v>1.0926</v>
      </c>
      <c r="C413">
        <f t="shared" si="24"/>
        <v>0.91524803221673068</v>
      </c>
      <c r="D413">
        <v>-29.44</v>
      </c>
      <c r="E413">
        <f t="shared" si="25"/>
        <v>0.91230403221673073</v>
      </c>
      <c r="F413">
        <f t="shared" si="26"/>
        <v>1.0961258140777743</v>
      </c>
      <c r="G413" s="4">
        <f t="shared" si="27"/>
        <v>2.5875626290587005E-2</v>
      </c>
    </row>
    <row r="414" spans="1:7" x14ac:dyDescent="0.3">
      <c r="A414" s="1">
        <v>45044</v>
      </c>
      <c r="B414">
        <v>1.1177999999999999</v>
      </c>
      <c r="C414">
        <f t="shared" si="24"/>
        <v>0.89461442118446954</v>
      </c>
      <c r="D414">
        <v>-33.590000000000003</v>
      </c>
      <c r="E414">
        <f t="shared" si="25"/>
        <v>0.89125542118446954</v>
      </c>
      <c r="F414">
        <f t="shared" si="26"/>
        <v>1.1220128105038734</v>
      </c>
      <c r="G414" s="4">
        <f t="shared" si="27"/>
        <v>1.9773447211861504E-2</v>
      </c>
    </row>
    <row r="415" spans="1:7" x14ac:dyDescent="0.3">
      <c r="A415" s="1">
        <v>45077</v>
      </c>
      <c r="B415">
        <v>1.0981000000000001</v>
      </c>
      <c r="C415">
        <f t="shared" si="24"/>
        <v>0.91066387396411974</v>
      </c>
      <c r="D415">
        <v>-32.78</v>
      </c>
      <c r="E415">
        <f t="shared" si="25"/>
        <v>0.90738587396411974</v>
      </c>
      <c r="F415">
        <f t="shared" si="26"/>
        <v>1.1020669691839862</v>
      </c>
      <c r="G415" s="4">
        <f t="shared" si="27"/>
        <v>-2.1312421997333988E-2</v>
      </c>
    </row>
    <row r="416" spans="1:7" x14ac:dyDescent="0.3">
      <c r="A416" s="1">
        <v>45107</v>
      </c>
      <c r="B416">
        <v>1.1165</v>
      </c>
      <c r="C416">
        <f t="shared" si="24"/>
        <v>0.89565606806986109</v>
      </c>
      <c r="D416">
        <v>-30.03</v>
      </c>
      <c r="E416">
        <f t="shared" si="25"/>
        <v>0.89265306806986111</v>
      </c>
      <c r="F416">
        <f t="shared" si="26"/>
        <v>1.120256049936903</v>
      </c>
      <c r="G416" s="4">
        <f t="shared" si="27"/>
        <v>1.309632828093983E-2</v>
      </c>
    </row>
    <row r="417" spans="1:7" x14ac:dyDescent="0.3">
      <c r="A417" s="1">
        <v>45138</v>
      </c>
      <c r="B417">
        <v>1.147</v>
      </c>
      <c r="C417">
        <f t="shared" si="24"/>
        <v>0.87183958151700081</v>
      </c>
      <c r="D417">
        <v>-30.58</v>
      </c>
      <c r="E417">
        <f t="shared" si="25"/>
        <v>0.8687815815170008</v>
      </c>
      <c r="F417">
        <f t="shared" si="26"/>
        <v>1.1510372932329844</v>
      </c>
      <c r="G417" s="4">
        <f t="shared" si="27"/>
        <v>2.3873069076130734E-2</v>
      </c>
    </row>
    <row r="418" spans="1:7" x14ac:dyDescent="0.3">
      <c r="A418" s="1">
        <v>45169</v>
      </c>
      <c r="B418">
        <v>1.1319999999999999</v>
      </c>
      <c r="C418">
        <f t="shared" si="24"/>
        <v>0.88339222614840995</v>
      </c>
      <c r="D418">
        <v>-28.67</v>
      </c>
      <c r="E418">
        <f t="shared" si="25"/>
        <v>0.88052522614841</v>
      </c>
      <c r="F418">
        <f t="shared" si="26"/>
        <v>1.1356858046806859</v>
      </c>
      <c r="G418" s="4">
        <f t="shared" si="27"/>
        <v>-1.6539249722755198E-2</v>
      </c>
    </row>
    <row r="419" spans="1:7" x14ac:dyDescent="0.3">
      <c r="A419" s="1">
        <v>45198</v>
      </c>
      <c r="B419">
        <v>1.0925</v>
      </c>
      <c r="C419">
        <f t="shared" si="24"/>
        <v>0.91533180778032031</v>
      </c>
      <c r="D419">
        <v>-29.97</v>
      </c>
      <c r="E419">
        <f t="shared" si="25"/>
        <v>0.91233480778032028</v>
      </c>
      <c r="F419">
        <f t="shared" si="26"/>
        <v>1.0960888387377943</v>
      </c>
      <c r="G419" s="4">
        <f t="shared" si="27"/>
        <v>-3.8026190432862012E-2</v>
      </c>
    </row>
    <row r="420" spans="1:7" x14ac:dyDescent="0.3">
      <c r="A420" s="1">
        <v>45230</v>
      </c>
      <c r="B420">
        <v>1.0984</v>
      </c>
      <c r="C420">
        <f t="shared" si="24"/>
        <v>0.91041514930808443</v>
      </c>
      <c r="D420">
        <v>-30.62</v>
      </c>
      <c r="E420">
        <f t="shared" si="25"/>
        <v>0.90735314930808442</v>
      </c>
      <c r="F420">
        <f t="shared" si="26"/>
        <v>1.1021067164009568</v>
      </c>
      <c r="G420" s="4">
        <f t="shared" si="27"/>
        <v>2.108552865903817E-3</v>
      </c>
    </row>
    <row r="421" spans="1:7" x14ac:dyDescent="0.3">
      <c r="A421" s="1">
        <v>45260</v>
      </c>
      <c r="B421">
        <v>1.1426000000000001</v>
      </c>
      <c r="C421">
        <f t="shared" si="24"/>
        <v>0.87519691930684396</v>
      </c>
      <c r="D421">
        <v>-30.92</v>
      </c>
      <c r="E421">
        <f t="shared" si="25"/>
        <v>0.87210491930684397</v>
      </c>
      <c r="F421">
        <f t="shared" si="26"/>
        <v>1.1466510254234181</v>
      </c>
      <c r="G421" s="4">
        <f t="shared" si="27"/>
        <v>3.6741708399417296E-2</v>
      </c>
    </row>
    <row r="422" spans="1:7" x14ac:dyDescent="0.3">
      <c r="A422" s="1">
        <v>45289</v>
      </c>
      <c r="B422">
        <v>1.1884999999999999</v>
      </c>
      <c r="C422">
        <f t="shared" si="24"/>
        <v>0.84139671855279774</v>
      </c>
      <c r="D422">
        <v>-28</v>
      </c>
      <c r="E422">
        <f t="shared" si="25"/>
        <v>0.83859671855279772</v>
      </c>
      <c r="F422">
        <f t="shared" si="26"/>
        <v>1.1924682959954134</v>
      </c>
      <c r="G422" s="4">
        <f t="shared" si="27"/>
        <v>3.6496696596184007E-2</v>
      </c>
    </row>
    <row r="423" spans="1:7" x14ac:dyDescent="0.3">
      <c r="A423" s="1">
        <v>45322</v>
      </c>
      <c r="B423">
        <v>1.161</v>
      </c>
      <c r="C423">
        <f t="shared" si="24"/>
        <v>0.86132644272179149</v>
      </c>
      <c r="D423">
        <v>-28.65</v>
      </c>
      <c r="E423">
        <f t="shared" si="25"/>
        <v>0.85846144272179148</v>
      </c>
      <c r="F423">
        <f t="shared" si="26"/>
        <v>1.1648746818837361</v>
      </c>
      <c r="G423" s="4">
        <f t="shared" si="27"/>
        <v>-2.6389209760201777E-2</v>
      </c>
    </row>
    <row r="424" spans="1:7" x14ac:dyDescent="0.3">
      <c r="A424" s="1">
        <v>45351</v>
      </c>
      <c r="B424">
        <v>1.1306</v>
      </c>
      <c r="C424">
        <f t="shared" si="24"/>
        <v>0.88448611356801699</v>
      </c>
      <c r="D424">
        <v>-29.5</v>
      </c>
      <c r="E424">
        <f t="shared" si="25"/>
        <v>0.88153611356801698</v>
      </c>
      <c r="F424">
        <f t="shared" si="26"/>
        <v>1.1343834751732411</v>
      </c>
      <c r="G424" s="4">
        <f t="shared" si="27"/>
        <v>-2.9423492858742507E-2</v>
      </c>
    </row>
    <row r="425" spans="1:7" x14ac:dyDescent="0.3">
      <c r="A425" s="1">
        <v>45380</v>
      </c>
      <c r="B425">
        <v>1.1093999999999999</v>
      </c>
      <c r="C425">
        <f t="shared" si="24"/>
        <v>0.90138813773210746</v>
      </c>
      <c r="D425">
        <v>-29.93</v>
      </c>
      <c r="E425">
        <f t="shared" si="25"/>
        <v>0.89839513773210744</v>
      </c>
      <c r="F425">
        <f t="shared" si="26"/>
        <v>1.113095961899774</v>
      </c>
      <c r="G425" s="4">
        <f t="shared" si="27"/>
        <v>-2.2023835607642064E-2</v>
      </c>
    </row>
    <row r="426" spans="1:7" x14ac:dyDescent="0.3">
      <c r="A426" s="1">
        <v>45412</v>
      </c>
      <c r="B426">
        <v>1.0875999999999999</v>
      </c>
      <c r="C426">
        <f t="shared" si="24"/>
        <v>0.91945568223611629</v>
      </c>
      <c r="D426">
        <v>-31.91</v>
      </c>
      <c r="E426">
        <f t="shared" si="25"/>
        <v>0.91626468223611623</v>
      </c>
      <c r="F426">
        <f t="shared" si="26"/>
        <v>1.0913876954850319</v>
      </c>
      <c r="G426" s="4">
        <f t="shared" si="27"/>
        <v>-2.2905448202560113E-2</v>
      </c>
    </row>
    <row r="427" spans="1:7" x14ac:dyDescent="0.3">
      <c r="A427" s="1">
        <v>45443</v>
      </c>
      <c r="B427">
        <v>1.1083000000000001</v>
      </c>
      <c r="C427">
        <f t="shared" si="24"/>
        <v>0.90228277542181712</v>
      </c>
      <c r="D427">
        <v>-31.75</v>
      </c>
      <c r="E427">
        <f t="shared" si="25"/>
        <v>0.89910777542181708</v>
      </c>
      <c r="F427">
        <f t="shared" si="26"/>
        <v>1.1122137160151342</v>
      </c>
      <c r="G427" s="4">
        <f t="shared" si="27"/>
        <v>1.5496147322287743E-2</v>
      </c>
    </row>
    <row r="428" spans="1:7" x14ac:dyDescent="0.3">
      <c r="A428" s="1">
        <v>45471</v>
      </c>
      <c r="B428">
        <v>1.1127</v>
      </c>
      <c r="C428">
        <f t="shared" si="24"/>
        <v>0.89871483778197181</v>
      </c>
      <c r="D428">
        <v>-33.409999999999997</v>
      </c>
      <c r="E428">
        <f t="shared" si="25"/>
        <v>0.89537383778197177</v>
      </c>
      <c r="F428">
        <f t="shared" si="26"/>
        <v>1.1168519313421186</v>
      </c>
      <c r="G428" s="4">
        <f t="shared" si="27"/>
        <v>4.3722171185597462E-4</v>
      </c>
    </row>
    <row r="429" spans="1:7" x14ac:dyDescent="0.3">
      <c r="A429" s="1">
        <v>45504</v>
      </c>
      <c r="B429">
        <v>1.139</v>
      </c>
      <c r="C429">
        <f t="shared" si="24"/>
        <v>0.87796312554872691</v>
      </c>
      <c r="D429">
        <v>-32.43</v>
      </c>
      <c r="E429">
        <f t="shared" si="25"/>
        <v>0.87472012554872691</v>
      </c>
      <c r="F429">
        <f t="shared" si="26"/>
        <v>1.1432228101219037</v>
      </c>
      <c r="G429" s="4">
        <f t="shared" si="27"/>
        <v>1.9830801233665908E-2</v>
      </c>
    </row>
    <row r="430" spans="1:7" x14ac:dyDescent="0.3">
      <c r="A430" s="1">
        <v>45534</v>
      </c>
      <c r="B430">
        <v>1.1771</v>
      </c>
      <c r="C430">
        <f t="shared" si="24"/>
        <v>0.84954549316115879</v>
      </c>
      <c r="D430">
        <v>-29.94</v>
      </c>
      <c r="E430">
        <f t="shared" si="25"/>
        <v>0.84655149316115874</v>
      </c>
      <c r="F430">
        <f t="shared" si="26"/>
        <v>1.1812630514250704</v>
      </c>
      <c r="G430" s="4">
        <f t="shared" si="27"/>
        <v>2.9633059783406447E-2</v>
      </c>
    </row>
    <row r="431" spans="1:7" x14ac:dyDescent="0.3">
      <c r="A431" s="1">
        <v>45565</v>
      </c>
      <c r="B431">
        <v>1.1826000000000001</v>
      </c>
      <c r="C431">
        <f t="shared" si="24"/>
        <v>0.84559445290038893</v>
      </c>
      <c r="D431">
        <v>-31.85</v>
      </c>
      <c r="E431">
        <f t="shared" si="25"/>
        <v>0.84240945290038893</v>
      </c>
      <c r="F431">
        <f t="shared" si="26"/>
        <v>1.1870711998269152</v>
      </c>
      <c r="G431" s="4">
        <f t="shared" si="27"/>
        <v>1.1317958123864373E-3</v>
      </c>
    </row>
    <row r="432" spans="1:7" x14ac:dyDescent="0.3">
      <c r="A432" s="1">
        <v>45596</v>
      </c>
      <c r="B432">
        <v>1.1573</v>
      </c>
      <c r="C432">
        <f t="shared" si="24"/>
        <v>0.86408018664132036</v>
      </c>
      <c r="D432">
        <v>-28</v>
      </c>
      <c r="E432">
        <f t="shared" si="25"/>
        <v>0.86128018664132033</v>
      </c>
      <c r="F432">
        <f t="shared" si="26"/>
        <v>1.1610623528908015</v>
      </c>
      <c r="G432" s="4">
        <f t="shared" si="27"/>
        <v>-2.5079540158379814E-2</v>
      </c>
    </row>
    <row r="433" spans="1:7" x14ac:dyDescent="0.3">
      <c r="A433" s="1">
        <v>45625</v>
      </c>
      <c r="B433">
        <v>1.1351</v>
      </c>
      <c r="C433">
        <f t="shared" si="24"/>
        <v>0.88097964937009954</v>
      </c>
      <c r="D433">
        <v>-32.880000000000003</v>
      </c>
      <c r="E433">
        <f t="shared" si="25"/>
        <v>0.87769164937009958</v>
      </c>
      <c r="F433">
        <f t="shared" si="26"/>
        <v>1.1393523006829089</v>
      </c>
      <c r="G433" s="4">
        <f t="shared" si="27"/>
        <v>-2.2360860143437345E-2</v>
      </c>
    </row>
    <row r="434" spans="1:7" x14ac:dyDescent="0.3">
      <c r="A434" s="1">
        <v>45657</v>
      </c>
      <c r="B434">
        <v>1.1021000000000001</v>
      </c>
      <c r="C434">
        <f t="shared" si="24"/>
        <v>0.90735867888576349</v>
      </c>
      <c r="D434">
        <v>-31.68</v>
      </c>
      <c r="E434">
        <f t="shared" si="25"/>
        <v>0.90419067888576354</v>
      </c>
      <c r="F434">
        <f t="shared" si="26"/>
        <v>1.1059614120688597</v>
      </c>
      <c r="G434" s="4">
        <f t="shared" si="27"/>
        <v>-3.2696033229213162E-2</v>
      </c>
    </row>
    <row r="435" spans="1:7" x14ac:dyDescent="0.3">
      <c r="A435" s="1">
        <v>45688</v>
      </c>
      <c r="B435">
        <v>1.0978000000000001</v>
      </c>
      <c r="C435">
        <f t="shared" si="24"/>
        <v>0.91091273456002908</v>
      </c>
      <c r="D435">
        <v>-28.54</v>
      </c>
      <c r="E435">
        <f t="shared" si="25"/>
        <v>0.90805873456002906</v>
      </c>
      <c r="F435">
        <f t="shared" si="26"/>
        <v>1.1012503508206637</v>
      </c>
      <c r="G435" s="4">
        <f t="shared" si="27"/>
        <v>-7.3794727192085935E-3</v>
      </c>
    </row>
    <row r="436" spans="1:7" x14ac:dyDescent="0.3">
      <c r="A436" s="1">
        <v>45716</v>
      </c>
      <c r="B436">
        <v>1.1073</v>
      </c>
      <c r="C436">
        <f t="shared" si="24"/>
        <v>0.90309762485324663</v>
      </c>
      <c r="D436">
        <v>-32.28</v>
      </c>
      <c r="E436">
        <f t="shared" si="25"/>
        <v>0.89986962485324662</v>
      </c>
      <c r="F436">
        <f t="shared" si="26"/>
        <v>1.1112720914022216</v>
      </c>
      <c r="G436" s="4">
        <f t="shared" si="27"/>
        <v>5.4934367783202017E-3</v>
      </c>
    </row>
    <row r="437" spans="1:7" x14ac:dyDescent="0.3">
      <c r="A437" s="1">
        <v>45747</v>
      </c>
      <c r="B437">
        <v>1.1309</v>
      </c>
      <c r="C437">
        <f t="shared" si="24"/>
        <v>0.88425148112123086</v>
      </c>
      <c r="D437">
        <v>-31.68</v>
      </c>
      <c r="E437">
        <f t="shared" si="25"/>
        <v>0.88108348112123092</v>
      </c>
      <c r="F437">
        <f t="shared" si="26"/>
        <v>1.1349662335371908</v>
      </c>
      <c r="G437" s="4">
        <f t="shared" si="27"/>
        <v>1.7662558746536671E-2</v>
      </c>
    </row>
    <row r="438" spans="1:7" x14ac:dyDescent="0.3">
      <c r="A438" s="1">
        <v>45777</v>
      </c>
      <c r="B438">
        <v>1.2110000000000001</v>
      </c>
      <c r="C438">
        <f t="shared" si="24"/>
        <v>0.82576383154417832</v>
      </c>
      <c r="D438">
        <v>-30.79</v>
      </c>
      <c r="E438">
        <f t="shared" si="25"/>
        <v>0.82268483154417826</v>
      </c>
      <c r="F438">
        <f t="shared" si="26"/>
        <v>1.2155323176713997</v>
      </c>
      <c r="G438" s="4">
        <f t="shared" si="27"/>
        <v>6.6992095637810667E-2</v>
      </c>
    </row>
    <row r="439" spans="1:7" x14ac:dyDescent="0.3">
      <c r="A439" s="1">
        <v>45807</v>
      </c>
      <c r="B439">
        <v>1.2159</v>
      </c>
      <c r="C439">
        <f t="shared" si="24"/>
        <v>0.82243605559667732</v>
      </c>
      <c r="D439">
        <v>-30.33</v>
      </c>
      <c r="E439">
        <f t="shared" si="25"/>
        <v>0.81940305559667737</v>
      </c>
      <c r="F439">
        <f t="shared" si="26"/>
        <v>1.2204006235634728</v>
      </c>
      <c r="G439" s="4">
        <f t="shared" si="27"/>
        <v>3.02486674566304E-4</v>
      </c>
    </row>
    <row r="440" spans="1:7" x14ac:dyDescent="0.3">
      <c r="A440" s="1">
        <v>45838</v>
      </c>
      <c r="B440">
        <v>1.2608999999999999</v>
      </c>
      <c r="C440">
        <f t="shared" si="24"/>
        <v>0.79308430486160686</v>
      </c>
      <c r="D440">
        <v>-32.86</v>
      </c>
      <c r="E440">
        <f t="shared" si="25"/>
        <v>0.78979830486160685</v>
      </c>
      <c r="F440">
        <f t="shared" si="26"/>
        <v>1.2661460449389366</v>
      </c>
      <c r="G440" s="4">
        <f t="shared" si="27"/>
        <v>3.31853128018504E-2</v>
      </c>
    </row>
    <row r="441" spans="1:7" x14ac:dyDescent="0.3">
      <c r="A441" s="1">
        <v>45869</v>
      </c>
      <c r="B441">
        <v>1.2311000000000001</v>
      </c>
      <c r="C441">
        <f t="shared" si="24"/>
        <v>0.81228169929331484</v>
      </c>
      <c r="D441">
        <v>-31.57</v>
      </c>
      <c r="E441">
        <f t="shared" si="25"/>
        <v>0.80912469929331488</v>
      </c>
      <c r="F441">
        <f t="shared" si="26"/>
        <v>1.2359034409323983</v>
      </c>
      <c r="G441" s="4">
        <f t="shared" si="27"/>
        <v>-2.7679306884875729E-2</v>
      </c>
    </row>
    <row r="442" spans="1:7" x14ac:dyDescent="0.3">
      <c r="A442" s="1">
        <v>45898</v>
      </c>
      <c r="B442">
        <v>1.2492000000000001</v>
      </c>
      <c r="C442">
        <f t="shared" si="24"/>
        <v>0.8005123278898495</v>
      </c>
      <c r="D442">
        <v>-29.6</v>
      </c>
      <c r="E442">
        <f t="shared" si="25"/>
        <v>0.79755232788984953</v>
      </c>
      <c r="F442">
        <f t="shared" si="26"/>
        <v>1.2538362249481274</v>
      </c>
      <c r="G442" s="4">
        <f t="shared" si="27"/>
        <v>1.0758574357209061E-2</v>
      </c>
    </row>
    <row r="443" spans="1:7" x14ac:dyDescent="0.3">
      <c r="A443" s="1">
        <v>45930</v>
      </c>
      <c r="B443">
        <v>1.2556</v>
      </c>
      <c r="C443">
        <f t="shared" si="24"/>
        <v>0.79643198470850585</v>
      </c>
      <c r="D443">
        <v>-30.71</v>
      </c>
      <c r="E443">
        <f t="shared" si="25"/>
        <v>0.7933609847085058</v>
      </c>
      <c r="F443">
        <f t="shared" si="26"/>
        <v>1.260460268748175</v>
      </c>
      <c r="G443" s="4">
        <f t="shared" si="27"/>
        <v>1.4067028984950643E-3</v>
      </c>
    </row>
    <row r="444" spans="1:7" x14ac:dyDescent="0.3">
      <c r="A444" s="1">
        <v>45961</v>
      </c>
      <c r="B444">
        <v>1.2428999999999999</v>
      </c>
      <c r="C444">
        <f t="shared" si="24"/>
        <v>0.80456995735779235</v>
      </c>
      <c r="D444">
        <v>-28.21</v>
      </c>
      <c r="E444">
        <f t="shared" si="25"/>
        <v>0.80174895735779239</v>
      </c>
      <c r="F444">
        <f t="shared" si="26"/>
        <v>1.2472732154159012</v>
      </c>
      <c r="G444" s="4">
        <f t="shared" si="27"/>
        <v>-1.3931632105798173E-2</v>
      </c>
    </row>
    <row r="445" spans="1:7" x14ac:dyDescent="0.3">
      <c r="A445" s="1"/>
    </row>
    <row r="446" spans="1:7" x14ac:dyDescent="0.3">
      <c r="A446" s="1"/>
    </row>
    <row r="447" spans="1:7" x14ac:dyDescent="0.3">
      <c r="A447" s="1"/>
      <c r="E447" s="5"/>
    </row>
    <row r="448" spans="1:7" x14ac:dyDescent="0.3">
      <c r="A448" s="1"/>
    </row>
    <row r="449" spans="1:3" x14ac:dyDescent="0.3">
      <c r="A449" s="1"/>
    </row>
    <row r="450" spans="1:3" x14ac:dyDescent="0.3">
      <c r="A450" s="1"/>
      <c r="B450" s="4"/>
      <c r="C450" s="4"/>
    </row>
    <row r="451" spans="1:3" x14ac:dyDescent="0.3">
      <c r="A451" s="1"/>
    </row>
    <row r="452" spans="1:3" x14ac:dyDescent="0.3">
      <c r="A452" s="1"/>
    </row>
    <row r="453" spans="1:3" x14ac:dyDescent="0.3">
      <c r="A453" s="1"/>
    </row>
    <row r="454" spans="1:3" x14ac:dyDescent="0.3">
      <c r="A454" s="1"/>
    </row>
    <row r="455" spans="1:3" x14ac:dyDescent="0.3">
      <c r="A455" s="1"/>
    </row>
    <row r="456" spans="1:3" x14ac:dyDescent="0.3">
      <c r="A456" s="1"/>
    </row>
    <row r="457" spans="1:3" x14ac:dyDescent="0.3">
      <c r="A457" s="1"/>
    </row>
    <row r="458" spans="1:3" x14ac:dyDescent="0.3">
      <c r="A458" s="1"/>
    </row>
    <row r="459" spans="1:3" x14ac:dyDescent="0.3">
      <c r="A459" s="1"/>
    </row>
    <row r="460" spans="1:3" x14ac:dyDescent="0.3">
      <c r="A460" s="1"/>
    </row>
    <row r="461" spans="1:3" x14ac:dyDescent="0.3">
      <c r="A461" s="1"/>
    </row>
    <row r="462" spans="1:3" x14ac:dyDescent="0.3">
      <c r="A462" s="1"/>
    </row>
    <row r="463" spans="1:3" x14ac:dyDescent="0.3">
      <c r="A463" s="1"/>
    </row>
    <row r="464" spans="1:3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2" tint="-0.499984740745262"/>
  </sheetPr>
  <dimension ref="A1:J431"/>
  <sheetViews>
    <sheetView zoomScale="130" zoomScaleNormal="130" workbookViewId="0">
      <selection activeCell="I12" sqref="I12"/>
    </sheetView>
  </sheetViews>
  <sheetFormatPr defaultColWidth="8.77734375" defaultRowHeight="14.4" x14ac:dyDescent="0.3"/>
  <cols>
    <col min="1" max="1" width="10.77734375" bestFit="1" customWidth="1"/>
    <col min="2" max="2" width="9.44140625" customWidth="1"/>
    <col min="3" max="3" width="12.44140625" customWidth="1"/>
    <col min="4" max="4" width="12.44140625" bestFit="1" customWidth="1"/>
    <col min="5" max="5" width="10.6640625" customWidth="1"/>
  </cols>
  <sheetData>
    <row r="1" spans="1:10" x14ac:dyDescent="0.3">
      <c r="A1" t="s">
        <v>0</v>
      </c>
      <c r="B1" t="s">
        <v>19</v>
      </c>
      <c r="C1" s="2" t="s">
        <v>20</v>
      </c>
      <c r="D1" t="s">
        <v>21</v>
      </c>
      <c r="E1" t="s">
        <v>22</v>
      </c>
      <c r="G1" s="3"/>
    </row>
    <row r="2" spans="1:10" x14ac:dyDescent="0.3">
      <c r="A2" s="1">
        <v>36556</v>
      </c>
      <c r="B2">
        <v>0.97070000000000001</v>
      </c>
      <c r="C2">
        <v>20.43</v>
      </c>
      <c r="D2">
        <f>B2+C2/10^4</f>
        <v>0.97274300000000002</v>
      </c>
      <c r="J2" s="6"/>
    </row>
    <row r="3" spans="1:10" x14ac:dyDescent="0.3">
      <c r="A3" s="1">
        <v>36585</v>
      </c>
      <c r="B3">
        <v>0.96419999999999995</v>
      </c>
      <c r="C3">
        <v>20.25</v>
      </c>
      <c r="D3">
        <f t="shared" ref="D3:D66" si="0">B3+C3/10^4</f>
        <v>0.966225</v>
      </c>
      <c r="E3" s="4">
        <f>(B3-D2)/D2</f>
        <v>-8.7823813689742077E-3</v>
      </c>
    </row>
    <row r="4" spans="1:10" x14ac:dyDescent="0.3">
      <c r="A4" s="1">
        <v>36616</v>
      </c>
      <c r="B4">
        <v>0.95550000000000002</v>
      </c>
      <c r="C4">
        <v>19.5</v>
      </c>
      <c r="D4">
        <f t="shared" si="0"/>
        <v>0.95745000000000002</v>
      </c>
      <c r="E4" s="4">
        <f t="shared" ref="E4:E67" si="1">(B4-D3)/D3</f>
        <v>-1.1099899091826421E-2</v>
      </c>
    </row>
    <row r="5" spans="1:10" x14ac:dyDescent="0.3">
      <c r="A5" s="1">
        <v>36644</v>
      </c>
      <c r="B5">
        <v>0.91190000000000004</v>
      </c>
      <c r="C5">
        <v>19.899999999999999</v>
      </c>
      <c r="D5">
        <f t="shared" si="0"/>
        <v>0.91389000000000009</v>
      </c>
      <c r="E5" s="4">
        <f t="shared" si="1"/>
        <v>-4.7574285863491543E-2</v>
      </c>
    </row>
    <row r="6" spans="1:10" x14ac:dyDescent="0.3">
      <c r="A6" s="1">
        <v>36677</v>
      </c>
      <c r="B6">
        <v>0.93799999999999994</v>
      </c>
      <c r="C6">
        <v>18.48</v>
      </c>
      <c r="D6">
        <f t="shared" si="0"/>
        <v>0.93984799999999991</v>
      </c>
      <c r="E6" s="4">
        <f t="shared" si="1"/>
        <v>2.6381730842880272E-2</v>
      </c>
    </row>
    <row r="7" spans="1:10" x14ac:dyDescent="0.3">
      <c r="A7" s="1">
        <v>36707</v>
      </c>
      <c r="B7">
        <v>0.95250000000000001</v>
      </c>
      <c r="C7">
        <v>19.579999999999998</v>
      </c>
      <c r="D7">
        <f t="shared" si="0"/>
        <v>0.95445800000000003</v>
      </c>
      <c r="E7" s="4">
        <f t="shared" si="1"/>
        <v>1.3461751261906296E-2</v>
      </c>
    </row>
    <row r="8" spans="1:10" x14ac:dyDescent="0.3">
      <c r="A8" s="1">
        <v>36738</v>
      </c>
      <c r="B8">
        <v>0.92659999999999998</v>
      </c>
      <c r="C8">
        <v>19.13</v>
      </c>
      <c r="D8">
        <f t="shared" si="0"/>
        <v>0.92851300000000003</v>
      </c>
      <c r="E8" s="4">
        <f t="shared" si="1"/>
        <v>-2.9187245536210129E-2</v>
      </c>
    </row>
    <row r="9" spans="1:10" x14ac:dyDescent="0.3">
      <c r="A9" s="1">
        <v>36769</v>
      </c>
      <c r="B9">
        <v>0.88780000000000003</v>
      </c>
      <c r="C9">
        <v>14.05</v>
      </c>
      <c r="D9">
        <f t="shared" si="0"/>
        <v>0.88920500000000002</v>
      </c>
      <c r="E9" s="4">
        <f t="shared" si="1"/>
        <v>-4.3847528252162329E-2</v>
      </c>
    </row>
    <row r="10" spans="1:10" x14ac:dyDescent="0.3">
      <c r="A10" s="1">
        <v>36798</v>
      </c>
      <c r="B10">
        <v>0.88280000000000003</v>
      </c>
      <c r="C10">
        <v>13.7</v>
      </c>
      <c r="D10">
        <f t="shared" si="0"/>
        <v>0.88417000000000001</v>
      </c>
      <c r="E10" s="4">
        <f t="shared" si="1"/>
        <v>-7.2030634105746073E-3</v>
      </c>
    </row>
    <row r="11" spans="1:10" x14ac:dyDescent="0.3">
      <c r="A11" s="1">
        <v>36830</v>
      </c>
      <c r="B11">
        <v>0.84889999999999999</v>
      </c>
      <c r="C11">
        <v>12.1</v>
      </c>
      <c r="D11">
        <f t="shared" si="0"/>
        <v>0.85011000000000003</v>
      </c>
      <c r="E11" s="4">
        <f t="shared" si="1"/>
        <v>-3.9890518791635118E-2</v>
      </c>
    </row>
    <row r="12" spans="1:10" x14ac:dyDescent="0.3">
      <c r="A12" s="1">
        <v>36860</v>
      </c>
      <c r="B12">
        <v>0.87290000000000001</v>
      </c>
      <c r="C12">
        <v>12.85</v>
      </c>
      <c r="D12">
        <f t="shared" si="0"/>
        <v>0.87418499999999999</v>
      </c>
      <c r="E12" s="4">
        <f t="shared" si="1"/>
        <v>2.6808295397066233E-2</v>
      </c>
    </row>
    <row r="13" spans="1:10" x14ac:dyDescent="0.3">
      <c r="A13" s="1">
        <v>36889</v>
      </c>
      <c r="B13">
        <v>0.94269999999999998</v>
      </c>
      <c r="C13">
        <v>14</v>
      </c>
      <c r="D13">
        <f t="shared" si="0"/>
        <v>0.94409999999999994</v>
      </c>
      <c r="E13" s="4">
        <f t="shared" si="1"/>
        <v>7.8375858656920441E-2</v>
      </c>
    </row>
    <row r="14" spans="1:10" x14ac:dyDescent="0.3">
      <c r="A14" s="1">
        <v>36922</v>
      </c>
      <c r="B14">
        <v>0.93659999999999999</v>
      </c>
      <c r="C14">
        <v>5.91</v>
      </c>
      <c r="D14">
        <f t="shared" si="0"/>
        <v>0.937191</v>
      </c>
      <c r="E14" s="4">
        <f t="shared" si="1"/>
        <v>-7.9440737210040805E-3</v>
      </c>
    </row>
    <row r="15" spans="1:10" x14ac:dyDescent="0.3">
      <c r="A15" s="1">
        <v>36950</v>
      </c>
      <c r="B15">
        <v>0.92359999999999998</v>
      </c>
      <c r="C15">
        <v>3.5</v>
      </c>
      <c r="D15">
        <f t="shared" si="0"/>
        <v>0.92394999999999994</v>
      </c>
      <c r="E15" s="4">
        <f t="shared" si="1"/>
        <v>-1.4501846475264936E-2</v>
      </c>
    </row>
    <row r="16" spans="1:10" x14ac:dyDescent="0.3">
      <c r="A16" s="1">
        <v>36980</v>
      </c>
      <c r="B16">
        <v>0.87670000000000003</v>
      </c>
      <c r="C16">
        <v>1.9</v>
      </c>
      <c r="D16">
        <f t="shared" si="0"/>
        <v>0.87689000000000006</v>
      </c>
      <c r="E16" s="4">
        <f t="shared" si="1"/>
        <v>-5.1139130905351923E-2</v>
      </c>
    </row>
    <row r="17" spans="1:5" x14ac:dyDescent="0.3">
      <c r="A17" s="1">
        <v>37011</v>
      </c>
      <c r="B17">
        <v>0.8891</v>
      </c>
      <c r="C17">
        <v>-3.45</v>
      </c>
      <c r="D17">
        <f t="shared" si="0"/>
        <v>0.88875499999999996</v>
      </c>
      <c r="E17" s="4">
        <f t="shared" si="1"/>
        <v>1.392420942193427E-2</v>
      </c>
    </row>
    <row r="18" spans="1:5" x14ac:dyDescent="0.3">
      <c r="A18" s="1">
        <v>37042</v>
      </c>
      <c r="B18">
        <v>0.84530000000000005</v>
      </c>
      <c r="C18">
        <v>-4</v>
      </c>
      <c r="D18">
        <f t="shared" si="0"/>
        <v>0.8449000000000001</v>
      </c>
      <c r="E18" s="4">
        <f t="shared" si="1"/>
        <v>-4.8894239694853937E-2</v>
      </c>
    </row>
    <row r="19" spans="1:5" x14ac:dyDescent="0.3">
      <c r="A19" s="1">
        <v>37071</v>
      </c>
      <c r="B19">
        <v>0.84899999999999998</v>
      </c>
      <c r="C19">
        <v>-4.9000000000000004</v>
      </c>
      <c r="D19">
        <f t="shared" si="0"/>
        <v>0.84850999999999999</v>
      </c>
      <c r="E19" s="4">
        <f t="shared" si="1"/>
        <v>4.852645283465358E-3</v>
      </c>
    </row>
    <row r="20" spans="1:5" x14ac:dyDescent="0.3">
      <c r="A20" s="1">
        <v>37103</v>
      </c>
      <c r="B20">
        <v>0.87639999999999996</v>
      </c>
      <c r="C20">
        <v>-5.95</v>
      </c>
      <c r="D20">
        <f t="shared" si="0"/>
        <v>0.87580499999999994</v>
      </c>
      <c r="E20" s="4">
        <f t="shared" si="1"/>
        <v>3.2869382800438378E-2</v>
      </c>
    </row>
    <row r="21" spans="1:5" x14ac:dyDescent="0.3">
      <c r="A21" s="1">
        <v>37134</v>
      </c>
      <c r="B21">
        <v>0.9123</v>
      </c>
      <c r="C21">
        <v>-5.65</v>
      </c>
      <c r="D21">
        <f t="shared" si="0"/>
        <v>0.91173499999999996</v>
      </c>
      <c r="E21" s="4">
        <f t="shared" si="1"/>
        <v>4.1670234812543956E-2</v>
      </c>
    </row>
    <row r="22" spans="1:5" x14ac:dyDescent="0.3">
      <c r="A22" s="1">
        <v>37162</v>
      </c>
      <c r="B22">
        <v>0.91139999999999999</v>
      </c>
      <c r="C22">
        <v>-8.6</v>
      </c>
      <c r="D22">
        <f t="shared" si="0"/>
        <v>0.91054000000000002</v>
      </c>
      <c r="E22" s="4">
        <f t="shared" si="1"/>
        <v>-3.6743132598833457E-4</v>
      </c>
    </row>
    <row r="23" spans="1:5" x14ac:dyDescent="0.3">
      <c r="A23" s="1">
        <v>37195</v>
      </c>
      <c r="B23">
        <v>0.90049999999999997</v>
      </c>
      <c r="C23">
        <v>-9.9</v>
      </c>
      <c r="D23">
        <f t="shared" si="0"/>
        <v>0.89950999999999992</v>
      </c>
      <c r="E23" s="4">
        <f t="shared" si="1"/>
        <v>-1.10264238803348E-2</v>
      </c>
    </row>
    <row r="24" spans="1:5" x14ac:dyDescent="0.3">
      <c r="A24" s="1">
        <v>37225</v>
      </c>
      <c r="B24">
        <v>0.89639999999999997</v>
      </c>
      <c r="C24">
        <v>-10.23</v>
      </c>
      <c r="D24">
        <f t="shared" si="0"/>
        <v>0.89537699999999998</v>
      </c>
      <c r="E24" s="4">
        <f t="shared" si="1"/>
        <v>-3.4574379384330872E-3</v>
      </c>
    </row>
    <row r="25" spans="1:5" x14ac:dyDescent="0.3">
      <c r="A25" s="1">
        <v>37256</v>
      </c>
      <c r="B25">
        <v>0.88949999999999996</v>
      </c>
      <c r="C25">
        <v>-11.3</v>
      </c>
      <c r="D25">
        <f t="shared" si="0"/>
        <v>0.88836999999999999</v>
      </c>
      <c r="E25" s="4">
        <f t="shared" si="1"/>
        <v>-6.5637156192308059E-3</v>
      </c>
    </row>
    <row r="26" spans="1:5" x14ac:dyDescent="0.3">
      <c r="A26" s="1">
        <v>37287</v>
      </c>
      <c r="B26">
        <v>0.85940000000000005</v>
      </c>
      <c r="C26">
        <v>-10.1</v>
      </c>
      <c r="D26">
        <f t="shared" si="0"/>
        <v>0.8583900000000001</v>
      </c>
      <c r="E26" s="4">
        <f t="shared" si="1"/>
        <v>-3.2610286254601058E-2</v>
      </c>
    </row>
    <row r="27" spans="1:5" x14ac:dyDescent="0.3">
      <c r="A27" s="1">
        <v>37315</v>
      </c>
      <c r="B27">
        <v>0.86939999999999995</v>
      </c>
      <c r="C27">
        <v>-11.5</v>
      </c>
      <c r="D27">
        <f t="shared" si="0"/>
        <v>0.86824999999999997</v>
      </c>
      <c r="E27" s="4">
        <f t="shared" si="1"/>
        <v>1.2826337678677352E-2</v>
      </c>
    </row>
    <row r="28" spans="1:5" x14ac:dyDescent="0.3">
      <c r="A28" s="1">
        <v>37344</v>
      </c>
      <c r="B28">
        <v>0.87170000000000003</v>
      </c>
      <c r="C28">
        <v>-10.5</v>
      </c>
      <c r="D28">
        <f t="shared" si="0"/>
        <v>0.87065000000000003</v>
      </c>
      <c r="E28" s="4">
        <f t="shared" si="1"/>
        <v>3.9735099337749082E-3</v>
      </c>
    </row>
    <row r="29" spans="1:5" x14ac:dyDescent="0.3">
      <c r="A29" s="1">
        <v>37376</v>
      </c>
      <c r="B29">
        <v>0.90049999999999997</v>
      </c>
      <c r="C29">
        <v>-11.5</v>
      </c>
      <c r="D29">
        <f t="shared" si="0"/>
        <v>0.89934999999999998</v>
      </c>
      <c r="E29" s="4">
        <f t="shared" si="1"/>
        <v>3.4284729799574948E-2</v>
      </c>
    </row>
    <row r="30" spans="1:5" x14ac:dyDescent="0.3">
      <c r="A30" s="1">
        <v>37407</v>
      </c>
      <c r="B30">
        <v>0.93420000000000003</v>
      </c>
      <c r="C30">
        <v>-12.5</v>
      </c>
      <c r="D30">
        <f t="shared" si="0"/>
        <v>0.93295000000000006</v>
      </c>
      <c r="E30" s="4">
        <f t="shared" si="1"/>
        <v>3.8750208483905098E-2</v>
      </c>
    </row>
    <row r="31" spans="1:5" x14ac:dyDescent="0.3">
      <c r="A31" s="1">
        <v>37435</v>
      </c>
      <c r="B31">
        <v>0.99150000000000005</v>
      </c>
      <c r="C31">
        <v>-13.3</v>
      </c>
      <c r="D31">
        <f t="shared" si="0"/>
        <v>0.99016999999999999</v>
      </c>
      <c r="E31" s="4">
        <f t="shared" si="1"/>
        <v>6.2757918430784057E-2</v>
      </c>
    </row>
    <row r="32" spans="1:5" x14ac:dyDescent="0.3">
      <c r="A32" s="1">
        <v>37468</v>
      </c>
      <c r="B32">
        <v>0.97760000000000002</v>
      </c>
      <c r="C32">
        <v>-12.95</v>
      </c>
      <c r="D32">
        <f t="shared" si="0"/>
        <v>0.97630499999999998</v>
      </c>
      <c r="E32" s="4">
        <f t="shared" si="1"/>
        <v>-1.2694789783572488E-2</v>
      </c>
    </row>
    <row r="33" spans="1:5" x14ac:dyDescent="0.3">
      <c r="A33" s="1">
        <v>37498</v>
      </c>
      <c r="B33">
        <v>0.98229999999999995</v>
      </c>
      <c r="C33">
        <v>-12.45</v>
      </c>
      <c r="D33">
        <f t="shared" si="0"/>
        <v>0.9810549999999999</v>
      </c>
      <c r="E33" s="4">
        <f t="shared" si="1"/>
        <v>6.1404991268097292E-3</v>
      </c>
    </row>
    <row r="34" spans="1:5" x14ac:dyDescent="0.3">
      <c r="A34" s="1">
        <v>37529</v>
      </c>
      <c r="B34">
        <v>0.98660000000000003</v>
      </c>
      <c r="C34">
        <v>-13.3</v>
      </c>
      <c r="D34">
        <f t="shared" si="0"/>
        <v>0.98526999999999998</v>
      </c>
      <c r="E34" s="4">
        <f t="shared" si="1"/>
        <v>5.6520786296386377E-3</v>
      </c>
    </row>
    <row r="35" spans="1:5" x14ac:dyDescent="0.3">
      <c r="A35" s="1">
        <v>37560</v>
      </c>
      <c r="B35">
        <v>0.99029999999999996</v>
      </c>
      <c r="C35">
        <v>-13.23</v>
      </c>
      <c r="D35">
        <f t="shared" si="0"/>
        <v>0.98897699999999999</v>
      </c>
      <c r="E35" s="4">
        <f t="shared" si="1"/>
        <v>5.1051995899600916E-3</v>
      </c>
    </row>
    <row r="36" spans="1:5" x14ac:dyDescent="0.3">
      <c r="A36" s="1">
        <v>37589</v>
      </c>
      <c r="B36">
        <v>0.99429999999999996</v>
      </c>
      <c r="C36">
        <v>-14.7</v>
      </c>
      <c r="D36">
        <f t="shared" si="0"/>
        <v>0.99282999999999999</v>
      </c>
      <c r="E36" s="4">
        <f t="shared" si="1"/>
        <v>5.3823294171653803E-3</v>
      </c>
    </row>
    <row r="37" spans="1:5" x14ac:dyDescent="0.3">
      <c r="A37" s="1">
        <v>37621</v>
      </c>
      <c r="B37">
        <v>1.0491999999999999</v>
      </c>
      <c r="C37">
        <v>-13.9</v>
      </c>
      <c r="D37">
        <f t="shared" si="0"/>
        <v>1.0478099999999999</v>
      </c>
      <c r="E37" s="4">
        <f t="shared" si="1"/>
        <v>5.6777091747831875E-2</v>
      </c>
    </row>
    <row r="38" spans="1:5" x14ac:dyDescent="0.3">
      <c r="A38" s="1">
        <v>37652</v>
      </c>
      <c r="B38">
        <v>1.0768</v>
      </c>
      <c r="C38">
        <v>-12.88</v>
      </c>
      <c r="D38">
        <f t="shared" si="0"/>
        <v>1.075512</v>
      </c>
      <c r="E38" s="4">
        <f t="shared" si="1"/>
        <v>2.7667229745850942E-2</v>
      </c>
    </row>
    <row r="39" spans="1:5" x14ac:dyDescent="0.3">
      <c r="A39" s="1">
        <v>37680</v>
      </c>
      <c r="B39">
        <v>1.0807</v>
      </c>
      <c r="C39">
        <v>-12.27</v>
      </c>
      <c r="D39">
        <f t="shared" si="0"/>
        <v>1.0794729999999999</v>
      </c>
      <c r="E39" s="4">
        <f t="shared" si="1"/>
        <v>4.8237490609123563E-3</v>
      </c>
    </row>
    <row r="40" spans="1:5" x14ac:dyDescent="0.3">
      <c r="A40" s="1">
        <v>37711</v>
      </c>
      <c r="B40">
        <v>1.0914999999999999</v>
      </c>
      <c r="C40">
        <v>-12.45</v>
      </c>
      <c r="D40">
        <f t="shared" si="0"/>
        <v>1.090255</v>
      </c>
      <c r="E40" s="4">
        <f t="shared" si="1"/>
        <v>1.1141547773774806E-2</v>
      </c>
    </row>
    <row r="41" spans="1:5" x14ac:dyDescent="0.3">
      <c r="A41" s="1">
        <v>37741</v>
      </c>
      <c r="B41">
        <v>1.1184000000000001</v>
      </c>
      <c r="C41">
        <v>-12.2</v>
      </c>
      <c r="D41">
        <f t="shared" si="0"/>
        <v>1.1171800000000001</v>
      </c>
      <c r="E41" s="4">
        <f t="shared" si="1"/>
        <v>2.5815061614026157E-2</v>
      </c>
    </row>
    <row r="42" spans="1:5" x14ac:dyDescent="0.3">
      <c r="A42" s="1">
        <v>37771</v>
      </c>
      <c r="B42">
        <v>1.1783999999999999</v>
      </c>
      <c r="C42">
        <v>-10.35</v>
      </c>
      <c r="D42">
        <f t="shared" si="0"/>
        <v>1.177365</v>
      </c>
      <c r="E42" s="4">
        <f t="shared" si="1"/>
        <v>5.4798689557636039E-2</v>
      </c>
    </row>
    <row r="43" spans="1:5" x14ac:dyDescent="0.3">
      <c r="A43" s="1">
        <v>37802</v>
      </c>
      <c r="B43">
        <v>1.1512</v>
      </c>
      <c r="C43">
        <v>-10.55</v>
      </c>
      <c r="D43">
        <f t="shared" si="0"/>
        <v>1.150145</v>
      </c>
      <c r="E43" s="4">
        <f t="shared" si="1"/>
        <v>-2.2223354694593429E-2</v>
      </c>
    </row>
    <row r="44" spans="1:5" x14ac:dyDescent="0.3">
      <c r="A44" s="1">
        <v>37833</v>
      </c>
      <c r="B44">
        <v>1.1232</v>
      </c>
      <c r="C44">
        <v>-10.06</v>
      </c>
      <c r="D44">
        <f t="shared" si="0"/>
        <v>1.1221939999999999</v>
      </c>
      <c r="E44" s="4">
        <f t="shared" si="1"/>
        <v>-2.3427480882845204E-2</v>
      </c>
    </row>
    <row r="45" spans="1:5" x14ac:dyDescent="0.3">
      <c r="A45" s="1">
        <v>37862</v>
      </c>
      <c r="B45">
        <v>1.0984</v>
      </c>
      <c r="C45">
        <v>-9.52</v>
      </c>
      <c r="D45">
        <f t="shared" si="0"/>
        <v>1.097448</v>
      </c>
      <c r="E45" s="4">
        <f t="shared" si="1"/>
        <v>-2.1203107484089091E-2</v>
      </c>
    </row>
    <row r="46" spans="1:5" x14ac:dyDescent="0.3">
      <c r="A46" s="1">
        <v>37894</v>
      </c>
      <c r="B46">
        <v>1.1657</v>
      </c>
      <c r="C46">
        <v>-10.41</v>
      </c>
      <c r="D46">
        <f t="shared" si="0"/>
        <v>1.1646589999999999</v>
      </c>
      <c r="E46" s="4">
        <f t="shared" si="1"/>
        <v>6.2191557139837129E-2</v>
      </c>
    </row>
    <row r="47" spans="1:5" x14ac:dyDescent="0.3">
      <c r="A47" s="1">
        <v>37925</v>
      </c>
      <c r="B47">
        <v>1.1593</v>
      </c>
      <c r="C47">
        <v>-9.89</v>
      </c>
      <c r="D47">
        <f t="shared" si="0"/>
        <v>1.1583110000000001</v>
      </c>
      <c r="E47" s="4">
        <f t="shared" si="1"/>
        <v>-4.6013468319910742E-3</v>
      </c>
    </row>
    <row r="48" spans="1:5" x14ac:dyDescent="0.3">
      <c r="A48" s="1">
        <v>37953</v>
      </c>
      <c r="B48">
        <v>1.1996</v>
      </c>
      <c r="C48">
        <v>-10.69</v>
      </c>
      <c r="D48">
        <f t="shared" si="0"/>
        <v>1.198531</v>
      </c>
      <c r="E48" s="4">
        <f t="shared" si="1"/>
        <v>3.5645867128948877E-2</v>
      </c>
    </row>
    <row r="49" spans="1:5" x14ac:dyDescent="0.3">
      <c r="A49" s="1">
        <v>37986</v>
      </c>
      <c r="B49">
        <v>1.2595000000000001</v>
      </c>
      <c r="C49">
        <v>-10.88</v>
      </c>
      <c r="D49">
        <f t="shared" si="0"/>
        <v>1.2584120000000001</v>
      </c>
      <c r="E49" s="4">
        <f t="shared" si="1"/>
        <v>5.0869773080546146E-2</v>
      </c>
    </row>
    <row r="50" spans="1:5" x14ac:dyDescent="0.3">
      <c r="A50" s="1">
        <v>38016</v>
      </c>
      <c r="B50">
        <v>1.2478</v>
      </c>
      <c r="C50">
        <v>-10.33</v>
      </c>
      <c r="D50">
        <f t="shared" si="0"/>
        <v>1.246767</v>
      </c>
      <c r="E50" s="4">
        <f t="shared" si="1"/>
        <v>-8.4328502906838663E-3</v>
      </c>
    </row>
    <row r="51" spans="1:5" x14ac:dyDescent="0.3">
      <c r="A51" s="1">
        <v>38044</v>
      </c>
      <c r="B51">
        <v>1.2493000000000001</v>
      </c>
      <c r="C51">
        <v>-10.66</v>
      </c>
      <c r="D51">
        <f t="shared" si="0"/>
        <v>1.2482340000000001</v>
      </c>
      <c r="E51" s="4">
        <f t="shared" si="1"/>
        <v>2.031654671642832E-3</v>
      </c>
    </row>
    <row r="52" spans="1:5" x14ac:dyDescent="0.3">
      <c r="A52" s="1">
        <v>38077</v>
      </c>
      <c r="B52">
        <v>1.2316</v>
      </c>
      <c r="C52">
        <v>-9.93</v>
      </c>
      <c r="D52">
        <f t="shared" si="0"/>
        <v>1.230607</v>
      </c>
      <c r="E52" s="4">
        <f t="shared" si="1"/>
        <v>-1.3326027010961115E-2</v>
      </c>
    </row>
    <row r="53" spans="1:5" x14ac:dyDescent="0.3">
      <c r="A53" s="1">
        <v>38107</v>
      </c>
      <c r="B53">
        <v>1.198</v>
      </c>
      <c r="C53">
        <v>-10.17</v>
      </c>
      <c r="D53">
        <f t="shared" si="0"/>
        <v>1.1969829999999999</v>
      </c>
      <c r="E53" s="4">
        <f t="shared" si="1"/>
        <v>-2.6496680093644885E-2</v>
      </c>
    </row>
    <row r="54" spans="1:5" x14ac:dyDescent="0.3">
      <c r="A54" s="1">
        <v>38138</v>
      </c>
      <c r="B54">
        <v>1.2188000000000001</v>
      </c>
      <c r="C54">
        <v>-10.06</v>
      </c>
      <c r="D54">
        <f t="shared" si="0"/>
        <v>1.217794</v>
      </c>
      <c r="E54" s="4">
        <f t="shared" si="1"/>
        <v>1.822665818979902E-2</v>
      </c>
    </row>
    <row r="55" spans="1:5" x14ac:dyDescent="0.3">
      <c r="A55" s="1">
        <v>38168</v>
      </c>
      <c r="B55">
        <v>1.22</v>
      </c>
      <c r="C55">
        <v>-7.71</v>
      </c>
      <c r="D55">
        <f t="shared" si="0"/>
        <v>1.2192289999999999</v>
      </c>
      <c r="E55" s="4">
        <f t="shared" si="1"/>
        <v>1.8114722194393553E-3</v>
      </c>
    </row>
    <row r="56" spans="1:5" x14ac:dyDescent="0.3">
      <c r="A56" s="1">
        <v>38198</v>
      </c>
      <c r="B56">
        <v>1.2019</v>
      </c>
      <c r="C56">
        <v>-6.05</v>
      </c>
      <c r="D56">
        <f t="shared" si="0"/>
        <v>1.201295</v>
      </c>
      <c r="E56" s="4">
        <f t="shared" si="1"/>
        <v>-1.421308056156795E-2</v>
      </c>
    </row>
    <row r="57" spans="1:5" x14ac:dyDescent="0.3">
      <c r="A57" s="1">
        <v>38230</v>
      </c>
      <c r="B57">
        <v>1.2182999999999999</v>
      </c>
      <c r="C57">
        <v>-4.83</v>
      </c>
      <c r="D57">
        <f t="shared" si="0"/>
        <v>1.2178169999999999</v>
      </c>
      <c r="E57" s="4">
        <f t="shared" si="1"/>
        <v>1.4155557127932719E-2</v>
      </c>
    </row>
    <row r="58" spans="1:5" x14ac:dyDescent="0.3">
      <c r="A58" s="1">
        <v>38260</v>
      </c>
      <c r="B58">
        <v>1.2436</v>
      </c>
      <c r="C58">
        <v>-2.85</v>
      </c>
      <c r="D58">
        <f t="shared" si="0"/>
        <v>1.2433149999999999</v>
      </c>
      <c r="E58" s="4">
        <f t="shared" si="1"/>
        <v>2.1171489640890308E-2</v>
      </c>
    </row>
    <row r="59" spans="1:5" x14ac:dyDescent="0.3">
      <c r="A59" s="1">
        <v>38289</v>
      </c>
      <c r="B59">
        <v>1.2798</v>
      </c>
      <c r="C59">
        <v>-1.23</v>
      </c>
      <c r="D59">
        <f t="shared" si="0"/>
        <v>1.279677</v>
      </c>
      <c r="E59" s="4">
        <f t="shared" si="1"/>
        <v>2.9344936721587129E-2</v>
      </c>
    </row>
    <row r="60" spans="1:5" x14ac:dyDescent="0.3">
      <c r="A60" s="1">
        <v>38321</v>
      </c>
      <c r="B60">
        <v>1.3279000000000001</v>
      </c>
      <c r="C60">
        <v>1.48</v>
      </c>
      <c r="D60">
        <f t="shared" si="0"/>
        <v>1.3280480000000001</v>
      </c>
      <c r="E60" s="4">
        <f t="shared" si="1"/>
        <v>3.7683728003238416E-2</v>
      </c>
    </row>
    <row r="61" spans="1:5" x14ac:dyDescent="0.3">
      <c r="A61" s="1">
        <v>38352</v>
      </c>
      <c r="B61">
        <v>1.3553999999999999</v>
      </c>
      <c r="C61">
        <v>2.84</v>
      </c>
      <c r="D61">
        <f t="shared" si="0"/>
        <v>1.3556839999999999</v>
      </c>
      <c r="E61" s="4">
        <f t="shared" si="1"/>
        <v>2.0595641121405113E-2</v>
      </c>
    </row>
    <row r="62" spans="1:5" x14ac:dyDescent="0.3">
      <c r="A62" s="1">
        <v>38383</v>
      </c>
      <c r="B62">
        <v>1.3039000000000001</v>
      </c>
      <c r="C62">
        <v>4.6100000000000003</v>
      </c>
      <c r="D62">
        <f t="shared" si="0"/>
        <v>1.3043610000000001</v>
      </c>
      <c r="E62" s="4">
        <f t="shared" si="1"/>
        <v>-3.8197692087536504E-2</v>
      </c>
    </row>
    <row r="63" spans="1:5" x14ac:dyDescent="0.3">
      <c r="A63" s="1">
        <v>38411</v>
      </c>
      <c r="B63">
        <v>1.3228</v>
      </c>
      <c r="C63">
        <v>7.08</v>
      </c>
      <c r="D63">
        <f t="shared" si="0"/>
        <v>1.3235079999999999</v>
      </c>
      <c r="E63" s="4">
        <f t="shared" si="1"/>
        <v>1.4136423888785291E-2</v>
      </c>
    </row>
    <row r="64" spans="1:5" x14ac:dyDescent="0.3">
      <c r="A64" s="1">
        <v>38442</v>
      </c>
      <c r="B64">
        <v>1.2964</v>
      </c>
      <c r="C64">
        <v>8.07</v>
      </c>
      <c r="D64">
        <f t="shared" si="0"/>
        <v>1.297207</v>
      </c>
      <c r="E64" s="4">
        <f t="shared" si="1"/>
        <v>-2.0481931352133807E-2</v>
      </c>
    </row>
    <row r="65" spans="1:5" x14ac:dyDescent="0.3">
      <c r="A65" s="1">
        <v>38471</v>
      </c>
      <c r="B65">
        <v>1.2873000000000001</v>
      </c>
      <c r="C65">
        <v>10.55</v>
      </c>
      <c r="D65">
        <f t="shared" si="0"/>
        <v>1.2883550000000001</v>
      </c>
      <c r="E65" s="4">
        <f t="shared" si="1"/>
        <v>-7.6371774127027437E-3</v>
      </c>
    </row>
    <row r="66" spans="1:5" x14ac:dyDescent="0.3">
      <c r="A66" s="1">
        <v>38503</v>
      </c>
      <c r="B66">
        <v>1.2303999999999999</v>
      </c>
      <c r="C66">
        <v>11.35</v>
      </c>
      <c r="D66">
        <f t="shared" si="0"/>
        <v>1.231535</v>
      </c>
      <c r="E66" s="4">
        <f t="shared" si="1"/>
        <v>-4.4983719549347961E-2</v>
      </c>
    </row>
    <row r="67" spans="1:5" x14ac:dyDescent="0.3">
      <c r="A67" s="1">
        <v>38533</v>
      </c>
      <c r="B67">
        <v>1.2108000000000001</v>
      </c>
      <c r="C67">
        <v>12.53</v>
      </c>
      <c r="D67">
        <f t="shared" ref="D67:D130" si="2">B67+C67/10^4</f>
        <v>1.212053</v>
      </c>
      <c r="E67" s="4">
        <f t="shared" si="1"/>
        <v>-1.6836711908309505E-2</v>
      </c>
    </row>
    <row r="68" spans="1:5" x14ac:dyDescent="0.3">
      <c r="A68" s="1">
        <v>38562</v>
      </c>
      <c r="B68">
        <v>1.2122999999999999</v>
      </c>
      <c r="C68">
        <v>14.51</v>
      </c>
      <c r="D68">
        <f t="shared" si="2"/>
        <v>1.213751</v>
      </c>
      <c r="E68" s="4">
        <f t="shared" ref="E68:E131" si="3">(B68-D67)/D67</f>
        <v>2.037864680833975E-4</v>
      </c>
    </row>
    <row r="69" spans="1:5" x14ac:dyDescent="0.3">
      <c r="A69" s="1">
        <v>38595</v>
      </c>
      <c r="B69">
        <v>1.2345999999999999</v>
      </c>
      <c r="C69">
        <v>16.559999999999999</v>
      </c>
      <c r="D69">
        <f t="shared" si="2"/>
        <v>1.236256</v>
      </c>
      <c r="E69" s="4">
        <f t="shared" si="3"/>
        <v>1.717732879313788E-2</v>
      </c>
    </row>
    <row r="70" spans="1:5" x14ac:dyDescent="0.3">
      <c r="A70" s="1">
        <v>38625</v>
      </c>
      <c r="B70">
        <v>1.2025999999999999</v>
      </c>
      <c r="C70">
        <v>17.8</v>
      </c>
      <c r="D70">
        <f t="shared" si="2"/>
        <v>1.2043799999999998</v>
      </c>
      <c r="E70" s="4">
        <f t="shared" si="3"/>
        <v>-2.7224134807030363E-2</v>
      </c>
    </row>
    <row r="71" spans="1:5" x14ac:dyDescent="0.3">
      <c r="A71" s="1">
        <v>38656</v>
      </c>
      <c r="B71">
        <v>1.1992</v>
      </c>
      <c r="C71">
        <v>19.39</v>
      </c>
      <c r="D71">
        <f t="shared" si="2"/>
        <v>1.201139</v>
      </c>
      <c r="E71" s="4">
        <f t="shared" si="3"/>
        <v>-4.3009681329810702E-3</v>
      </c>
    </row>
    <row r="72" spans="1:5" x14ac:dyDescent="0.3">
      <c r="A72" s="1">
        <v>38686</v>
      </c>
      <c r="B72">
        <v>1.1788000000000001</v>
      </c>
      <c r="C72">
        <v>20.02</v>
      </c>
      <c r="D72">
        <f t="shared" si="2"/>
        <v>1.1808020000000001</v>
      </c>
      <c r="E72" s="4">
        <f t="shared" si="3"/>
        <v>-1.8598180560284769E-2</v>
      </c>
    </row>
    <row r="73" spans="1:5" x14ac:dyDescent="0.3">
      <c r="A73" s="1">
        <v>38716</v>
      </c>
      <c r="B73">
        <v>1.1849000000000001</v>
      </c>
      <c r="C73">
        <v>19.64</v>
      </c>
      <c r="D73">
        <f t="shared" si="2"/>
        <v>1.1868640000000001</v>
      </c>
      <c r="E73" s="4">
        <f t="shared" si="3"/>
        <v>3.4705225770281E-3</v>
      </c>
    </row>
    <row r="74" spans="1:5" x14ac:dyDescent="0.3">
      <c r="A74" s="1">
        <v>38748</v>
      </c>
      <c r="B74">
        <v>1.2156</v>
      </c>
      <c r="C74">
        <v>20.5</v>
      </c>
      <c r="D74">
        <f t="shared" si="2"/>
        <v>1.2176500000000001</v>
      </c>
      <c r="E74" s="4">
        <f t="shared" si="3"/>
        <v>2.4211704121112333E-2</v>
      </c>
    </row>
    <row r="75" spans="1:5" x14ac:dyDescent="0.3">
      <c r="A75" s="1">
        <v>38776</v>
      </c>
      <c r="B75">
        <v>1.1920999999999999</v>
      </c>
      <c r="C75">
        <v>21.55</v>
      </c>
      <c r="D75">
        <f t="shared" si="2"/>
        <v>1.1942549999999998</v>
      </c>
      <c r="E75" s="4">
        <f t="shared" si="3"/>
        <v>-2.0983041103765598E-2</v>
      </c>
    </row>
    <row r="76" spans="1:5" x14ac:dyDescent="0.3">
      <c r="A76" s="1">
        <v>38807</v>
      </c>
      <c r="B76">
        <v>1.2118</v>
      </c>
      <c r="C76">
        <v>21.87</v>
      </c>
      <c r="D76">
        <f t="shared" si="2"/>
        <v>1.2139869999999999</v>
      </c>
      <c r="E76" s="4">
        <f t="shared" si="3"/>
        <v>1.4691167296766726E-2</v>
      </c>
    </row>
    <row r="77" spans="1:5" x14ac:dyDescent="0.3">
      <c r="A77" s="1">
        <v>38835</v>
      </c>
      <c r="B77">
        <v>1.2635000000000001</v>
      </c>
      <c r="C77">
        <v>27.35</v>
      </c>
      <c r="D77">
        <f t="shared" si="2"/>
        <v>1.266235</v>
      </c>
      <c r="E77" s="4">
        <f t="shared" si="3"/>
        <v>4.0785444984172109E-2</v>
      </c>
    </row>
    <row r="78" spans="1:5" x14ac:dyDescent="0.3">
      <c r="A78" s="1">
        <v>38868</v>
      </c>
      <c r="B78">
        <v>1.2809999999999999</v>
      </c>
      <c r="C78">
        <v>25.47</v>
      </c>
      <c r="D78">
        <f t="shared" si="2"/>
        <v>1.283547</v>
      </c>
      <c r="E78" s="4">
        <f t="shared" si="3"/>
        <v>1.1660552740999829E-2</v>
      </c>
    </row>
    <row r="79" spans="1:5" x14ac:dyDescent="0.3">
      <c r="A79" s="1">
        <v>38898</v>
      </c>
      <c r="B79">
        <v>1.2790999999999999</v>
      </c>
      <c r="C79">
        <v>28.46</v>
      </c>
      <c r="D79">
        <f t="shared" si="2"/>
        <v>1.2819459999999998</v>
      </c>
      <c r="E79" s="4">
        <f t="shared" si="3"/>
        <v>-3.4646179688005889E-3</v>
      </c>
    </row>
    <row r="80" spans="1:5" x14ac:dyDescent="0.3">
      <c r="A80" s="1">
        <v>38929</v>
      </c>
      <c r="B80">
        <v>1.2766999999999999</v>
      </c>
      <c r="C80">
        <v>28.55</v>
      </c>
      <c r="D80">
        <f t="shared" si="2"/>
        <v>1.279555</v>
      </c>
      <c r="E80" s="4">
        <f t="shared" si="3"/>
        <v>-4.0922160527821477E-3</v>
      </c>
    </row>
    <row r="81" spans="1:5" x14ac:dyDescent="0.3">
      <c r="A81" s="1">
        <v>38960</v>
      </c>
      <c r="B81">
        <v>1.2813000000000001</v>
      </c>
      <c r="C81">
        <v>23.78</v>
      </c>
      <c r="D81">
        <f t="shared" si="2"/>
        <v>1.2836780000000001</v>
      </c>
      <c r="E81" s="4">
        <f t="shared" si="3"/>
        <v>1.3637553680772671E-3</v>
      </c>
    </row>
    <row r="82" spans="1:5" x14ac:dyDescent="0.3">
      <c r="A82" s="1">
        <v>38989</v>
      </c>
      <c r="B82">
        <v>1.2674000000000001</v>
      </c>
      <c r="C82">
        <v>22.07</v>
      </c>
      <c r="D82">
        <f t="shared" si="2"/>
        <v>1.2696070000000002</v>
      </c>
      <c r="E82" s="4">
        <f t="shared" si="3"/>
        <v>-1.268075015697084E-2</v>
      </c>
    </row>
    <row r="83" spans="1:5" x14ac:dyDescent="0.3">
      <c r="A83" s="1">
        <v>39021</v>
      </c>
      <c r="B83">
        <v>1.2762</v>
      </c>
      <c r="C83">
        <v>21.99</v>
      </c>
      <c r="D83">
        <f t="shared" si="2"/>
        <v>1.2783990000000001</v>
      </c>
      <c r="E83" s="4">
        <f t="shared" si="3"/>
        <v>5.1929455335389995E-3</v>
      </c>
    </row>
    <row r="84" spans="1:5" x14ac:dyDescent="0.3">
      <c r="A84" s="1">
        <v>39051</v>
      </c>
      <c r="B84">
        <v>1.3242</v>
      </c>
      <c r="C84">
        <v>19.78</v>
      </c>
      <c r="D84">
        <f t="shared" si="2"/>
        <v>1.3261780000000001</v>
      </c>
      <c r="E84" s="4">
        <f t="shared" si="3"/>
        <v>3.5826842793212431E-2</v>
      </c>
    </row>
    <row r="85" spans="1:5" x14ac:dyDescent="0.3">
      <c r="A85" s="1">
        <v>39080</v>
      </c>
      <c r="B85">
        <v>1.3197000000000001</v>
      </c>
      <c r="C85">
        <v>20.22</v>
      </c>
      <c r="D85">
        <f t="shared" si="2"/>
        <v>1.3217220000000001</v>
      </c>
      <c r="E85" s="4">
        <f t="shared" si="3"/>
        <v>-4.8847138166972937E-3</v>
      </c>
    </row>
    <row r="86" spans="1:5" x14ac:dyDescent="0.3">
      <c r="A86" s="1">
        <v>39113</v>
      </c>
      <c r="B86">
        <v>1.3031999999999999</v>
      </c>
      <c r="C86">
        <v>17.149999999999999</v>
      </c>
      <c r="D86">
        <f t="shared" si="2"/>
        <v>1.3049149999999998</v>
      </c>
      <c r="E86" s="4">
        <f t="shared" si="3"/>
        <v>-1.4013536885971595E-2</v>
      </c>
    </row>
    <row r="87" spans="1:5" x14ac:dyDescent="0.3">
      <c r="A87" s="1">
        <v>39141</v>
      </c>
      <c r="B87">
        <v>1.3229</v>
      </c>
      <c r="C87">
        <v>17.61</v>
      </c>
      <c r="D87">
        <f t="shared" si="2"/>
        <v>1.3246609999999999</v>
      </c>
      <c r="E87" s="4">
        <f t="shared" si="3"/>
        <v>1.3782506906580231E-2</v>
      </c>
    </row>
    <row r="88" spans="1:5" x14ac:dyDescent="0.3">
      <c r="A88" s="1">
        <v>39171</v>
      </c>
      <c r="B88">
        <v>1.3353999999999999</v>
      </c>
      <c r="C88">
        <v>16.059999999999999</v>
      </c>
      <c r="D88">
        <f t="shared" si="2"/>
        <v>1.3370059999999999</v>
      </c>
      <c r="E88" s="4">
        <f t="shared" si="3"/>
        <v>8.1069798235171523E-3</v>
      </c>
    </row>
    <row r="89" spans="1:5" x14ac:dyDescent="0.3">
      <c r="A89" s="1">
        <v>39202</v>
      </c>
      <c r="B89">
        <v>1.3648</v>
      </c>
      <c r="C89">
        <v>17.66</v>
      </c>
      <c r="D89">
        <f t="shared" si="2"/>
        <v>1.3665659999999999</v>
      </c>
      <c r="E89" s="4">
        <f t="shared" si="3"/>
        <v>2.0788238796235842E-2</v>
      </c>
    </row>
    <row r="90" spans="1:5" x14ac:dyDescent="0.3">
      <c r="A90" s="1">
        <v>39233</v>
      </c>
      <c r="B90">
        <v>1.3452999999999999</v>
      </c>
      <c r="C90">
        <v>14.89</v>
      </c>
      <c r="D90">
        <f t="shared" si="2"/>
        <v>1.346789</v>
      </c>
      <c r="E90" s="4">
        <f t="shared" si="3"/>
        <v>-1.5561634052069208E-2</v>
      </c>
    </row>
    <row r="91" spans="1:5" x14ac:dyDescent="0.3">
      <c r="A91" s="1">
        <v>39262</v>
      </c>
      <c r="B91">
        <v>1.3541000000000001</v>
      </c>
      <c r="C91">
        <v>14.24</v>
      </c>
      <c r="D91">
        <f t="shared" si="2"/>
        <v>1.3555240000000002</v>
      </c>
      <c r="E91" s="4">
        <f t="shared" si="3"/>
        <v>5.4284672654737066E-3</v>
      </c>
    </row>
    <row r="92" spans="1:5" x14ac:dyDescent="0.3">
      <c r="A92" s="1">
        <v>39294</v>
      </c>
      <c r="B92">
        <v>1.3684000000000001</v>
      </c>
      <c r="C92">
        <v>15.4</v>
      </c>
      <c r="D92">
        <f t="shared" si="2"/>
        <v>1.3699400000000002</v>
      </c>
      <c r="E92" s="4">
        <f t="shared" si="3"/>
        <v>9.4989096467490691E-3</v>
      </c>
    </row>
    <row r="93" spans="1:5" x14ac:dyDescent="0.3">
      <c r="A93" s="1">
        <v>39325</v>
      </c>
      <c r="B93">
        <v>1.363</v>
      </c>
      <c r="C93">
        <v>15.41</v>
      </c>
      <c r="D93">
        <f t="shared" si="2"/>
        <v>1.364541</v>
      </c>
      <c r="E93" s="4">
        <f t="shared" si="3"/>
        <v>-5.0659152955605117E-3</v>
      </c>
    </row>
    <row r="94" spans="1:5" x14ac:dyDescent="0.3">
      <c r="A94" s="1">
        <v>39353</v>
      </c>
      <c r="B94">
        <v>1.4267000000000001</v>
      </c>
      <c r="C94">
        <v>11.4</v>
      </c>
      <c r="D94">
        <f t="shared" si="2"/>
        <v>1.42784</v>
      </c>
      <c r="E94" s="4">
        <f t="shared" si="3"/>
        <v>4.5553046775435896E-2</v>
      </c>
    </row>
    <row r="95" spans="1:5" x14ac:dyDescent="0.3">
      <c r="A95" s="1">
        <v>39386</v>
      </c>
      <c r="B95">
        <v>1.4487000000000001</v>
      </c>
      <c r="C95">
        <v>7.28</v>
      </c>
      <c r="D95">
        <f t="shared" si="2"/>
        <v>1.4494280000000002</v>
      </c>
      <c r="E95" s="4">
        <f t="shared" si="3"/>
        <v>1.4609480053787609E-2</v>
      </c>
    </row>
    <row r="96" spans="1:5" x14ac:dyDescent="0.3">
      <c r="A96" s="1">
        <v>39416</v>
      </c>
      <c r="B96">
        <v>1.4633</v>
      </c>
      <c r="C96">
        <v>10.4</v>
      </c>
      <c r="D96">
        <f t="shared" si="2"/>
        <v>1.46434</v>
      </c>
      <c r="E96" s="4">
        <f t="shared" si="3"/>
        <v>9.5706720168231077E-3</v>
      </c>
    </row>
    <row r="97" spans="1:5" x14ac:dyDescent="0.3">
      <c r="A97" s="1">
        <v>39447</v>
      </c>
      <c r="B97">
        <v>1.4589000000000001</v>
      </c>
      <c r="C97">
        <v>8.2799999999999994</v>
      </c>
      <c r="D97">
        <f t="shared" si="2"/>
        <v>1.4597280000000001</v>
      </c>
      <c r="E97" s="4">
        <f t="shared" si="3"/>
        <v>-3.7149842249749984E-3</v>
      </c>
    </row>
    <row r="98" spans="1:5" x14ac:dyDescent="0.3">
      <c r="A98" s="1">
        <v>39478</v>
      </c>
      <c r="B98">
        <v>1.4861</v>
      </c>
      <c r="C98">
        <v>-11.6</v>
      </c>
      <c r="D98">
        <f t="shared" si="2"/>
        <v>1.4849399999999999</v>
      </c>
      <c r="E98" s="4">
        <f t="shared" si="3"/>
        <v>1.8066379489877455E-2</v>
      </c>
    </row>
    <row r="99" spans="1:5" x14ac:dyDescent="0.3">
      <c r="A99" s="1">
        <v>39507</v>
      </c>
      <c r="B99">
        <v>1.5179</v>
      </c>
      <c r="C99">
        <v>-13.8</v>
      </c>
      <c r="D99">
        <f t="shared" si="2"/>
        <v>1.5165200000000001</v>
      </c>
      <c r="E99" s="4">
        <f t="shared" si="3"/>
        <v>2.2196183010761445E-2</v>
      </c>
    </row>
    <row r="100" spans="1:5" x14ac:dyDescent="0.3">
      <c r="A100" s="1">
        <v>39538</v>
      </c>
      <c r="B100">
        <v>1.5788</v>
      </c>
      <c r="C100">
        <v>-16.18</v>
      </c>
      <c r="D100">
        <f t="shared" si="2"/>
        <v>1.5771820000000001</v>
      </c>
      <c r="E100" s="4">
        <f t="shared" si="3"/>
        <v>4.1067707646453649E-2</v>
      </c>
    </row>
    <row r="101" spans="1:5" x14ac:dyDescent="0.3">
      <c r="A101" s="1">
        <v>39568</v>
      </c>
      <c r="B101">
        <v>1.5622</v>
      </c>
      <c r="C101">
        <v>-19.93</v>
      </c>
      <c r="D101">
        <f t="shared" si="2"/>
        <v>1.5602070000000001</v>
      </c>
      <c r="E101" s="4">
        <f t="shared" si="3"/>
        <v>-9.4992207620934362E-3</v>
      </c>
    </row>
    <row r="102" spans="1:5" x14ac:dyDescent="0.3">
      <c r="A102" s="1">
        <v>39598</v>
      </c>
      <c r="B102">
        <v>1.5553999999999999</v>
      </c>
      <c r="C102">
        <v>-21.46</v>
      </c>
      <c r="D102">
        <f t="shared" si="2"/>
        <v>1.5532539999999999</v>
      </c>
      <c r="E102" s="4">
        <f t="shared" si="3"/>
        <v>-3.0810014312204902E-3</v>
      </c>
    </row>
    <row r="103" spans="1:5" x14ac:dyDescent="0.3">
      <c r="A103" s="1">
        <v>39629</v>
      </c>
      <c r="B103">
        <v>1.5754999999999999</v>
      </c>
      <c r="C103">
        <v>-25.35</v>
      </c>
      <c r="D103">
        <f t="shared" si="2"/>
        <v>1.5729649999999999</v>
      </c>
      <c r="E103" s="4">
        <f t="shared" si="3"/>
        <v>1.4322190704160419E-2</v>
      </c>
    </row>
    <row r="104" spans="1:5" x14ac:dyDescent="0.3">
      <c r="A104" s="1">
        <v>39660</v>
      </c>
      <c r="B104">
        <v>1.5603</v>
      </c>
      <c r="C104">
        <v>-25.27</v>
      </c>
      <c r="D104">
        <f t="shared" si="2"/>
        <v>1.5577730000000001</v>
      </c>
      <c r="E104" s="4">
        <f t="shared" si="3"/>
        <v>-8.0516731141506183E-3</v>
      </c>
    </row>
    <row r="105" spans="1:5" x14ac:dyDescent="0.3">
      <c r="A105" s="1">
        <v>39689</v>
      </c>
      <c r="B105">
        <v>1.4673</v>
      </c>
      <c r="C105">
        <v>-22.87</v>
      </c>
      <c r="D105">
        <f t="shared" si="2"/>
        <v>1.4650130000000001</v>
      </c>
      <c r="E105" s="4">
        <f t="shared" si="3"/>
        <v>-5.8078423493024993E-2</v>
      </c>
    </row>
    <row r="106" spans="1:5" x14ac:dyDescent="0.3">
      <c r="A106" s="1">
        <v>39721</v>
      </c>
      <c r="B106">
        <v>1.4092</v>
      </c>
      <c r="C106">
        <v>44.8</v>
      </c>
      <c r="D106">
        <f t="shared" si="2"/>
        <v>1.41368</v>
      </c>
      <c r="E106" s="4">
        <f t="shared" si="3"/>
        <v>-3.809727285696448E-2</v>
      </c>
    </row>
    <row r="107" spans="1:5" x14ac:dyDescent="0.3">
      <c r="A107" s="1">
        <v>39752</v>
      </c>
      <c r="B107">
        <v>1.2726</v>
      </c>
      <c r="C107">
        <v>-14.87</v>
      </c>
      <c r="D107">
        <f t="shared" si="2"/>
        <v>1.2711129999999999</v>
      </c>
      <c r="E107" s="4">
        <f t="shared" si="3"/>
        <v>-9.9796276385037699E-2</v>
      </c>
    </row>
    <row r="108" spans="1:5" x14ac:dyDescent="0.3">
      <c r="A108" s="1">
        <v>39780</v>
      </c>
      <c r="B108">
        <v>1.2690999999999999</v>
      </c>
      <c r="C108">
        <v>-4.68</v>
      </c>
      <c r="D108">
        <f t="shared" si="2"/>
        <v>1.268632</v>
      </c>
      <c r="E108" s="4">
        <f t="shared" si="3"/>
        <v>-1.5836514928256123E-3</v>
      </c>
    </row>
    <row r="109" spans="1:5" x14ac:dyDescent="0.3">
      <c r="A109" s="1">
        <v>39813</v>
      </c>
      <c r="B109">
        <v>1.3971</v>
      </c>
      <c r="C109">
        <v>-18.37</v>
      </c>
      <c r="D109">
        <f t="shared" si="2"/>
        <v>1.3952629999999999</v>
      </c>
      <c r="E109" s="4">
        <f t="shared" si="3"/>
        <v>0.10126498464487733</v>
      </c>
    </row>
    <row r="110" spans="1:5" x14ac:dyDescent="0.3">
      <c r="A110" s="1">
        <v>39843</v>
      </c>
      <c r="B110">
        <v>1.2813000000000001</v>
      </c>
      <c r="C110">
        <v>-5.59</v>
      </c>
      <c r="D110">
        <f t="shared" si="2"/>
        <v>1.2807410000000001</v>
      </c>
      <c r="E110" s="4">
        <f t="shared" si="3"/>
        <v>-8.1678507922878923E-2</v>
      </c>
    </row>
    <row r="111" spans="1:5" x14ac:dyDescent="0.3">
      <c r="A111" s="1">
        <v>39871</v>
      </c>
      <c r="B111">
        <v>1.2668999999999999</v>
      </c>
      <c r="C111">
        <v>-2.73</v>
      </c>
      <c r="D111">
        <f t="shared" si="2"/>
        <v>1.2666269999999999</v>
      </c>
      <c r="E111" s="4">
        <f t="shared" si="3"/>
        <v>-1.0807024995686258E-2</v>
      </c>
    </row>
    <row r="112" spans="1:5" x14ac:dyDescent="0.3">
      <c r="A112" s="1">
        <v>39903</v>
      </c>
      <c r="B112">
        <v>1.325</v>
      </c>
      <c r="C112">
        <v>-0.88</v>
      </c>
      <c r="D112">
        <f t="shared" si="2"/>
        <v>1.3249119999999999</v>
      </c>
      <c r="E112" s="4">
        <f t="shared" si="3"/>
        <v>4.6085390568809927E-2</v>
      </c>
    </row>
    <row r="113" spans="1:5" x14ac:dyDescent="0.3">
      <c r="A113" s="1">
        <v>39933</v>
      </c>
      <c r="B113">
        <v>1.323</v>
      </c>
      <c r="C113">
        <v>-1.59</v>
      </c>
      <c r="D113">
        <f t="shared" si="2"/>
        <v>1.3228409999999999</v>
      </c>
      <c r="E113" s="4">
        <f t="shared" si="3"/>
        <v>-1.4431147125242385E-3</v>
      </c>
    </row>
    <row r="114" spans="1:5" x14ac:dyDescent="0.3">
      <c r="A114" s="1">
        <v>39962</v>
      </c>
      <c r="B114">
        <v>1.4157999999999999</v>
      </c>
      <c r="C114">
        <v>-3.26</v>
      </c>
      <c r="D114">
        <f t="shared" si="2"/>
        <v>1.4154739999999999</v>
      </c>
      <c r="E114" s="4">
        <f t="shared" si="3"/>
        <v>7.0272239823228957E-2</v>
      </c>
    </row>
    <row r="115" spans="1:5" x14ac:dyDescent="0.3">
      <c r="A115" s="1">
        <v>39994</v>
      </c>
      <c r="B115">
        <v>1.4033</v>
      </c>
      <c r="C115">
        <v>0.14000000000000001</v>
      </c>
      <c r="D115">
        <f t="shared" si="2"/>
        <v>1.403314</v>
      </c>
      <c r="E115" s="4">
        <f t="shared" si="3"/>
        <v>-8.6006525022712596E-3</v>
      </c>
    </row>
    <row r="116" spans="1:5" x14ac:dyDescent="0.3">
      <c r="A116" s="1">
        <v>40025</v>
      </c>
      <c r="B116">
        <v>1.4257</v>
      </c>
      <c r="C116">
        <v>0.7</v>
      </c>
      <c r="D116">
        <f t="shared" si="2"/>
        <v>1.42577</v>
      </c>
      <c r="E116" s="4">
        <f t="shared" si="3"/>
        <v>1.5952238771935589E-2</v>
      </c>
    </row>
    <row r="117" spans="1:5" x14ac:dyDescent="0.3">
      <c r="A117" s="1">
        <v>40056</v>
      </c>
      <c r="B117">
        <v>1.4334</v>
      </c>
      <c r="C117">
        <v>0.18</v>
      </c>
      <c r="D117">
        <f t="shared" si="2"/>
        <v>1.4334180000000001</v>
      </c>
      <c r="E117" s="4">
        <f t="shared" si="3"/>
        <v>5.351494280283654E-3</v>
      </c>
    </row>
    <row r="118" spans="1:5" x14ac:dyDescent="0.3">
      <c r="A118" s="1">
        <v>40086</v>
      </c>
      <c r="B118">
        <v>1.464</v>
      </c>
      <c r="C118">
        <v>-0.23</v>
      </c>
      <c r="D118">
        <f t="shared" si="2"/>
        <v>1.4639769999999999</v>
      </c>
      <c r="E118" s="4">
        <f t="shared" si="3"/>
        <v>2.1335018815167583E-2</v>
      </c>
    </row>
    <row r="119" spans="1:5" x14ac:dyDescent="0.3">
      <c r="A119" s="1">
        <v>40116</v>
      </c>
      <c r="B119">
        <v>1.4719</v>
      </c>
      <c r="C119">
        <v>-1.07</v>
      </c>
      <c r="D119">
        <f t="shared" si="2"/>
        <v>1.4717929999999999</v>
      </c>
      <c r="E119" s="4">
        <f t="shared" si="3"/>
        <v>5.4119702700248197E-3</v>
      </c>
    </row>
    <row r="120" spans="1:5" x14ac:dyDescent="0.3">
      <c r="A120" s="1">
        <v>40147</v>
      </c>
      <c r="B120">
        <v>1.5004999999999999</v>
      </c>
      <c r="C120">
        <v>-1.45</v>
      </c>
      <c r="D120">
        <f t="shared" si="2"/>
        <v>1.5003549999999999</v>
      </c>
      <c r="E120" s="4">
        <f t="shared" si="3"/>
        <v>1.9504780903292815E-2</v>
      </c>
    </row>
    <row r="121" spans="1:5" x14ac:dyDescent="0.3">
      <c r="A121" s="1">
        <v>40178</v>
      </c>
      <c r="B121">
        <v>1.4320999999999999</v>
      </c>
      <c r="C121">
        <v>-0.56000000000000005</v>
      </c>
      <c r="D121">
        <f t="shared" si="2"/>
        <v>1.4320439999999999</v>
      </c>
      <c r="E121" s="4">
        <f t="shared" si="3"/>
        <v>-4.5492566759200298E-2</v>
      </c>
    </row>
    <row r="122" spans="1:5" x14ac:dyDescent="0.3">
      <c r="A122" s="1">
        <v>40207</v>
      </c>
      <c r="B122">
        <v>1.3863000000000001</v>
      </c>
      <c r="C122">
        <v>-0.93</v>
      </c>
      <c r="D122">
        <f t="shared" si="2"/>
        <v>1.3862070000000002</v>
      </c>
      <c r="E122" s="4">
        <f t="shared" si="3"/>
        <v>-3.1943152584696974E-2</v>
      </c>
    </row>
    <row r="123" spans="1:5" x14ac:dyDescent="0.3">
      <c r="A123" s="1">
        <v>40235</v>
      </c>
      <c r="B123">
        <v>1.3631</v>
      </c>
      <c r="C123">
        <v>-0.68</v>
      </c>
      <c r="D123">
        <f t="shared" si="2"/>
        <v>1.363032</v>
      </c>
      <c r="E123" s="4">
        <f t="shared" si="3"/>
        <v>-1.6669227611749333E-2</v>
      </c>
    </row>
    <row r="124" spans="1:5" x14ac:dyDescent="0.3">
      <c r="A124" s="1">
        <v>40268</v>
      </c>
      <c r="B124">
        <v>1.351</v>
      </c>
      <c r="C124">
        <v>0.33</v>
      </c>
      <c r="D124">
        <f t="shared" si="2"/>
        <v>1.3510329999999999</v>
      </c>
      <c r="E124" s="4">
        <f t="shared" si="3"/>
        <v>-8.8273789610222222E-3</v>
      </c>
    </row>
    <row r="125" spans="1:5" x14ac:dyDescent="0.3">
      <c r="A125" s="1">
        <v>40298</v>
      </c>
      <c r="B125">
        <v>1.3293999999999999</v>
      </c>
      <c r="C125">
        <v>1.46</v>
      </c>
      <c r="D125">
        <f t="shared" si="2"/>
        <v>1.3295459999999999</v>
      </c>
      <c r="E125" s="4">
        <f t="shared" si="3"/>
        <v>-1.6012192152227232E-2</v>
      </c>
    </row>
    <row r="126" spans="1:5" x14ac:dyDescent="0.3">
      <c r="A126" s="1">
        <v>40329</v>
      </c>
      <c r="B126">
        <v>1.2305999999999999</v>
      </c>
      <c r="C126">
        <v>3.99</v>
      </c>
      <c r="D126">
        <f t="shared" si="2"/>
        <v>1.230999</v>
      </c>
      <c r="E126" s="4">
        <f t="shared" si="3"/>
        <v>-7.4420892545274842E-2</v>
      </c>
    </row>
    <row r="127" spans="1:5" x14ac:dyDescent="0.3">
      <c r="A127" s="1">
        <v>40359</v>
      </c>
      <c r="B127">
        <v>1.2238</v>
      </c>
      <c r="C127">
        <v>1.81</v>
      </c>
      <c r="D127">
        <f t="shared" si="2"/>
        <v>1.223981</v>
      </c>
      <c r="E127" s="4">
        <f t="shared" si="3"/>
        <v>-5.8480957336276927E-3</v>
      </c>
    </row>
    <row r="128" spans="1:5" x14ac:dyDescent="0.3">
      <c r="A128" s="1">
        <v>40389</v>
      </c>
      <c r="B128">
        <v>1.3051999999999999</v>
      </c>
      <c r="C128">
        <v>-0.23</v>
      </c>
      <c r="D128">
        <f t="shared" si="2"/>
        <v>1.3051769999999998</v>
      </c>
      <c r="E128" s="4">
        <f t="shared" si="3"/>
        <v>6.6356422199364148E-2</v>
      </c>
    </row>
    <row r="129" spans="1:5" x14ac:dyDescent="0.3">
      <c r="A129" s="1">
        <v>40421</v>
      </c>
      <c r="B129">
        <v>1.268</v>
      </c>
      <c r="C129">
        <v>-0.5</v>
      </c>
      <c r="D129">
        <f t="shared" si="2"/>
        <v>1.2679499999999999</v>
      </c>
      <c r="E129" s="4">
        <f t="shared" si="3"/>
        <v>-2.8484259223078401E-2</v>
      </c>
    </row>
    <row r="130" spans="1:5" x14ac:dyDescent="0.3">
      <c r="A130" s="1">
        <v>40451</v>
      </c>
      <c r="B130">
        <v>1.3633999999999999</v>
      </c>
      <c r="C130">
        <v>-3.16</v>
      </c>
      <c r="D130">
        <f t="shared" si="2"/>
        <v>1.363084</v>
      </c>
      <c r="E130" s="4">
        <f t="shared" si="3"/>
        <v>7.5278993651169246E-2</v>
      </c>
    </row>
    <row r="131" spans="1:5" x14ac:dyDescent="0.3">
      <c r="A131" s="1">
        <v>40480</v>
      </c>
      <c r="B131">
        <v>1.3947000000000001</v>
      </c>
      <c r="C131">
        <v>-4.88</v>
      </c>
      <c r="D131">
        <f t="shared" ref="D131:D194" si="4">B131+C131/10^4</f>
        <v>1.394212</v>
      </c>
      <c r="E131" s="4">
        <f t="shared" si="3"/>
        <v>2.3194461970062072E-2</v>
      </c>
    </row>
    <row r="132" spans="1:5" x14ac:dyDescent="0.3">
      <c r="A132" s="1">
        <v>40512</v>
      </c>
      <c r="B132">
        <v>1.2983</v>
      </c>
      <c r="C132">
        <v>-1.32</v>
      </c>
      <c r="D132">
        <f t="shared" si="4"/>
        <v>1.298168</v>
      </c>
      <c r="E132" s="4">
        <f t="shared" ref="E132:E195" si="5">(B132-D131)/D131</f>
        <v>-6.8792981268271963E-2</v>
      </c>
    </row>
    <row r="133" spans="1:5" x14ac:dyDescent="0.3">
      <c r="A133" s="1">
        <v>40543</v>
      </c>
      <c r="B133">
        <v>1.3384</v>
      </c>
      <c r="C133">
        <v>-0.64</v>
      </c>
      <c r="D133">
        <f t="shared" si="4"/>
        <v>1.338336</v>
      </c>
      <c r="E133" s="4">
        <f t="shared" si="5"/>
        <v>3.0991366294655272E-2</v>
      </c>
    </row>
    <row r="134" spans="1:5" x14ac:dyDescent="0.3">
      <c r="A134" s="1">
        <v>40574</v>
      </c>
      <c r="B134">
        <v>1.3694</v>
      </c>
      <c r="C134">
        <v>-4.9400000000000004</v>
      </c>
      <c r="D134">
        <f t="shared" si="4"/>
        <v>1.368906</v>
      </c>
      <c r="E134" s="4">
        <f t="shared" si="5"/>
        <v>2.3210912655715739E-2</v>
      </c>
    </row>
    <row r="135" spans="1:5" x14ac:dyDescent="0.3">
      <c r="A135" s="1">
        <v>40602</v>
      </c>
      <c r="B135">
        <v>1.3806</v>
      </c>
      <c r="C135">
        <v>-5.65</v>
      </c>
      <c r="D135">
        <f t="shared" si="4"/>
        <v>1.3800350000000001</v>
      </c>
      <c r="E135" s="4">
        <f t="shared" si="5"/>
        <v>8.5425880228445876E-3</v>
      </c>
    </row>
    <row r="136" spans="1:5" x14ac:dyDescent="0.3">
      <c r="A136" s="1">
        <v>40633</v>
      </c>
      <c r="B136">
        <v>1.4157999999999999</v>
      </c>
      <c r="C136">
        <v>-7.92</v>
      </c>
      <c r="D136">
        <f t="shared" si="4"/>
        <v>1.415008</v>
      </c>
      <c r="E136" s="4">
        <f t="shared" si="5"/>
        <v>2.5916009376573654E-2</v>
      </c>
    </row>
    <row r="137" spans="1:5" x14ac:dyDescent="0.3">
      <c r="A137" s="1">
        <v>40662</v>
      </c>
      <c r="B137">
        <v>1.4806999999999999</v>
      </c>
      <c r="C137">
        <v>-12.6</v>
      </c>
      <c r="D137">
        <f t="shared" si="4"/>
        <v>1.4794399999999999</v>
      </c>
      <c r="E137" s="4">
        <f t="shared" si="5"/>
        <v>4.6425179221601477E-2</v>
      </c>
    </row>
    <row r="138" spans="1:5" x14ac:dyDescent="0.3">
      <c r="A138" s="1">
        <v>40694</v>
      </c>
      <c r="B138">
        <v>1.4396</v>
      </c>
      <c r="C138">
        <v>-10.53</v>
      </c>
      <c r="D138">
        <f t="shared" si="4"/>
        <v>1.438547</v>
      </c>
      <c r="E138" s="4">
        <f t="shared" si="5"/>
        <v>-2.6929108311252826E-2</v>
      </c>
    </row>
    <row r="139" spans="1:5" x14ac:dyDescent="0.3">
      <c r="A139" s="1">
        <v>40724</v>
      </c>
      <c r="B139">
        <v>1.4501999999999999</v>
      </c>
      <c r="C139">
        <v>-12.38</v>
      </c>
      <c r="D139">
        <f t="shared" si="4"/>
        <v>1.4489619999999999</v>
      </c>
      <c r="E139" s="4">
        <f t="shared" si="5"/>
        <v>8.1005347757146014E-3</v>
      </c>
    </row>
    <row r="140" spans="1:5" x14ac:dyDescent="0.3">
      <c r="A140" s="1">
        <v>40753</v>
      </c>
      <c r="B140">
        <v>1.4398</v>
      </c>
      <c r="C140">
        <v>-9.61</v>
      </c>
      <c r="D140">
        <f t="shared" si="4"/>
        <v>1.438839</v>
      </c>
      <c r="E140" s="4">
        <f t="shared" si="5"/>
        <v>-6.3231471908855395E-3</v>
      </c>
    </row>
    <row r="141" spans="1:5" x14ac:dyDescent="0.3">
      <c r="A141" s="1">
        <v>40786</v>
      </c>
      <c r="B141">
        <v>1.4369000000000001</v>
      </c>
      <c r="C141">
        <v>-5.56</v>
      </c>
      <c r="D141">
        <f t="shared" si="4"/>
        <v>1.4363440000000001</v>
      </c>
      <c r="E141" s="4">
        <f t="shared" si="5"/>
        <v>-1.3476142918004816E-3</v>
      </c>
    </row>
    <row r="142" spans="1:5" x14ac:dyDescent="0.3">
      <c r="A142" s="1">
        <v>40816</v>
      </c>
      <c r="B142">
        <v>1.3387</v>
      </c>
      <c r="C142">
        <v>-3.12</v>
      </c>
      <c r="D142">
        <f t="shared" si="4"/>
        <v>1.3383879999999999</v>
      </c>
      <c r="E142" s="4">
        <f t="shared" si="5"/>
        <v>-6.7980929359540657E-2</v>
      </c>
    </row>
    <row r="143" spans="1:5" x14ac:dyDescent="0.3">
      <c r="A143" s="1">
        <v>40847</v>
      </c>
      <c r="B143">
        <v>1.3857999999999999</v>
      </c>
      <c r="C143">
        <v>-4.17</v>
      </c>
      <c r="D143">
        <f t="shared" si="4"/>
        <v>1.385383</v>
      </c>
      <c r="E143" s="4">
        <f t="shared" si="5"/>
        <v>3.5424704943558975E-2</v>
      </c>
    </row>
    <row r="144" spans="1:5" x14ac:dyDescent="0.3">
      <c r="A144" s="1">
        <v>40877</v>
      </c>
      <c r="B144">
        <v>1.3446</v>
      </c>
      <c r="C144">
        <v>4.49</v>
      </c>
      <c r="D144">
        <f t="shared" si="4"/>
        <v>1.3450489999999999</v>
      </c>
      <c r="E144" s="4">
        <f t="shared" si="5"/>
        <v>-2.9438068750663182E-2</v>
      </c>
    </row>
    <row r="145" spans="1:5" x14ac:dyDescent="0.3">
      <c r="A145" s="1">
        <v>40907</v>
      </c>
      <c r="B145">
        <v>1.2961</v>
      </c>
      <c r="C145">
        <v>2.65</v>
      </c>
      <c r="D145">
        <f t="shared" si="4"/>
        <v>1.296365</v>
      </c>
      <c r="E145" s="4">
        <f t="shared" si="5"/>
        <v>-3.6391982745609945E-2</v>
      </c>
    </row>
    <row r="146" spans="1:5" x14ac:dyDescent="0.3">
      <c r="A146" s="1">
        <v>40939</v>
      </c>
      <c r="B146">
        <v>1.3084</v>
      </c>
      <c r="C146">
        <v>0.7</v>
      </c>
      <c r="D146">
        <f t="shared" si="4"/>
        <v>1.30847</v>
      </c>
      <c r="E146" s="4">
        <f t="shared" si="5"/>
        <v>9.2836508236492175E-3</v>
      </c>
    </row>
    <row r="147" spans="1:5" x14ac:dyDescent="0.3">
      <c r="A147" s="1">
        <v>40968</v>
      </c>
      <c r="B147">
        <v>1.3325</v>
      </c>
      <c r="C147">
        <v>1.55</v>
      </c>
      <c r="D147">
        <f t="shared" si="4"/>
        <v>1.3326549999999999</v>
      </c>
      <c r="E147" s="4">
        <f t="shared" si="5"/>
        <v>1.8364960602841485E-2</v>
      </c>
    </row>
    <row r="148" spans="1:5" x14ac:dyDescent="0.3">
      <c r="A148" s="1">
        <v>40998</v>
      </c>
      <c r="B148">
        <v>1.3343</v>
      </c>
      <c r="C148">
        <v>1.75</v>
      </c>
      <c r="D148">
        <f t="shared" si="4"/>
        <v>1.3344750000000001</v>
      </c>
      <c r="E148" s="4">
        <f t="shared" si="5"/>
        <v>1.2343779898024009E-3</v>
      </c>
    </row>
    <row r="149" spans="1:5" x14ac:dyDescent="0.3">
      <c r="A149" s="1">
        <v>41029</v>
      </c>
      <c r="B149">
        <v>1.3239000000000001</v>
      </c>
      <c r="C149">
        <v>1.56</v>
      </c>
      <c r="D149">
        <f t="shared" si="4"/>
        <v>1.3240560000000001</v>
      </c>
      <c r="E149" s="4">
        <f t="shared" si="5"/>
        <v>-7.9244646771202167E-3</v>
      </c>
    </row>
    <row r="150" spans="1:5" x14ac:dyDescent="0.3">
      <c r="A150" s="1">
        <v>41060</v>
      </c>
      <c r="B150">
        <v>1.2364999999999999</v>
      </c>
      <c r="C150">
        <v>1.67</v>
      </c>
      <c r="D150">
        <f t="shared" si="4"/>
        <v>1.236667</v>
      </c>
      <c r="E150" s="4">
        <f t="shared" si="5"/>
        <v>-6.6127112448416223E-2</v>
      </c>
    </row>
    <row r="151" spans="1:5" x14ac:dyDescent="0.3">
      <c r="A151" s="1">
        <v>41089</v>
      </c>
      <c r="B151">
        <v>1.2666999999999999</v>
      </c>
      <c r="C151">
        <v>3.11</v>
      </c>
      <c r="D151">
        <f t="shared" si="4"/>
        <v>1.2670109999999999</v>
      </c>
      <c r="E151" s="4">
        <f t="shared" si="5"/>
        <v>2.4285438197995078E-2</v>
      </c>
    </row>
    <row r="152" spans="1:5" x14ac:dyDescent="0.3">
      <c r="A152" s="1">
        <v>41121</v>
      </c>
      <c r="B152">
        <v>1.2303999999999999</v>
      </c>
      <c r="C152">
        <v>4.5</v>
      </c>
      <c r="D152">
        <f t="shared" si="4"/>
        <v>1.23085</v>
      </c>
      <c r="E152" s="4">
        <f t="shared" si="5"/>
        <v>-2.8895566021131587E-2</v>
      </c>
    </row>
    <row r="153" spans="1:5" x14ac:dyDescent="0.3">
      <c r="A153" s="1">
        <v>41152</v>
      </c>
      <c r="B153">
        <v>1.2579</v>
      </c>
      <c r="C153">
        <v>3.75</v>
      </c>
      <c r="D153">
        <f t="shared" si="4"/>
        <v>1.258275</v>
      </c>
      <c r="E153" s="4">
        <f t="shared" si="5"/>
        <v>2.1976682780192564E-2</v>
      </c>
    </row>
    <row r="154" spans="1:5" x14ac:dyDescent="0.3">
      <c r="A154" s="1">
        <v>41180</v>
      </c>
      <c r="B154">
        <v>1.286</v>
      </c>
      <c r="C154">
        <v>3.91</v>
      </c>
      <c r="D154">
        <f t="shared" si="4"/>
        <v>1.2863910000000001</v>
      </c>
      <c r="E154" s="4">
        <f t="shared" si="5"/>
        <v>2.2034134032703503E-2</v>
      </c>
    </row>
    <row r="155" spans="1:5" x14ac:dyDescent="0.3">
      <c r="A155" s="1">
        <v>41213</v>
      </c>
      <c r="B155">
        <v>1.296</v>
      </c>
      <c r="C155">
        <v>3.51</v>
      </c>
      <c r="D155">
        <f t="shared" si="4"/>
        <v>1.296351</v>
      </c>
      <c r="E155" s="4">
        <f t="shared" si="5"/>
        <v>7.4697350960944058E-3</v>
      </c>
    </row>
    <row r="156" spans="1:5" x14ac:dyDescent="0.3">
      <c r="A156" s="1">
        <v>41243</v>
      </c>
      <c r="B156">
        <v>1.2986</v>
      </c>
      <c r="C156">
        <v>4.4000000000000004</v>
      </c>
      <c r="D156">
        <f t="shared" si="4"/>
        <v>1.29904</v>
      </c>
      <c r="E156" s="4">
        <f t="shared" si="5"/>
        <v>1.7348696456437689E-3</v>
      </c>
    </row>
    <row r="157" spans="1:5" x14ac:dyDescent="0.3">
      <c r="A157" s="1">
        <v>41274</v>
      </c>
      <c r="B157">
        <v>1.3192999999999999</v>
      </c>
      <c r="C157">
        <v>3.6</v>
      </c>
      <c r="D157">
        <f t="shared" si="4"/>
        <v>1.3196599999999998</v>
      </c>
      <c r="E157" s="4">
        <f t="shared" si="5"/>
        <v>1.5596132528636489E-2</v>
      </c>
    </row>
    <row r="158" spans="1:5" x14ac:dyDescent="0.3">
      <c r="A158" s="1">
        <v>41305</v>
      </c>
      <c r="B158">
        <v>1.3579000000000001</v>
      </c>
      <c r="C158">
        <v>2.19</v>
      </c>
      <c r="D158">
        <f t="shared" si="4"/>
        <v>1.3581190000000001</v>
      </c>
      <c r="E158" s="4">
        <f t="shared" si="5"/>
        <v>2.8977160783838472E-2</v>
      </c>
    </row>
    <row r="159" spans="1:5" x14ac:dyDescent="0.3">
      <c r="A159" s="1">
        <v>41333</v>
      </c>
      <c r="B159">
        <v>1.3057000000000001</v>
      </c>
      <c r="C159">
        <v>2.85</v>
      </c>
      <c r="D159">
        <f t="shared" si="4"/>
        <v>1.3059850000000002</v>
      </c>
      <c r="E159" s="4">
        <f t="shared" si="5"/>
        <v>-3.859676508465016E-2</v>
      </c>
    </row>
    <row r="160" spans="1:5" x14ac:dyDescent="0.3">
      <c r="A160" s="1">
        <v>41362</v>
      </c>
      <c r="B160">
        <v>1.2819</v>
      </c>
      <c r="C160">
        <v>2.5099999999999998</v>
      </c>
      <c r="D160">
        <f t="shared" si="4"/>
        <v>1.282151</v>
      </c>
      <c r="E160" s="4">
        <f t="shared" si="5"/>
        <v>-1.8442018859328498E-2</v>
      </c>
    </row>
    <row r="161" spans="1:5" x14ac:dyDescent="0.3">
      <c r="A161" s="1">
        <v>41394</v>
      </c>
      <c r="B161">
        <v>1.3168</v>
      </c>
      <c r="C161">
        <v>2.58</v>
      </c>
      <c r="D161">
        <f t="shared" si="4"/>
        <v>1.3170580000000001</v>
      </c>
      <c r="E161" s="4">
        <f t="shared" si="5"/>
        <v>2.7024118064096918E-2</v>
      </c>
    </row>
    <row r="162" spans="1:5" x14ac:dyDescent="0.3">
      <c r="A162" s="1">
        <v>41425</v>
      </c>
      <c r="B162">
        <v>1.2999000000000001</v>
      </c>
      <c r="C162">
        <v>2.0699999999999998</v>
      </c>
      <c r="D162">
        <f t="shared" si="4"/>
        <v>1.3001070000000001</v>
      </c>
      <c r="E162" s="4">
        <f t="shared" si="5"/>
        <v>-1.3027520428105677E-2</v>
      </c>
    </row>
    <row r="163" spans="1:5" x14ac:dyDescent="0.3">
      <c r="A163" s="1">
        <v>41453</v>
      </c>
      <c r="B163">
        <v>1.3009999999999999</v>
      </c>
      <c r="C163">
        <v>1.61</v>
      </c>
      <c r="D163">
        <f t="shared" si="4"/>
        <v>1.301161</v>
      </c>
      <c r="E163" s="4">
        <f t="shared" si="5"/>
        <v>6.8686654252289277E-4</v>
      </c>
    </row>
    <row r="164" spans="1:5" x14ac:dyDescent="0.3">
      <c r="A164" s="1">
        <v>41486</v>
      </c>
      <c r="B164">
        <v>1.3302</v>
      </c>
      <c r="C164">
        <v>1.36</v>
      </c>
      <c r="D164">
        <f t="shared" si="4"/>
        <v>1.330336</v>
      </c>
      <c r="E164" s="4">
        <f t="shared" si="5"/>
        <v>2.231776083051985E-2</v>
      </c>
    </row>
    <row r="165" spans="1:5" x14ac:dyDescent="0.3">
      <c r="A165" s="1">
        <v>41516</v>
      </c>
      <c r="B165">
        <v>1.3222</v>
      </c>
      <c r="C165">
        <v>1.27</v>
      </c>
      <c r="D165">
        <f t="shared" si="4"/>
        <v>1.322327</v>
      </c>
      <c r="E165" s="4">
        <f t="shared" si="5"/>
        <v>-6.1157482019579424E-3</v>
      </c>
    </row>
    <row r="166" spans="1:5" x14ac:dyDescent="0.3">
      <c r="A166" s="1">
        <v>41547</v>
      </c>
      <c r="B166">
        <v>1.3527</v>
      </c>
      <c r="C166">
        <v>1.1000000000000001</v>
      </c>
      <c r="D166">
        <f t="shared" si="4"/>
        <v>1.3528100000000001</v>
      </c>
      <c r="E166" s="4">
        <f t="shared" si="5"/>
        <v>2.2969356293866785E-2</v>
      </c>
    </row>
    <row r="167" spans="1:5" x14ac:dyDescent="0.3">
      <c r="A167" s="1">
        <v>41578</v>
      </c>
      <c r="B167">
        <v>1.3584000000000001</v>
      </c>
      <c r="C167">
        <v>0.88</v>
      </c>
      <c r="D167">
        <f t="shared" si="4"/>
        <v>1.3584880000000001</v>
      </c>
      <c r="E167" s="4">
        <f t="shared" si="5"/>
        <v>4.1321397683340482E-3</v>
      </c>
    </row>
    <row r="168" spans="1:5" x14ac:dyDescent="0.3">
      <c r="A168" s="1">
        <v>41607</v>
      </c>
      <c r="B168">
        <v>1.3591</v>
      </c>
      <c r="C168">
        <v>-0.13</v>
      </c>
      <c r="D168">
        <f t="shared" si="4"/>
        <v>1.3590869999999999</v>
      </c>
      <c r="E168" s="4">
        <f t="shared" si="5"/>
        <v>4.505008509459302E-4</v>
      </c>
    </row>
    <row r="169" spans="1:5" x14ac:dyDescent="0.3">
      <c r="A169" s="1">
        <v>41639</v>
      </c>
      <c r="B169">
        <v>1.3743000000000001</v>
      </c>
      <c r="C169">
        <v>-0.23</v>
      </c>
      <c r="D169">
        <f t="shared" si="4"/>
        <v>1.374277</v>
      </c>
      <c r="E169" s="4">
        <f t="shared" si="5"/>
        <v>1.1193543901163165E-2</v>
      </c>
    </row>
    <row r="170" spans="1:5" x14ac:dyDescent="0.3">
      <c r="A170" s="1">
        <v>41670</v>
      </c>
      <c r="B170">
        <v>1.3486</v>
      </c>
      <c r="C170">
        <v>0.1</v>
      </c>
      <c r="D170">
        <f t="shared" si="4"/>
        <v>1.3486100000000001</v>
      </c>
      <c r="E170" s="4">
        <f t="shared" si="5"/>
        <v>-1.8684006208355339E-2</v>
      </c>
    </row>
    <row r="171" spans="1:5" x14ac:dyDescent="0.3">
      <c r="A171" s="1">
        <v>41698</v>
      </c>
      <c r="B171">
        <v>1.3802000000000001</v>
      </c>
      <c r="C171">
        <v>-0.26</v>
      </c>
      <c r="D171">
        <f t="shared" si="4"/>
        <v>1.380174</v>
      </c>
      <c r="E171" s="4">
        <f t="shared" si="5"/>
        <v>2.3424118166111778E-2</v>
      </c>
    </row>
    <row r="172" spans="1:5" x14ac:dyDescent="0.3">
      <c r="A172" s="1">
        <v>41729</v>
      </c>
      <c r="B172">
        <v>1.3769</v>
      </c>
      <c r="C172">
        <v>-0.89</v>
      </c>
      <c r="D172">
        <f t="shared" si="4"/>
        <v>1.376811</v>
      </c>
      <c r="E172" s="4">
        <f t="shared" si="5"/>
        <v>-2.3721646690924472E-3</v>
      </c>
    </row>
    <row r="173" spans="1:5" x14ac:dyDescent="0.3">
      <c r="A173" s="1">
        <v>41759</v>
      </c>
      <c r="B173">
        <v>1.3867</v>
      </c>
      <c r="C173">
        <v>-0.99</v>
      </c>
      <c r="D173">
        <f t="shared" si="4"/>
        <v>1.386601</v>
      </c>
      <c r="E173" s="4">
        <f t="shared" si="5"/>
        <v>7.1825399419383172E-3</v>
      </c>
    </row>
    <row r="174" spans="1:5" x14ac:dyDescent="0.3">
      <c r="A174" s="1">
        <v>41789</v>
      </c>
      <c r="B174">
        <v>1.3634999999999999</v>
      </c>
      <c r="C174">
        <v>-0.8</v>
      </c>
      <c r="D174">
        <f t="shared" si="4"/>
        <v>1.3634199999999999</v>
      </c>
      <c r="E174" s="4">
        <f t="shared" si="5"/>
        <v>-1.6660163954879622E-2</v>
      </c>
    </row>
    <row r="175" spans="1:5" x14ac:dyDescent="0.3">
      <c r="A175" s="1">
        <v>41820</v>
      </c>
      <c r="B175">
        <v>1.3692</v>
      </c>
      <c r="C175">
        <v>1.68</v>
      </c>
      <c r="D175">
        <f t="shared" si="4"/>
        <v>1.3693679999999999</v>
      </c>
      <c r="E175" s="4">
        <f t="shared" si="5"/>
        <v>4.2393393085037034E-3</v>
      </c>
    </row>
    <row r="176" spans="1:5" x14ac:dyDescent="0.3">
      <c r="A176" s="1">
        <v>41851</v>
      </c>
      <c r="B176">
        <v>1.339</v>
      </c>
      <c r="C176">
        <v>1.28</v>
      </c>
      <c r="D176">
        <f t="shared" si="4"/>
        <v>1.3391279999999999</v>
      </c>
      <c r="E176" s="4">
        <f t="shared" si="5"/>
        <v>-2.217665375560109E-2</v>
      </c>
    </row>
    <row r="177" spans="1:5" x14ac:dyDescent="0.3">
      <c r="A177" s="1">
        <v>41880</v>
      </c>
      <c r="B177">
        <v>1.3131999999999999</v>
      </c>
      <c r="C177">
        <v>2.19</v>
      </c>
      <c r="D177">
        <f t="shared" si="4"/>
        <v>1.3134189999999999</v>
      </c>
      <c r="E177" s="4">
        <f t="shared" si="5"/>
        <v>-1.9361853385187939E-2</v>
      </c>
    </row>
    <row r="178" spans="1:5" x14ac:dyDescent="0.3">
      <c r="A178" s="1">
        <v>41912</v>
      </c>
      <c r="B178">
        <v>1.2630999999999999</v>
      </c>
      <c r="C178">
        <v>2.58</v>
      </c>
      <c r="D178">
        <f t="shared" si="4"/>
        <v>1.263358</v>
      </c>
      <c r="E178" s="4">
        <f t="shared" si="5"/>
        <v>-3.8311460394588479E-2</v>
      </c>
    </row>
    <row r="179" spans="1:5" x14ac:dyDescent="0.3">
      <c r="A179" s="1">
        <v>41943</v>
      </c>
      <c r="B179">
        <v>1.2524999999999999</v>
      </c>
      <c r="C179">
        <v>2.39</v>
      </c>
      <c r="D179">
        <f t="shared" si="4"/>
        <v>1.252739</v>
      </c>
      <c r="E179" s="4">
        <f t="shared" si="5"/>
        <v>-8.594555145888999E-3</v>
      </c>
    </row>
    <row r="180" spans="1:5" x14ac:dyDescent="0.3">
      <c r="A180" s="1">
        <v>41971</v>
      </c>
      <c r="B180">
        <v>1.2452000000000001</v>
      </c>
      <c r="C180">
        <v>1.97</v>
      </c>
      <c r="D180">
        <f t="shared" si="4"/>
        <v>1.2453970000000001</v>
      </c>
      <c r="E180" s="4">
        <f t="shared" si="5"/>
        <v>-6.0180133291930418E-3</v>
      </c>
    </row>
    <row r="181" spans="1:5" x14ac:dyDescent="0.3">
      <c r="A181" s="1">
        <v>42004</v>
      </c>
      <c r="B181">
        <v>1.2098</v>
      </c>
      <c r="C181">
        <v>3.98</v>
      </c>
      <c r="D181">
        <f t="shared" si="4"/>
        <v>1.2101979999999999</v>
      </c>
      <c r="E181" s="4">
        <f t="shared" si="5"/>
        <v>-2.8582853499727476E-2</v>
      </c>
    </row>
    <row r="182" spans="1:5" x14ac:dyDescent="0.3">
      <c r="A182" s="1">
        <v>42034</v>
      </c>
      <c r="B182">
        <v>1.1291</v>
      </c>
      <c r="C182">
        <v>2.78</v>
      </c>
      <c r="D182">
        <f t="shared" si="4"/>
        <v>1.129378</v>
      </c>
      <c r="E182" s="4">
        <f t="shared" si="5"/>
        <v>-6.7012174867253041E-2</v>
      </c>
    </row>
    <row r="183" spans="1:5" x14ac:dyDescent="0.3">
      <c r="A183" s="1">
        <v>42062</v>
      </c>
      <c r="B183">
        <v>1.1195999999999999</v>
      </c>
      <c r="C183">
        <v>4.3899999999999997</v>
      </c>
      <c r="D183">
        <f t="shared" si="4"/>
        <v>1.120039</v>
      </c>
      <c r="E183" s="4">
        <f t="shared" si="5"/>
        <v>-8.6578630006960162E-3</v>
      </c>
    </row>
    <row r="184" spans="1:5" x14ac:dyDescent="0.3">
      <c r="A184" s="1">
        <v>42094</v>
      </c>
      <c r="B184">
        <v>1.0730999999999999</v>
      </c>
      <c r="C184">
        <v>4.4000000000000004</v>
      </c>
      <c r="D184">
        <f t="shared" si="4"/>
        <v>1.0735399999999999</v>
      </c>
      <c r="E184" s="4">
        <f t="shared" si="5"/>
        <v>-4.1908362119533395E-2</v>
      </c>
    </row>
    <row r="185" spans="1:5" x14ac:dyDescent="0.3">
      <c r="A185" s="1">
        <v>42124</v>
      </c>
      <c r="B185">
        <v>1.1224000000000001</v>
      </c>
      <c r="C185">
        <v>4.3</v>
      </c>
      <c r="D185">
        <f t="shared" si="4"/>
        <v>1.12283</v>
      </c>
      <c r="E185" s="4">
        <f t="shared" si="5"/>
        <v>4.5512975762430956E-2</v>
      </c>
    </row>
    <row r="186" spans="1:5" x14ac:dyDescent="0.3">
      <c r="A186" s="1">
        <v>42153</v>
      </c>
      <c r="B186">
        <v>1.0986</v>
      </c>
      <c r="C186">
        <v>4.24</v>
      </c>
      <c r="D186">
        <f t="shared" si="4"/>
        <v>1.099024</v>
      </c>
      <c r="E186" s="4">
        <f t="shared" si="5"/>
        <v>-2.1579402046614335E-2</v>
      </c>
    </row>
    <row r="187" spans="1:5" x14ac:dyDescent="0.3">
      <c r="A187" s="1">
        <v>42185</v>
      </c>
      <c r="B187">
        <v>1.1147</v>
      </c>
      <c r="C187">
        <v>4.51</v>
      </c>
      <c r="D187">
        <f t="shared" si="4"/>
        <v>1.115151</v>
      </c>
      <c r="E187" s="4">
        <f t="shared" si="5"/>
        <v>1.4263564762916937E-2</v>
      </c>
    </row>
    <row r="188" spans="1:5" x14ac:dyDescent="0.3">
      <c r="A188" s="1">
        <v>42216</v>
      </c>
      <c r="B188">
        <v>1.0984</v>
      </c>
      <c r="C188">
        <v>4.24</v>
      </c>
      <c r="D188">
        <f t="shared" si="4"/>
        <v>1.098824</v>
      </c>
      <c r="E188" s="4">
        <f t="shared" si="5"/>
        <v>-1.502128411309317E-2</v>
      </c>
    </row>
    <row r="189" spans="1:5" x14ac:dyDescent="0.3">
      <c r="A189" s="1">
        <v>42247</v>
      </c>
      <c r="B189">
        <v>1.1211</v>
      </c>
      <c r="C189">
        <v>4.8899999999999997</v>
      </c>
      <c r="D189">
        <f t="shared" si="4"/>
        <v>1.1215889999999999</v>
      </c>
      <c r="E189" s="4">
        <f t="shared" si="5"/>
        <v>2.0272582324375843E-2</v>
      </c>
    </row>
    <row r="190" spans="1:5" x14ac:dyDescent="0.3">
      <c r="A190" s="1">
        <v>42277</v>
      </c>
      <c r="B190">
        <v>1.1176999999999999</v>
      </c>
      <c r="C190">
        <v>5.16</v>
      </c>
      <c r="D190">
        <f t="shared" si="4"/>
        <v>1.1182159999999999</v>
      </c>
      <c r="E190" s="4">
        <f t="shared" si="5"/>
        <v>-3.467402051910309E-3</v>
      </c>
    </row>
    <row r="191" spans="1:5" x14ac:dyDescent="0.3">
      <c r="A191" s="1">
        <v>42307</v>
      </c>
      <c r="B191">
        <v>1.1006</v>
      </c>
      <c r="C191">
        <v>4.09</v>
      </c>
      <c r="D191">
        <f t="shared" si="4"/>
        <v>1.1010090000000001</v>
      </c>
      <c r="E191" s="4">
        <f t="shared" si="5"/>
        <v>-1.5753664766020033E-2</v>
      </c>
    </row>
    <row r="192" spans="1:5" x14ac:dyDescent="0.3">
      <c r="A192" s="1">
        <v>42338</v>
      </c>
      <c r="B192">
        <v>1.0565</v>
      </c>
      <c r="C192">
        <v>11.65</v>
      </c>
      <c r="D192">
        <f t="shared" si="4"/>
        <v>1.0576650000000001</v>
      </c>
      <c r="E192" s="4">
        <f t="shared" si="5"/>
        <v>-4.0425645930233199E-2</v>
      </c>
    </row>
    <row r="193" spans="1:5" x14ac:dyDescent="0.3">
      <c r="A193" s="1">
        <v>42369</v>
      </c>
      <c r="B193">
        <v>1.0862000000000001</v>
      </c>
      <c r="C193">
        <v>8.23</v>
      </c>
      <c r="D193">
        <f t="shared" si="4"/>
        <v>1.0870230000000001</v>
      </c>
      <c r="E193" s="4">
        <f t="shared" si="5"/>
        <v>2.6979242009520951E-2</v>
      </c>
    </row>
    <row r="194" spans="1:5" x14ac:dyDescent="0.3">
      <c r="A194" s="1">
        <v>42398</v>
      </c>
      <c r="B194">
        <v>1.0831</v>
      </c>
      <c r="C194">
        <v>7.38</v>
      </c>
      <c r="D194">
        <f t="shared" si="4"/>
        <v>1.0838379999999999</v>
      </c>
      <c r="E194" s="4">
        <f t="shared" si="5"/>
        <v>-3.6089392772739128E-3</v>
      </c>
    </row>
    <row r="195" spans="1:5" x14ac:dyDescent="0.3">
      <c r="A195" s="1">
        <v>42429</v>
      </c>
      <c r="B195">
        <v>1.0872999999999999</v>
      </c>
      <c r="C195">
        <v>10.52</v>
      </c>
      <c r="D195">
        <f t="shared" ref="D195:D258" si="6">B195+C195/10^4</f>
        <v>1.088352</v>
      </c>
      <c r="E195" s="4">
        <f t="shared" si="5"/>
        <v>3.1942042999046688E-3</v>
      </c>
    </row>
    <row r="196" spans="1:5" x14ac:dyDescent="0.3">
      <c r="A196" s="1">
        <v>42460</v>
      </c>
      <c r="B196">
        <v>1.1379999999999999</v>
      </c>
      <c r="C196">
        <v>10.14</v>
      </c>
      <c r="D196">
        <f t="shared" si="6"/>
        <v>1.139014</v>
      </c>
      <c r="E196" s="4">
        <f t="shared" ref="E196:E259" si="7">(B196-D195)/D195</f>
        <v>4.5617594307723892E-2</v>
      </c>
    </row>
    <row r="197" spans="1:5" x14ac:dyDescent="0.3">
      <c r="A197" s="1">
        <v>42489</v>
      </c>
      <c r="B197">
        <v>1.1451</v>
      </c>
      <c r="C197">
        <v>10.15</v>
      </c>
      <c r="D197">
        <f t="shared" si="6"/>
        <v>1.146115</v>
      </c>
      <c r="E197" s="4">
        <f t="shared" si="7"/>
        <v>5.3432179060134786E-3</v>
      </c>
    </row>
    <row r="198" spans="1:5" x14ac:dyDescent="0.3">
      <c r="A198" s="1">
        <v>42521</v>
      </c>
      <c r="B198">
        <v>1.1132</v>
      </c>
      <c r="C198">
        <v>12.82</v>
      </c>
      <c r="D198">
        <f t="shared" si="6"/>
        <v>1.114482</v>
      </c>
      <c r="E198" s="4">
        <f t="shared" si="7"/>
        <v>-2.8718758588797834E-2</v>
      </c>
    </row>
    <row r="199" spans="1:5" x14ac:dyDescent="0.3">
      <c r="A199" s="1">
        <v>42551</v>
      </c>
      <c r="B199">
        <v>1.1106</v>
      </c>
      <c r="C199">
        <v>12.6</v>
      </c>
      <c r="D199">
        <f t="shared" si="6"/>
        <v>1.1118600000000001</v>
      </c>
      <c r="E199" s="4">
        <f t="shared" si="7"/>
        <v>-3.4832325690320179E-3</v>
      </c>
    </row>
    <row r="200" spans="1:5" x14ac:dyDescent="0.3">
      <c r="A200" s="1">
        <v>42580</v>
      </c>
      <c r="B200">
        <v>1.1173999999999999</v>
      </c>
      <c r="C200">
        <v>13.26</v>
      </c>
      <c r="D200">
        <f t="shared" si="6"/>
        <v>1.1187259999999999</v>
      </c>
      <c r="E200" s="4">
        <f t="shared" si="7"/>
        <v>4.9826416994944306E-3</v>
      </c>
    </row>
    <row r="201" spans="1:5" x14ac:dyDescent="0.3">
      <c r="A201" s="1">
        <v>42613</v>
      </c>
      <c r="B201">
        <v>1.1157999999999999</v>
      </c>
      <c r="C201">
        <v>15.09</v>
      </c>
      <c r="D201">
        <f t="shared" si="6"/>
        <v>1.1173089999999999</v>
      </c>
      <c r="E201" s="4">
        <f t="shared" si="7"/>
        <v>-2.6154751029295684E-3</v>
      </c>
    </row>
    <row r="202" spans="1:5" x14ac:dyDescent="0.3">
      <c r="A202" s="1">
        <v>42643</v>
      </c>
      <c r="B202">
        <v>1.1234999999999999</v>
      </c>
      <c r="C202">
        <v>16.02</v>
      </c>
      <c r="D202">
        <f t="shared" si="6"/>
        <v>1.125102</v>
      </c>
      <c r="E202" s="4">
        <f t="shared" si="7"/>
        <v>5.5409917936757496E-3</v>
      </c>
    </row>
    <row r="203" spans="1:5" x14ac:dyDescent="0.3">
      <c r="A203" s="1">
        <v>42674</v>
      </c>
      <c r="B203">
        <v>1.0981000000000001</v>
      </c>
      <c r="C203">
        <v>13.2</v>
      </c>
      <c r="D203">
        <f t="shared" si="6"/>
        <v>1.0994200000000001</v>
      </c>
      <c r="E203" s="4">
        <f t="shared" si="7"/>
        <v>-2.3999601813879959E-2</v>
      </c>
    </row>
    <row r="204" spans="1:5" x14ac:dyDescent="0.3">
      <c r="A204" s="1">
        <v>42704</v>
      </c>
      <c r="B204">
        <v>1.0589</v>
      </c>
      <c r="C204">
        <v>19.350000000000001</v>
      </c>
      <c r="D204">
        <f t="shared" si="6"/>
        <v>1.060835</v>
      </c>
      <c r="E204" s="4">
        <f t="shared" si="7"/>
        <v>-3.6855796692801757E-2</v>
      </c>
    </row>
    <row r="205" spans="1:5" x14ac:dyDescent="0.3">
      <c r="A205" s="1">
        <v>42734</v>
      </c>
      <c r="B205">
        <v>1.0517000000000001</v>
      </c>
      <c r="C205">
        <v>17.47</v>
      </c>
      <c r="D205">
        <f t="shared" si="6"/>
        <v>1.053447</v>
      </c>
      <c r="E205" s="4">
        <f t="shared" si="7"/>
        <v>-8.6111412236586204E-3</v>
      </c>
    </row>
    <row r="206" spans="1:5" x14ac:dyDescent="0.3">
      <c r="A206" s="1">
        <v>42766</v>
      </c>
      <c r="B206">
        <v>1.0798000000000001</v>
      </c>
      <c r="C206">
        <v>11.06</v>
      </c>
      <c r="D206">
        <f t="shared" si="6"/>
        <v>1.0809060000000001</v>
      </c>
      <c r="E206" s="4">
        <f t="shared" si="7"/>
        <v>2.5015971377772277E-2</v>
      </c>
    </row>
    <row r="207" spans="1:5" x14ac:dyDescent="0.3">
      <c r="A207" s="1">
        <v>42794</v>
      </c>
      <c r="B207">
        <v>1.0576000000000001</v>
      </c>
      <c r="C207">
        <v>15.83</v>
      </c>
      <c r="D207">
        <f t="shared" si="6"/>
        <v>1.059183</v>
      </c>
      <c r="E207" s="4">
        <f t="shared" si="7"/>
        <v>-2.1561541891709404E-2</v>
      </c>
    </row>
    <row r="208" spans="1:5" x14ac:dyDescent="0.3">
      <c r="A208" s="1">
        <v>42825</v>
      </c>
      <c r="B208">
        <v>1.0651999999999999</v>
      </c>
      <c r="C208">
        <v>14.35</v>
      </c>
      <c r="D208">
        <f t="shared" si="6"/>
        <v>1.066635</v>
      </c>
      <c r="E208" s="4">
        <f t="shared" si="7"/>
        <v>5.6807935927974101E-3</v>
      </c>
    </row>
    <row r="209" spans="1:5" x14ac:dyDescent="0.3">
      <c r="A209" s="1">
        <v>42853</v>
      </c>
      <c r="B209">
        <v>1.0894999999999999</v>
      </c>
      <c r="C209">
        <v>17.190000000000001</v>
      </c>
      <c r="D209">
        <f t="shared" si="6"/>
        <v>1.0912189999999999</v>
      </c>
      <c r="E209" s="4">
        <f t="shared" si="7"/>
        <v>2.1436573898287525E-2</v>
      </c>
    </row>
    <row r="210" spans="1:5" x14ac:dyDescent="0.3">
      <c r="A210" s="1">
        <v>42886</v>
      </c>
      <c r="B210">
        <v>1.1244000000000001</v>
      </c>
      <c r="C210">
        <v>18.78</v>
      </c>
      <c r="D210">
        <f t="shared" si="6"/>
        <v>1.1262780000000001</v>
      </c>
      <c r="E210" s="4">
        <f t="shared" si="7"/>
        <v>3.040727846564267E-2</v>
      </c>
    </row>
    <row r="211" spans="1:5" x14ac:dyDescent="0.3">
      <c r="A211" s="1">
        <v>42916</v>
      </c>
      <c r="B211">
        <v>1.1426000000000001</v>
      </c>
      <c r="C211">
        <v>19.239999999999998</v>
      </c>
      <c r="D211">
        <f t="shared" si="6"/>
        <v>1.1445240000000001</v>
      </c>
      <c r="E211" s="4">
        <f t="shared" si="7"/>
        <v>1.4491981553399735E-2</v>
      </c>
    </row>
    <row r="212" spans="1:5" x14ac:dyDescent="0.3">
      <c r="A212" s="1">
        <v>42947</v>
      </c>
      <c r="B212">
        <v>1.1841999999999999</v>
      </c>
      <c r="C212">
        <v>20.87</v>
      </c>
      <c r="D212">
        <f t="shared" si="6"/>
        <v>1.1862869999999999</v>
      </c>
      <c r="E212" s="4">
        <f t="shared" si="7"/>
        <v>3.4665939726908145E-2</v>
      </c>
    </row>
    <row r="213" spans="1:5" x14ac:dyDescent="0.3">
      <c r="A213" s="1">
        <v>42978</v>
      </c>
      <c r="B213">
        <v>1.1910000000000001</v>
      </c>
      <c r="C213">
        <v>19.25</v>
      </c>
      <c r="D213">
        <f t="shared" si="6"/>
        <v>1.192925</v>
      </c>
      <c r="E213" s="4">
        <f t="shared" si="7"/>
        <v>3.9729003183885435E-3</v>
      </c>
    </row>
    <row r="214" spans="1:5" x14ac:dyDescent="0.3">
      <c r="A214" s="1">
        <v>43007</v>
      </c>
      <c r="B214">
        <v>1.1814</v>
      </c>
      <c r="C214">
        <v>19.47</v>
      </c>
      <c r="D214">
        <f t="shared" si="6"/>
        <v>1.1833469999999999</v>
      </c>
      <c r="E214" s="4">
        <f t="shared" si="7"/>
        <v>-9.661127061634224E-3</v>
      </c>
    </row>
    <row r="215" spans="1:5" x14ac:dyDescent="0.3">
      <c r="A215" s="1">
        <v>43039</v>
      </c>
      <c r="B215">
        <v>1.1646000000000001</v>
      </c>
      <c r="C215">
        <v>19.32</v>
      </c>
      <c r="D215">
        <f t="shared" si="6"/>
        <v>1.1665320000000001</v>
      </c>
      <c r="E215" s="4">
        <f t="shared" si="7"/>
        <v>-1.5842352243255652E-2</v>
      </c>
    </row>
    <row r="216" spans="1:5" x14ac:dyDescent="0.3">
      <c r="A216" s="1">
        <v>43069</v>
      </c>
      <c r="B216">
        <v>1.1903999999999999</v>
      </c>
      <c r="C216">
        <v>26.87</v>
      </c>
      <c r="D216">
        <f t="shared" si="6"/>
        <v>1.193087</v>
      </c>
      <c r="E216" s="4">
        <f t="shared" si="7"/>
        <v>2.0460647457592056E-2</v>
      </c>
    </row>
    <row r="217" spans="1:5" x14ac:dyDescent="0.3">
      <c r="A217" s="1">
        <v>43098</v>
      </c>
      <c r="B217">
        <v>1.2004999999999999</v>
      </c>
      <c r="C217">
        <v>22.85</v>
      </c>
      <c r="D217">
        <f t="shared" si="6"/>
        <v>1.202785</v>
      </c>
      <c r="E217" s="4">
        <f t="shared" si="7"/>
        <v>6.2132937497432223E-3</v>
      </c>
    </row>
    <row r="218" spans="1:5" x14ac:dyDescent="0.3">
      <c r="A218" s="1">
        <v>43131</v>
      </c>
      <c r="B218">
        <v>1.2414000000000001</v>
      </c>
      <c r="C218">
        <v>21.92</v>
      </c>
      <c r="D218">
        <f t="shared" si="6"/>
        <v>1.243592</v>
      </c>
      <c r="E218" s="4">
        <f t="shared" si="7"/>
        <v>3.2104657108294556E-2</v>
      </c>
    </row>
    <row r="219" spans="1:5" x14ac:dyDescent="0.3">
      <c r="A219" s="1">
        <v>43159</v>
      </c>
      <c r="B219">
        <v>1.2194</v>
      </c>
      <c r="C219">
        <v>30.5</v>
      </c>
      <c r="D219">
        <f t="shared" si="6"/>
        <v>1.22245</v>
      </c>
      <c r="E219" s="4">
        <f t="shared" si="7"/>
        <v>-1.9453325527986662E-2</v>
      </c>
    </row>
    <row r="220" spans="1:5" x14ac:dyDescent="0.3">
      <c r="A220" s="1">
        <v>43189</v>
      </c>
      <c r="B220">
        <v>1.2323999999999999</v>
      </c>
      <c r="C220">
        <v>26.3</v>
      </c>
      <c r="D220">
        <f t="shared" si="6"/>
        <v>1.2350299999999999</v>
      </c>
      <c r="E220" s="4">
        <f t="shared" si="7"/>
        <v>8.1393922041800501E-3</v>
      </c>
    </row>
    <row r="221" spans="1:5" x14ac:dyDescent="0.3">
      <c r="A221" s="1">
        <v>43220</v>
      </c>
      <c r="B221">
        <v>1.2078</v>
      </c>
      <c r="C221">
        <v>27.56</v>
      </c>
      <c r="D221">
        <f t="shared" si="6"/>
        <v>1.210556</v>
      </c>
      <c r="E221" s="4">
        <f t="shared" si="7"/>
        <v>-2.2048047415852139E-2</v>
      </c>
    </row>
    <row r="222" spans="1:5" x14ac:dyDescent="0.3">
      <c r="A222" s="1">
        <v>43251</v>
      </c>
      <c r="B222">
        <v>1.1693</v>
      </c>
      <c r="C222">
        <v>28.55</v>
      </c>
      <c r="D222">
        <f t="shared" si="6"/>
        <v>1.1721550000000001</v>
      </c>
      <c r="E222" s="4">
        <f t="shared" si="7"/>
        <v>-3.4080207772296332E-2</v>
      </c>
    </row>
    <row r="223" spans="1:5" x14ac:dyDescent="0.3">
      <c r="A223" s="1">
        <v>43280</v>
      </c>
      <c r="B223">
        <v>1.1684000000000001</v>
      </c>
      <c r="C223">
        <v>26.17</v>
      </c>
      <c r="D223">
        <f t="shared" si="6"/>
        <v>1.1710170000000002</v>
      </c>
      <c r="E223" s="4">
        <f t="shared" si="7"/>
        <v>-3.2035012434361945E-3</v>
      </c>
    </row>
    <row r="224" spans="1:5" x14ac:dyDescent="0.3">
      <c r="A224" s="1">
        <v>43312</v>
      </c>
      <c r="B224">
        <v>1.1691</v>
      </c>
      <c r="C224">
        <v>27.76</v>
      </c>
      <c r="D224">
        <f t="shared" si="6"/>
        <v>1.1718759999999999</v>
      </c>
      <c r="E224" s="4">
        <f t="shared" si="7"/>
        <v>-1.6370385741626024E-3</v>
      </c>
    </row>
    <row r="225" spans="1:5" x14ac:dyDescent="0.3">
      <c r="A225" s="1">
        <v>43343</v>
      </c>
      <c r="B225">
        <v>1.1601999999999999</v>
      </c>
      <c r="C225">
        <v>25.83</v>
      </c>
      <c r="D225">
        <f t="shared" si="6"/>
        <v>1.1627829999999999</v>
      </c>
      <c r="E225" s="4">
        <f t="shared" si="7"/>
        <v>-9.9635114978035393E-3</v>
      </c>
    </row>
    <row r="226" spans="1:5" x14ac:dyDescent="0.3">
      <c r="A226" s="1">
        <v>43371</v>
      </c>
      <c r="B226">
        <v>1.1604000000000001</v>
      </c>
      <c r="C226">
        <v>28.08</v>
      </c>
      <c r="D226">
        <f t="shared" si="6"/>
        <v>1.163208</v>
      </c>
      <c r="E226" s="4">
        <f t="shared" si="7"/>
        <v>-2.0493935669852431E-3</v>
      </c>
    </row>
    <row r="227" spans="1:5" x14ac:dyDescent="0.3">
      <c r="A227" s="1">
        <v>43404</v>
      </c>
      <c r="B227">
        <v>1.1312</v>
      </c>
      <c r="C227">
        <v>27</v>
      </c>
      <c r="D227">
        <f t="shared" si="6"/>
        <v>1.1338999999999999</v>
      </c>
      <c r="E227" s="4">
        <f t="shared" si="7"/>
        <v>-2.7517004697354245E-2</v>
      </c>
    </row>
    <row r="228" spans="1:5" x14ac:dyDescent="0.3">
      <c r="A228" s="1">
        <v>43434</v>
      </c>
      <c r="B228">
        <v>1.1316999999999999</v>
      </c>
      <c r="C228">
        <v>36.549999999999997</v>
      </c>
      <c r="D228">
        <f t="shared" si="6"/>
        <v>1.1353549999999999</v>
      </c>
      <c r="E228" s="4">
        <f t="shared" si="7"/>
        <v>-1.9402063674045153E-3</v>
      </c>
    </row>
    <row r="229" spans="1:5" x14ac:dyDescent="0.3">
      <c r="A229" s="1">
        <v>43465</v>
      </c>
      <c r="B229">
        <v>1.1467000000000001</v>
      </c>
      <c r="C229">
        <v>30.47</v>
      </c>
      <c r="D229">
        <f t="shared" si="6"/>
        <v>1.1497470000000001</v>
      </c>
      <c r="E229" s="4">
        <f t="shared" si="7"/>
        <v>9.9924693157648157E-3</v>
      </c>
    </row>
    <row r="230" spans="1:5" x14ac:dyDescent="0.3">
      <c r="A230" s="1">
        <v>43496</v>
      </c>
      <c r="B230">
        <v>1.1448</v>
      </c>
      <c r="C230">
        <v>27.01</v>
      </c>
      <c r="D230">
        <f t="shared" si="6"/>
        <v>1.1475010000000001</v>
      </c>
      <c r="E230" s="4">
        <f t="shared" si="7"/>
        <v>-4.3026857212934968E-3</v>
      </c>
    </row>
    <row r="231" spans="1:5" x14ac:dyDescent="0.3">
      <c r="A231" s="1">
        <v>43524</v>
      </c>
      <c r="B231">
        <v>1.1371</v>
      </c>
      <c r="C231">
        <v>29.74</v>
      </c>
      <c r="D231">
        <f t="shared" si="6"/>
        <v>1.140074</v>
      </c>
      <c r="E231" s="4">
        <f t="shared" si="7"/>
        <v>-9.0640443886324321E-3</v>
      </c>
    </row>
    <row r="232" spans="1:5" x14ac:dyDescent="0.3">
      <c r="A232" s="1">
        <v>43553</v>
      </c>
      <c r="B232">
        <v>1.1217999999999999</v>
      </c>
      <c r="C232">
        <v>28.45</v>
      </c>
      <c r="D232">
        <f t="shared" si="6"/>
        <v>1.1246449999999999</v>
      </c>
      <c r="E232" s="4">
        <f t="shared" si="7"/>
        <v>-1.602878409647104E-2</v>
      </c>
    </row>
    <row r="233" spans="1:5" x14ac:dyDescent="0.3">
      <c r="A233" s="1">
        <v>43585</v>
      </c>
      <c r="B233">
        <v>1.1214999999999999</v>
      </c>
      <c r="C233">
        <v>30.1</v>
      </c>
      <c r="D233">
        <f t="shared" si="6"/>
        <v>1.1245099999999999</v>
      </c>
      <c r="E233" s="4">
        <f t="shared" si="7"/>
        <v>-2.79643798709811E-3</v>
      </c>
    </row>
    <row r="234" spans="1:5" x14ac:dyDescent="0.3">
      <c r="A234" s="1">
        <v>43616</v>
      </c>
      <c r="B234">
        <v>1.1169</v>
      </c>
      <c r="C234">
        <v>29.5</v>
      </c>
      <c r="D234">
        <f t="shared" si="6"/>
        <v>1.11985</v>
      </c>
      <c r="E234" s="4">
        <f t="shared" si="7"/>
        <v>-6.7673920196351257E-3</v>
      </c>
    </row>
    <row r="235" spans="1:5" x14ac:dyDescent="0.3">
      <c r="A235" s="1">
        <v>43644</v>
      </c>
      <c r="B235">
        <v>1.1373</v>
      </c>
      <c r="C235">
        <v>29.29</v>
      </c>
      <c r="D235">
        <f t="shared" si="6"/>
        <v>1.1402289999999999</v>
      </c>
      <c r="E235" s="4">
        <f t="shared" si="7"/>
        <v>1.5582444077331755E-2</v>
      </c>
    </row>
    <row r="236" spans="1:5" x14ac:dyDescent="0.3">
      <c r="A236" s="1">
        <v>43677</v>
      </c>
      <c r="B236">
        <v>1.1075999999999999</v>
      </c>
      <c r="C236">
        <v>28.25</v>
      </c>
      <c r="D236">
        <f t="shared" si="6"/>
        <v>1.110425</v>
      </c>
      <c r="E236" s="4">
        <f t="shared" si="7"/>
        <v>-2.8616181486350568E-2</v>
      </c>
    </row>
    <row r="237" spans="1:5" x14ac:dyDescent="0.3">
      <c r="A237" s="1">
        <v>43707</v>
      </c>
      <c r="B237">
        <v>1.0982000000000001</v>
      </c>
      <c r="C237">
        <v>26.1</v>
      </c>
      <c r="D237">
        <f t="shared" si="6"/>
        <v>1.1008100000000001</v>
      </c>
      <c r="E237" s="4">
        <f t="shared" si="7"/>
        <v>-1.1009298241664165E-2</v>
      </c>
    </row>
    <row r="238" spans="1:5" x14ac:dyDescent="0.3">
      <c r="A238" s="1">
        <v>43738</v>
      </c>
      <c r="B238">
        <v>1.0899000000000001</v>
      </c>
      <c r="C238">
        <v>27.07</v>
      </c>
      <c r="D238">
        <f t="shared" si="6"/>
        <v>1.0926070000000001</v>
      </c>
      <c r="E238" s="4">
        <f t="shared" si="7"/>
        <v>-9.9108838037444916E-3</v>
      </c>
    </row>
    <row r="239" spans="1:5" x14ac:dyDescent="0.3">
      <c r="A239" s="1">
        <v>43769</v>
      </c>
      <c r="B239">
        <v>1.1152</v>
      </c>
      <c r="C239">
        <v>21.63</v>
      </c>
      <c r="D239">
        <f t="shared" si="6"/>
        <v>1.1173629999999999</v>
      </c>
      <c r="E239" s="4">
        <f t="shared" si="7"/>
        <v>2.0678066312955948E-2</v>
      </c>
    </row>
    <row r="240" spans="1:5" x14ac:dyDescent="0.3">
      <c r="A240" s="1">
        <v>43798</v>
      </c>
      <c r="B240">
        <v>1.1017999999999999</v>
      </c>
      <c r="C240">
        <v>27.69</v>
      </c>
      <c r="D240">
        <f t="shared" si="6"/>
        <v>1.1045689999999999</v>
      </c>
      <c r="E240" s="4">
        <f t="shared" si="7"/>
        <v>-1.3928329468579142E-2</v>
      </c>
    </row>
    <row r="241" spans="1:5" x14ac:dyDescent="0.3">
      <c r="A241" s="1">
        <v>43830</v>
      </c>
      <c r="B241">
        <v>1.1213</v>
      </c>
      <c r="C241">
        <v>21.62</v>
      </c>
      <c r="D241">
        <f t="shared" si="6"/>
        <v>1.123462</v>
      </c>
      <c r="E241" s="4">
        <f t="shared" si="7"/>
        <v>1.5147084518939109E-2</v>
      </c>
    </row>
    <row r="242" spans="1:5" x14ac:dyDescent="0.3">
      <c r="A242" s="1">
        <v>43861</v>
      </c>
      <c r="B242">
        <v>1.1093</v>
      </c>
      <c r="C242">
        <v>19.670000000000002</v>
      </c>
      <c r="D242">
        <f t="shared" si="6"/>
        <v>1.111267</v>
      </c>
      <c r="E242" s="4">
        <f t="shared" si="7"/>
        <v>-1.2605677806636992E-2</v>
      </c>
    </row>
    <row r="243" spans="1:5" x14ac:dyDescent="0.3">
      <c r="A243" s="1">
        <v>43889</v>
      </c>
      <c r="B243">
        <v>1.1026</v>
      </c>
      <c r="C243">
        <v>21.15</v>
      </c>
      <c r="D243">
        <f t="shared" si="6"/>
        <v>1.1047150000000001</v>
      </c>
      <c r="E243" s="4">
        <f t="shared" si="7"/>
        <v>-7.7992057714302504E-3</v>
      </c>
    </row>
    <row r="244" spans="1:5" x14ac:dyDescent="0.3">
      <c r="A244" s="1">
        <v>43921</v>
      </c>
      <c r="B244">
        <v>1.1031</v>
      </c>
      <c r="C244">
        <v>13.64</v>
      </c>
      <c r="D244">
        <f t="shared" si="6"/>
        <v>1.1044639999999999</v>
      </c>
      <c r="E244" s="4">
        <f t="shared" si="7"/>
        <v>-1.461915516671851E-3</v>
      </c>
    </row>
    <row r="245" spans="1:5" x14ac:dyDescent="0.3">
      <c r="A245" s="1">
        <v>43951</v>
      </c>
      <c r="B245">
        <v>1.0954999999999999</v>
      </c>
      <c r="C245">
        <v>6.5</v>
      </c>
      <c r="D245">
        <f t="shared" si="6"/>
        <v>1.09615</v>
      </c>
      <c r="E245" s="4">
        <f t="shared" si="7"/>
        <v>-8.116154080169179E-3</v>
      </c>
    </row>
    <row r="246" spans="1:5" x14ac:dyDescent="0.3">
      <c r="A246" s="1">
        <v>43980</v>
      </c>
      <c r="B246">
        <v>1.1101000000000001</v>
      </c>
      <c r="C246">
        <v>6.75</v>
      </c>
      <c r="D246">
        <f t="shared" si="6"/>
        <v>1.1107750000000001</v>
      </c>
      <c r="E246" s="4">
        <f t="shared" si="7"/>
        <v>1.2726360443370095E-2</v>
      </c>
    </row>
    <row r="247" spans="1:5" x14ac:dyDescent="0.3">
      <c r="A247" s="1">
        <v>44012</v>
      </c>
      <c r="B247">
        <v>1.1234</v>
      </c>
      <c r="C247">
        <v>7.77</v>
      </c>
      <c r="D247">
        <f t="shared" si="6"/>
        <v>1.124177</v>
      </c>
      <c r="E247" s="4">
        <f t="shared" si="7"/>
        <v>1.1365938196304279E-2</v>
      </c>
    </row>
    <row r="248" spans="1:5" x14ac:dyDescent="0.3">
      <c r="A248" s="1">
        <v>44043</v>
      </c>
      <c r="B248">
        <v>1.1778</v>
      </c>
      <c r="C248">
        <v>7.72</v>
      </c>
      <c r="D248">
        <f t="shared" si="6"/>
        <v>1.178572</v>
      </c>
      <c r="E248" s="4">
        <f t="shared" si="7"/>
        <v>4.7699783930822262E-2</v>
      </c>
    </row>
    <row r="249" spans="1:5" x14ac:dyDescent="0.3">
      <c r="A249" s="1">
        <v>44074</v>
      </c>
      <c r="B249">
        <v>1.1936</v>
      </c>
      <c r="C249">
        <v>8.07</v>
      </c>
      <c r="D249">
        <f t="shared" si="6"/>
        <v>1.194407</v>
      </c>
      <c r="E249" s="4">
        <f t="shared" si="7"/>
        <v>1.2751024120715613E-2</v>
      </c>
    </row>
    <row r="250" spans="1:5" x14ac:dyDescent="0.3">
      <c r="A250" s="1">
        <v>44104</v>
      </c>
      <c r="B250">
        <v>1.1720999999999999</v>
      </c>
      <c r="C250">
        <v>7.48</v>
      </c>
      <c r="D250">
        <f t="shared" si="6"/>
        <v>1.1728479999999999</v>
      </c>
      <c r="E250" s="4">
        <f t="shared" si="7"/>
        <v>-1.8676213384549886E-2</v>
      </c>
    </row>
    <row r="251" spans="1:5" x14ac:dyDescent="0.3">
      <c r="A251" s="1">
        <v>44134</v>
      </c>
      <c r="B251">
        <v>1.1647000000000001</v>
      </c>
      <c r="C251">
        <v>7.67</v>
      </c>
      <c r="D251">
        <f t="shared" si="6"/>
        <v>1.165467</v>
      </c>
      <c r="E251" s="4">
        <f t="shared" si="7"/>
        <v>-6.9471917929687585E-3</v>
      </c>
    </row>
    <row r="252" spans="1:5" x14ac:dyDescent="0.3">
      <c r="A252" s="1">
        <v>44165</v>
      </c>
      <c r="B252">
        <v>1.1927000000000001</v>
      </c>
      <c r="C252">
        <v>13.7</v>
      </c>
      <c r="D252">
        <f t="shared" si="6"/>
        <v>1.1940700000000002</v>
      </c>
      <c r="E252" s="4">
        <f t="shared" si="7"/>
        <v>2.3366598968482217E-2</v>
      </c>
    </row>
    <row r="253" spans="1:5" x14ac:dyDescent="0.3">
      <c r="A253" s="1">
        <v>44196</v>
      </c>
      <c r="B253">
        <v>1.2216</v>
      </c>
      <c r="C253">
        <v>9.14</v>
      </c>
      <c r="D253">
        <f t="shared" si="6"/>
        <v>1.2225140000000001</v>
      </c>
      <c r="E253" s="4">
        <f t="shared" si="7"/>
        <v>2.3055599755458078E-2</v>
      </c>
    </row>
    <row r="254" spans="1:5" x14ac:dyDescent="0.3">
      <c r="A254" s="1">
        <v>44225</v>
      </c>
      <c r="B254">
        <v>1.2136</v>
      </c>
      <c r="C254">
        <v>7.33</v>
      </c>
      <c r="D254">
        <f t="shared" si="6"/>
        <v>1.2143330000000001</v>
      </c>
      <c r="E254" s="4">
        <f t="shared" si="7"/>
        <v>-7.2915320397149543E-3</v>
      </c>
    </row>
    <row r="255" spans="1:5" x14ac:dyDescent="0.3">
      <c r="A255" s="1">
        <v>44253</v>
      </c>
      <c r="B255">
        <v>1.2075</v>
      </c>
      <c r="C255">
        <v>9.9600000000000009</v>
      </c>
      <c r="D255">
        <f t="shared" si="6"/>
        <v>1.208496</v>
      </c>
      <c r="E255" s="4">
        <f t="shared" si="7"/>
        <v>-5.6269573502491397E-3</v>
      </c>
    </row>
    <row r="256" spans="1:5" x14ac:dyDescent="0.3">
      <c r="A256" s="1">
        <v>44286</v>
      </c>
      <c r="B256">
        <v>1.173</v>
      </c>
      <c r="C256">
        <v>7.29</v>
      </c>
      <c r="D256">
        <f t="shared" si="6"/>
        <v>1.173729</v>
      </c>
      <c r="E256" s="4">
        <f t="shared" si="7"/>
        <v>-2.9372045914922325E-2</v>
      </c>
    </row>
    <row r="257" spans="1:5" x14ac:dyDescent="0.3">
      <c r="A257" s="1">
        <v>44316</v>
      </c>
      <c r="B257">
        <v>1.202</v>
      </c>
      <c r="C257">
        <v>7.27</v>
      </c>
      <c r="D257">
        <f t="shared" si="6"/>
        <v>1.2027269999999999</v>
      </c>
      <c r="E257" s="4">
        <f t="shared" si="7"/>
        <v>2.4086479928501329E-2</v>
      </c>
    </row>
    <row r="258" spans="1:5" x14ac:dyDescent="0.3">
      <c r="A258" s="1">
        <v>44347</v>
      </c>
      <c r="B258">
        <v>1.2226999999999999</v>
      </c>
      <c r="C258">
        <v>7.06</v>
      </c>
      <c r="D258">
        <f t="shared" si="6"/>
        <v>1.223406</v>
      </c>
      <c r="E258" s="4">
        <f t="shared" si="7"/>
        <v>1.6606428557769153E-2</v>
      </c>
    </row>
    <row r="259" spans="1:5" x14ac:dyDescent="0.3">
      <c r="A259" s="1">
        <v>44377</v>
      </c>
      <c r="B259">
        <v>1.1858</v>
      </c>
      <c r="C259">
        <v>7.52</v>
      </c>
      <c r="D259">
        <f t="shared" ref="D259:D290" si="8">B259+C259/10^4</f>
        <v>1.1865520000000001</v>
      </c>
      <c r="E259" s="4">
        <f t="shared" si="7"/>
        <v>-3.0738773555140344E-2</v>
      </c>
    </row>
    <row r="260" spans="1:5" x14ac:dyDescent="0.3">
      <c r="A260" s="1">
        <v>44407</v>
      </c>
      <c r="B260">
        <v>1.1870000000000001</v>
      </c>
      <c r="C260">
        <v>7.04</v>
      </c>
      <c r="D260">
        <f t="shared" si="8"/>
        <v>1.1877040000000001</v>
      </c>
      <c r="E260" s="4">
        <f t="shared" ref="E260:E291" si="9">(B260-D259)/D259</f>
        <v>3.7756457365543521E-4</v>
      </c>
    </row>
    <row r="261" spans="1:5" x14ac:dyDescent="0.3">
      <c r="A261" s="1">
        <v>44439</v>
      </c>
      <c r="B261">
        <v>1.1809000000000001</v>
      </c>
      <c r="C261">
        <v>7.46</v>
      </c>
      <c r="D261">
        <f t="shared" si="8"/>
        <v>1.181646</v>
      </c>
      <c r="E261" s="4">
        <f t="shared" si="9"/>
        <v>-5.7287000801546778E-3</v>
      </c>
    </row>
    <row r="262" spans="1:5" x14ac:dyDescent="0.3">
      <c r="A262" s="1">
        <v>44469</v>
      </c>
      <c r="B262">
        <v>1.1579999999999999</v>
      </c>
      <c r="C262">
        <v>6.73</v>
      </c>
      <c r="D262">
        <f t="shared" si="8"/>
        <v>1.1586729999999998</v>
      </c>
      <c r="E262" s="4">
        <f t="shared" si="9"/>
        <v>-2.0011069305020331E-2</v>
      </c>
    </row>
    <row r="263" spans="1:5" x14ac:dyDescent="0.3">
      <c r="A263" s="1">
        <v>44498</v>
      </c>
      <c r="B263">
        <v>1.1557999999999999</v>
      </c>
      <c r="C263">
        <v>6.74</v>
      </c>
      <c r="D263">
        <f t="shared" si="8"/>
        <v>1.156474</v>
      </c>
      <c r="E263" s="4">
        <f t="shared" si="9"/>
        <v>-2.4795606698351509E-3</v>
      </c>
    </row>
    <row r="264" spans="1:5" x14ac:dyDescent="0.3">
      <c r="A264" s="1">
        <v>44530</v>
      </c>
      <c r="B264">
        <v>1.1337999999999999</v>
      </c>
      <c r="C264">
        <v>16.38</v>
      </c>
      <c r="D264">
        <f t="shared" si="8"/>
        <v>1.1354379999999999</v>
      </c>
      <c r="E264" s="4">
        <f t="shared" si="9"/>
        <v>-1.9606147652260306E-2</v>
      </c>
    </row>
    <row r="265" spans="1:5" x14ac:dyDescent="0.3">
      <c r="A265" s="1">
        <v>44561</v>
      </c>
      <c r="B265">
        <v>1.137</v>
      </c>
      <c r="C265">
        <v>7.01</v>
      </c>
      <c r="D265">
        <f t="shared" si="8"/>
        <v>1.1377010000000001</v>
      </c>
      <c r="E265" s="4">
        <f t="shared" si="9"/>
        <v>1.3756805743687136E-3</v>
      </c>
    </row>
    <row r="266" spans="1:5" x14ac:dyDescent="0.3">
      <c r="A266" s="1">
        <v>44592</v>
      </c>
      <c r="B266">
        <v>1.1234999999999999</v>
      </c>
      <c r="C266">
        <v>6.27</v>
      </c>
      <c r="D266">
        <f t="shared" si="8"/>
        <v>1.1241269999999999</v>
      </c>
      <c r="E266" s="4">
        <f t="shared" si="9"/>
        <v>-1.2482189960279659E-2</v>
      </c>
    </row>
    <row r="267" spans="1:5" x14ac:dyDescent="0.3">
      <c r="A267" s="1">
        <v>44620</v>
      </c>
      <c r="B267">
        <v>1.1218999999999999</v>
      </c>
      <c r="C267">
        <v>15.31</v>
      </c>
      <c r="D267">
        <f t="shared" si="8"/>
        <v>1.1234309999999998</v>
      </c>
      <c r="E267" s="4">
        <f t="shared" si="9"/>
        <v>-1.9810928836332363E-3</v>
      </c>
    </row>
    <row r="268" spans="1:5" x14ac:dyDescent="0.3">
      <c r="A268" s="1">
        <v>44651</v>
      </c>
      <c r="B268">
        <v>1.1067</v>
      </c>
      <c r="C268">
        <v>9.8000000000000007</v>
      </c>
      <c r="D268">
        <f t="shared" si="8"/>
        <v>1.10768</v>
      </c>
      <c r="E268" s="4">
        <f t="shared" si="9"/>
        <v>-1.489277045052151E-2</v>
      </c>
    </row>
    <row r="269" spans="1:5" x14ac:dyDescent="0.3">
      <c r="A269" s="1">
        <v>44680</v>
      </c>
      <c r="B269">
        <v>1.0545</v>
      </c>
      <c r="C269">
        <v>13.78</v>
      </c>
      <c r="D269">
        <f t="shared" si="8"/>
        <v>1.0558780000000001</v>
      </c>
      <c r="E269" s="4">
        <f t="shared" si="9"/>
        <v>-4.8010255669507444E-2</v>
      </c>
    </row>
    <row r="270" spans="1:5" x14ac:dyDescent="0.3">
      <c r="A270" s="1">
        <v>44712</v>
      </c>
      <c r="B270">
        <v>1.0733999999999999</v>
      </c>
      <c r="C270">
        <v>17.97</v>
      </c>
      <c r="D270">
        <f t="shared" si="8"/>
        <v>1.075197</v>
      </c>
      <c r="E270" s="4">
        <f t="shared" si="9"/>
        <v>1.6594720223358964E-2</v>
      </c>
    </row>
    <row r="271" spans="1:5" x14ac:dyDescent="0.3">
      <c r="A271" s="1">
        <v>44742</v>
      </c>
      <c r="B271">
        <v>1.0484</v>
      </c>
      <c r="C271">
        <v>21.36</v>
      </c>
      <c r="D271">
        <f t="shared" si="8"/>
        <v>1.0505359999999999</v>
      </c>
      <c r="E271" s="4">
        <f t="shared" si="9"/>
        <v>-2.4922874598794418E-2</v>
      </c>
    </row>
    <row r="272" spans="1:5" x14ac:dyDescent="0.3">
      <c r="A272" s="1">
        <v>44771</v>
      </c>
      <c r="B272">
        <v>1.022</v>
      </c>
      <c r="C272">
        <v>21.85</v>
      </c>
      <c r="D272">
        <f t="shared" si="8"/>
        <v>1.0241850000000001</v>
      </c>
      <c r="E272" s="4">
        <f t="shared" si="9"/>
        <v>-2.7163276651157024E-2</v>
      </c>
    </row>
    <row r="273" spans="1:5" x14ac:dyDescent="0.3">
      <c r="A273" s="1">
        <v>44804</v>
      </c>
      <c r="B273">
        <v>1.0054000000000001</v>
      </c>
      <c r="C273">
        <v>20.47</v>
      </c>
      <c r="D273">
        <f t="shared" si="8"/>
        <v>1.007447</v>
      </c>
      <c r="E273" s="4">
        <f t="shared" si="9"/>
        <v>-1.8341412928328426E-2</v>
      </c>
    </row>
    <row r="274" spans="1:5" x14ac:dyDescent="0.3">
      <c r="A274" s="1">
        <v>44834</v>
      </c>
      <c r="B274">
        <v>0.98019999999999996</v>
      </c>
      <c r="C274">
        <v>20.92</v>
      </c>
      <c r="D274">
        <f t="shared" si="8"/>
        <v>0.98229199999999994</v>
      </c>
      <c r="E274" s="4">
        <f t="shared" si="9"/>
        <v>-2.7045591480246624E-2</v>
      </c>
    </row>
    <row r="275" spans="1:5" x14ac:dyDescent="0.3">
      <c r="A275" s="1">
        <v>44865</v>
      </c>
      <c r="B275">
        <v>0.98819999999999997</v>
      </c>
      <c r="C275">
        <v>20.99</v>
      </c>
      <c r="D275">
        <f t="shared" si="8"/>
        <v>0.99029899999999993</v>
      </c>
      <c r="E275" s="4">
        <f t="shared" si="9"/>
        <v>6.014504851917785E-3</v>
      </c>
    </row>
    <row r="276" spans="1:5" x14ac:dyDescent="0.3">
      <c r="A276" s="1">
        <v>44895</v>
      </c>
      <c r="B276">
        <v>1.0406</v>
      </c>
      <c r="C276">
        <v>29.5</v>
      </c>
      <c r="D276">
        <f t="shared" si="8"/>
        <v>1.04355</v>
      </c>
      <c r="E276" s="4">
        <f t="shared" si="9"/>
        <v>5.0793750170403128E-2</v>
      </c>
    </row>
    <row r="277" spans="1:5" x14ac:dyDescent="0.3">
      <c r="A277" s="1">
        <v>44925</v>
      </c>
      <c r="B277">
        <v>1.0705</v>
      </c>
      <c r="C277">
        <v>23.36</v>
      </c>
      <c r="D277">
        <f t="shared" si="8"/>
        <v>1.0728359999999999</v>
      </c>
      <c r="E277" s="4">
        <f t="shared" si="9"/>
        <v>2.5825307843419128E-2</v>
      </c>
    </row>
    <row r="278" spans="1:5" x14ac:dyDescent="0.3">
      <c r="A278" s="1">
        <v>44957</v>
      </c>
      <c r="B278">
        <v>1.0863</v>
      </c>
      <c r="C278">
        <v>19.7</v>
      </c>
      <c r="D278">
        <f t="shared" si="8"/>
        <v>1.0882700000000001</v>
      </c>
      <c r="E278" s="4">
        <f t="shared" si="9"/>
        <v>1.2549914432401731E-2</v>
      </c>
    </row>
    <row r="279" spans="1:5" x14ac:dyDescent="0.3">
      <c r="A279" s="1">
        <v>44985</v>
      </c>
      <c r="B279">
        <v>1.0576000000000001</v>
      </c>
      <c r="C279">
        <v>20.309999999999999</v>
      </c>
      <c r="D279">
        <f t="shared" si="8"/>
        <v>1.059631</v>
      </c>
      <c r="E279" s="4">
        <f t="shared" si="9"/>
        <v>-2.8182344454960602E-2</v>
      </c>
    </row>
    <row r="280" spans="1:5" x14ac:dyDescent="0.3">
      <c r="A280" s="1">
        <v>45016</v>
      </c>
      <c r="B280">
        <v>1.0839000000000001</v>
      </c>
      <c r="C280">
        <v>18.23</v>
      </c>
      <c r="D280">
        <f t="shared" si="8"/>
        <v>1.085723</v>
      </c>
      <c r="E280" s="4">
        <f t="shared" si="9"/>
        <v>2.290325594475822E-2</v>
      </c>
    </row>
    <row r="281" spans="1:5" x14ac:dyDescent="0.3">
      <c r="A281" s="1">
        <v>45044</v>
      </c>
      <c r="B281">
        <v>1.1019000000000001</v>
      </c>
      <c r="C281">
        <v>20.85</v>
      </c>
      <c r="D281">
        <f t="shared" si="8"/>
        <v>1.103985</v>
      </c>
      <c r="E281" s="4">
        <f t="shared" si="9"/>
        <v>1.4899748830963429E-2</v>
      </c>
    </row>
    <row r="282" spans="1:5" x14ac:dyDescent="0.3">
      <c r="A282" s="1">
        <v>45077</v>
      </c>
      <c r="B282">
        <v>1.0689</v>
      </c>
      <c r="C282">
        <v>19.27</v>
      </c>
      <c r="D282">
        <f t="shared" si="8"/>
        <v>1.070827</v>
      </c>
      <c r="E282" s="4">
        <f t="shared" si="9"/>
        <v>-3.1780323102216096E-2</v>
      </c>
    </row>
    <row r="283" spans="1:5" x14ac:dyDescent="0.3">
      <c r="A283" s="1">
        <v>45107</v>
      </c>
      <c r="B283">
        <v>1.0909</v>
      </c>
      <c r="C283">
        <v>17.63</v>
      </c>
      <c r="D283">
        <f t="shared" si="8"/>
        <v>1.0926629999999999</v>
      </c>
      <c r="E283" s="4">
        <f t="shared" si="9"/>
        <v>1.8745324875073199E-2</v>
      </c>
    </row>
    <row r="284" spans="1:5" x14ac:dyDescent="0.3">
      <c r="A284" s="1">
        <v>45138</v>
      </c>
      <c r="B284">
        <v>1.0996999999999999</v>
      </c>
      <c r="C284">
        <v>17.920000000000002</v>
      </c>
      <c r="D284">
        <f t="shared" si="8"/>
        <v>1.1014919999999999</v>
      </c>
      <c r="E284" s="4">
        <f t="shared" si="9"/>
        <v>6.440229055070008E-3</v>
      </c>
    </row>
    <row r="285" spans="1:5" x14ac:dyDescent="0.3">
      <c r="A285" s="1">
        <v>45169</v>
      </c>
      <c r="B285">
        <v>1.0843</v>
      </c>
      <c r="C285">
        <v>15.69</v>
      </c>
      <c r="D285">
        <f t="shared" si="8"/>
        <v>1.085869</v>
      </c>
      <c r="E285" s="4">
        <f t="shared" si="9"/>
        <v>-1.5607920892752626E-2</v>
      </c>
    </row>
    <row r="286" spans="1:5" x14ac:dyDescent="0.3">
      <c r="A286" s="1">
        <v>45198</v>
      </c>
      <c r="B286">
        <v>1.0572999999999999</v>
      </c>
      <c r="C286">
        <v>13.49</v>
      </c>
      <c r="D286">
        <f t="shared" si="8"/>
        <v>1.058649</v>
      </c>
      <c r="E286" s="4">
        <f t="shared" si="9"/>
        <v>-2.6309803484582457E-2</v>
      </c>
    </row>
    <row r="287" spans="1:5" x14ac:dyDescent="0.3">
      <c r="A287" s="1">
        <v>45230</v>
      </c>
      <c r="B287">
        <v>1.0575000000000001</v>
      </c>
      <c r="C287">
        <v>13.54</v>
      </c>
      <c r="D287">
        <f t="shared" si="8"/>
        <v>1.0588540000000002</v>
      </c>
      <c r="E287" s="4">
        <f t="shared" si="9"/>
        <v>-1.0853455677942781E-3</v>
      </c>
    </row>
    <row r="288" spans="1:5" x14ac:dyDescent="0.3">
      <c r="A288" s="1">
        <v>45260</v>
      </c>
      <c r="B288">
        <v>1.0888</v>
      </c>
      <c r="C288">
        <v>15.84</v>
      </c>
      <c r="D288">
        <f t="shared" si="8"/>
        <v>1.090384</v>
      </c>
      <c r="E288" s="4">
        <f t="shared" si="9"/>
        <v>2.8281519454051079E-2</v>
      </c>
    </row>
    <row r="289" spans="1:5" x14ac:dyDescent="0.3">
      <c r="A289" s="1">
        <v>45289</v>
      </c>
      <c r="B289">
        <v>1.1039000000000001</v>
      </c>
      <c r="C289">
        <v>14.26</v>
      </c>
      <c r="D289">
        <f t="shared" si="8"/>
        <v>1.105326</v>
      </c>
      <c r="E289" s="4">
        <f t="shared" si="9"/>
        <v>1.2395633098064612E-2</v>
      </c>
    </row>
    <row r="290" spans="1:5" x14ac:dyDescent="0.3">
      <c r="A290" s="1">
        <v>45322</v>
      </c>
      <c r="B290">
        <v>1.0818000000000001</v>
      </c>
      <c r="C290">
        <v>13.96</v>
      </c>
      <c r="D290">
        <f t="shared" si="8"/>
        <v>1.083196</v>
      </c>
      <c r="E290" s="4">
        <f t="shared" si="9"/>
        <v>-2.1284218411581683E-2</v>
      </c>
    </row>
    <row r="291" spans="1:5" x14ac:dyDescent="0.3">
      <c r="A291" s="1">
        <v>45351</v>
      </c>
      <c r="B291">
        <v>1.0805</v>
      </c>
      <c r="C291">
        <v>13.65</v>
      </c>
      <c r="D291">
        <f t="shared" ref="D291:D310" si="10">B291+C291/10^4</f>
        <v>1.0818650000000001</v>
      </c>
      <c r="E291" s="4">
        <f t="shared" si="9"/>
        <v>-2.4889309044716112E-3</v>
      </c>
    </row>
    <row r="292" spans="1:5" x14ac:dyDescent="0.3">
      <c r="A292" s="1">
        <v>45380</v>
      </c>
      <c r="B292">
        <v>1.079</v>
      </c>
      <c r="C292">
        <v>13.02</v>
      </c>
      <c r="D292">
        <f t="shared" si="10"/>
        <v>1.0803019999999999</v>
      </c>
      <c r="E292" s="4">
        <f t="shared" ref="E292:E310" si="11">(B292-D291)/D291</f>
        <v>-2.6482047205521179E-3</v>
      </c>
    </row>
    <row r="293" spans="1:5" x14ac:dyDescent="0.3">
      <c r="A293" s="1">
        <v>45412</v>
      </c>
      <c r="B293">
        <v>1.0666</v>
      </c>
      <c r="C293">
        <v>13.17</v>
      </c>
      <c r="D293">
        <f t="shared" si="10"/>
        <v>1.067917</v>
      </c>
      <c r="E293" s="4">
        <f t="shared" si="11"/>
        <v>-1.2683490357325898E-2</v>
      </c>
    </row>
    <row r="294" spans="1:5" x14ac:dyDescent="0.3">
      <c r="A294" s="1">
        <v>45443</v>
      </c>
      <c r="B294">
        <v>1.0848</v>
      </c>
      <c r="C294">
        <v>14.82</v>
      </c>
      <c r="D294">
        <f t="shared" si="10"/>
        <v>1.086282</v>
      </c>
      <c r="E294" s="4">
        <f t="shared" si="11"/>
        <v>1.5809281058359388E-2</v>
      </c>
    </row>
    <row r="295" spans="1:5" x14ac:dyDescent="0.3">
      <c r="A295" s="1">
        <v>45471</v>
      </c>
      <c r="B295">
        <v>1.0712999999999999</v>
      </c>
      <c r="C295">
        <v>15.61</v>
      </c>
      <c r="D295">
        <f t="shared" si="10"/>
        <v>1.0728609999999998</v>
      </c>
      <c r="E295" s="4">
        <f t="shared" si="11"/>
        <v>-1.379199876275226E-2</v>
      </c>
    </row>
    <row r="296" spans="1:5" x14ac:dyDescent="0.3">
      <c r="A296" s="1">
        <v>45504</v>
      </c>
      <c r="B296">
        <v>1.0826</v>
      </c>
      <c r="C296">
        <v>16.100000000000001</v>
      </c>
      <c r="D296">
        <f t="shared" si="10"/>
        <v>1.0842099999999999</v>
      </c>
      <c r="E296" s="4">
        <f t="shared" si="11"/>
        <v>9.0775971910621832E-3</v>
      </c>
    </row>
    <row r="297" spans="1:5" x14ac:dyDescent="0.3">
      <c r="A297" s="1">
        <v>45534</v>
      </c>
      <c r="B297">
        <v>1.1048</v>
      </c>
      <c r="C297">
        <v>15.15</v>
      </c>
      <c r="D297">
        <f t="shared" si="10"/>
        <v>1.1063149999999999</v>
      </c>
      <c r="E297" s="4">
        <f t="shared" si="11"/>
        <v>1.8990785917857342E-2</v>
      </c>
    </row>
    <row r="298" spans="1:5" x14ac:dyDescent="0.3">
      <c r="A298" s="1">
        <v>45565</v>
      </c>
      <c r="B298">
        <v>1.1134999999999999</v>
      </c>
      <c r="C298">
        <v>15.33</v>
      </c>
      <c r="D298">
        <f t="shared" si="10"/>
        <v>1.1150329999999999</v>
      </c>
      <c r="E298" s="4">
        <f t="shared" si="11"/>
        <v>6.4945336545197321E-3</v>
      </c>
    </row>
    <row r="299" spans="1:5" x14ac:dyDescent="0.3">
      <c r="A299" s="1">
        <v>45596</v>
      </c>
      <c r="B299">
        <v>1.0884</v>
      </c>
      <c r="C299">
        <v>13.28</v>
      </c>
      <c r="D299">
        <f t="shared" si="10"/>
        <v>1.089728</v>
      </c>
      <c r="E299" s="4">
        <f t="shared" si="11"/>
        <v>-2.3885391732800652E-2</v>
      </c>
    </row>
    <row r="300" spans="1:5" x14ac:dyDescent="0.3">
      <c r="A300" s="1">
        <v>45625</v>
      </c>
      <c r="B300">
        <v>1.0577000000000001</v>
      </c>
      <c r="C300">
        <v>14.6</v>
      </c>
      <c r="D300">
        <f t="shared" si="10"/>
        <v>1.0591600000000001</v>
      </c>
      <c r="E300" s="4">
        <f t="shared" si="11"/>
        <v>-2.939082046161973E-2</v>
      </c>
    </row>
    <row r="301" spans="1:5" x14ac:dyDescent="0.3">
      <c r="A301" s="1">
        <v>45657</v>
      </c>
      <c r="B301">
        <v>1.0354000000000001</v>
      </c>
      <c r="C301">
        <v>12.73</v>
      </c>
      <c r="D301">
        <f t="shared" si="10"/>
        <v>1.0366730000000002</v>
      </c>
      <c r="E301" s="4">
        <f t="shared" si="11"/>
        <v>-2.2432871331998942E-2</v>
      </c>
    </row>
    <row r="302" spans="1:5" x14ac:dyDescent="0.3">
      <c r="A302" s="1">
        <v>45688</v>
      </c>
      <c r="B302">
        <v>1.0362</v>
      </c>
      <c r="C302">
        <v>13.18</v>
      </c>
      <c r="D302">
        <f t="shared" si="10"/>
        <v>1.0375179999999999</v>
      </c>
      <c r="E302" s="4">
        <f t="shared" si="11"/>
        <v>-4.5626730897801684E-4</v>
      </c>
    </row>
    <row r="303" spans="1:5" x14ac:dyDescent="0.3">
      <c r="A303" s="1">
        <v>45716</v>
      </c>
      <c r="B303">
        <v>1.0375000000000001</v>
      </c>
      <c r="C303">
        <v>16.32</v>
      </c>
      <c r="D303">
        <f t="shared" si="10"/>
        <v>1.0391320000000002</v>
      </c>
      <c r="E303" s="4">
        <f t="shared" si="11"/>
        <v>-1.7349096593843644E-5</v>
      </c>
    </row>
    <row r="304" spans="1:5" x14ac:dyDescent="0.3">
      <c r="A304" s="1">
        <v>45747</v>
      </c>
      <c r="B304">
        <v>1.0815999999999999</v>
      </c>
      <c r="C304">
        <v>17.52</v>
      </c>
      <c r="D304">
        <f t="shared" si="10"/>
        <v>1.0833519999999999</v>
      </c>
      <c r="E304" s="4">
        <f t="shared" si="11"/>
        <v>4.0868725051292541E-2</v>
      </c>
    </row>
    <row r="305" spans="1:5" x14ac:dyDescent="0.3">
      <c r="A305" s="1">
        <v>45777</v>
      </c>
      <c r="B305">
        <v>1.1328</v>
      </c>
      <c r="C305">
        <v>21.21</v>
      </c>
      <c r="D305">
        <f t="shared" si="10"/>
        <v>1.1349210000000001</v>
      </c>
      <c r="E305" s="4">
        <f t="shared" si="11"/>
        <v>4.5643521219326834E-2</v>
      </c>
    </row>
    <row r="306" spans="1:5" x14ac:dyDescent="0.3">
      <c r="A306" s="1">
        <v>45807</v>
      </c>
      <c r="B306">
        <v>1.1347</v>
      </c>
      <c r="C306">
        <v>21.92</v>
      </c>
      <c r="D306">
        <f t="shared" si="10"/>
        <v>1.136892</v>
      </c>
      <c r="E306" s="4">
        <f t="shared" si="11"/>
        <v>-1.9472721008777414E-4</v>
      </c>
    </row>
    <row r="307" spans="1:5" x14ac:dyDescent="0.3">
      <c r="A307" s="1">
        <v>45838</v>
      </c>
      <c r="B307">
        <v>1.1787000000000001</v>
      </c>
      <c r="C307">
        <v>25.69</v>
      </c>
      <c r="D307">
        <f t="shared" si="10"/>
        <v>1.1812690000000001</v>
      </c>
      <c r="E307" s="4">
        <f t="shared" si="11"/>
        <v>3.6773941588119245E-2</v>
      </c>
    </row>
    <row r="308" spans="1:5" x14ac:dyDescent="0.3">
      <c r="A308" s="1">
        <v>45869</v>
      </c>
      <c r="B308">
        <v>1.1415</v>
      </c>
      <c r="C308">
        <v>23.52</v>
      </c>
      <c r="D308">
        <f t="shared" si="10"/>
        <v>1.1438519999999999</v>
      </c>
      <c r="E308" s="4">
        <f t="shared" si="11"/>
        <v>-3.3666336795429457E-2</v>
      </c>
    </row>
    <row r="309" spans="1:5" x14ac:dyDescent="0.3">
      <c r="A309" s="1">
        <v>45898</v>
      </c>
      <c r="B309">
        <v>1.1686000000000001</v>
      </c>
      <c r="C309">
        <v>22.54</v>
      </c>
      <c r="D309">
        <f t="shared" si="10"/>
        <v>1.1708540000000001</v>
      </c>
      <c r="E309" s="4">
        <f t="shared" si="11"/>
        <v>2.1635666152614339E-2</v>
      </c>
    </row>
    <row r="310" spans="1:5" x14ac:dyDescent="0.3">
      <c r="A310" s="1">
        <v>45930</v>
      </c>
      <c r="B310">
        <v>1.1734</v>
      </c>
      <c r="C310">
        <v>22.83</v>
      </c>
      <c r="D310">
        <f t="shared" si="10"/>
        <v>1.175683</v>
      </c>
      <c r="E310" s="4">
        <f t="shared" si="11"/>
        <v>2.1744811906522395E-3</v>
      </c>
    </row>
    <row r="311" spans="1:5" x14ac:dyDescent="0.3">
      <c r="A311" s="1">
        <v>45961</v>
      </c>
      <c r="B311">
        <v>1.1536999999999999</v>
      </c>
      <c r="C311">
        <v>19.52</v>
      </c>
      <c r="D311">
        <f>'CHFUSD Curncy'!J6+C311/10^4</f>
        <v>1.952E-3</v>
      </c>
      <c r="E311" s="4">
        <f>('CHFUSD Curncy'!J6-D310)/D310</f>
        <v>-1</v>
      </c>
    </row>
    <row r="312" spans="1:5" x14ac:dyDescent="0.3">
      <c r="A312" s="1"/>
    </row>
    <row r="313" spans="1:5" x14ac:dyDescent="0.3">
      <c r="A313" s="1"/>
    </row>
    <row r="314" spans="1:5" x14ac:dyDescent="0.3">
      <c r="A314" s="1"/>
    </row>
    <row r="315" spans="1:5" x14ac:dyDescent="0.3">
      <c r="A315" s="1"/>
    </row>
    <row r="316" spans="1:5" x14ac:dyDescent="0.3">
      <c r="A316" s="1"/>
    </row>
    <row r="317" spans="1:5" x14ac:dyDescent="0.3">
      <c r="A317" s="1"/>
    </row>
    <row r="318" spans="1:5" x14ac:dyDescent="0.3">
      <c r="A318" s="1"/>
    </row>
    <row r="319" spans="1:5" x14ac:dyDescent="0.3">
      <c r="A319" s="1"/>
    </row>
    <row r="320" spans="1:5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</sheetData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499984740745262"/>
  </sheetPr>
  <dimension ref="A1:K491"/>
  <sheetViews>
    <sheetView workbookViewId="0">
      <selection activeCell="I12" sqref="I12"/>
    </sheetView>
  </sheetViews>
  <sheetFormatPr defaultColWidth="8.77734375" defaultRowHeight="14.4" x14ac:dyDescent="0.3"/>
  <cols>
    <col min="1" max="1" width="10.109375" customWidth="1"/>
    <col min="2" max="2" width="11.109375" customWidth="1"/>
    <col min="3" max="3" width="12" customWidth="1"/>
    <col min="4" max="4" width="11.77734375" bestFit="1" customWidth="1"/>
    <col min="5" max="5" width="13.33203125" customWidth="1"/>
    <col min="6" max="6" width="13.6640625" customWidth="1"/>
    <col min="7" max="7" width="10.33203125" customWidth="1"/>
  </cols>
  <sheetData>
    <row r="1" spans="1:11" x14ac:dyDescent="0.3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s="3"/>
    </row>
    <row r="2" spans="1:11" x14ac:dyDescent="0.3">
      <c r="A2" s="1">
        <v>32507</v>
      </c>
      <c r="B2">
        <v>7.9970000000000006E-3</v>
      </c>
      <c r="C2">
        <f>1/B2</f>
        <v>125.04689258471926</v>
      </c>
      <c r="D2">
        <v>-35</v>
      </c>
      <c r="E2">
        <f>C2+D2/10^2</f>
        <v>124.69689258471927</v>
      </c>
      <c r="F2">
        <f>1/E2</f>
        <v>8.019446028461363E-3</v>
      </c>
    </row>
    <row r="3" spans="1:11" x14ac:dyDescent="0.3">
      <c r="A3" s="1">
        <v>32539</v>
      </c>
      <c r="B3">
        <v>7.6629999999999997E-3</v>
      </c>
      <c r="C3">
        <f t="shared" ref="C3:C66" si="0">1/B3</f>
        <v>130.49719431032233</v>
      </c>
      <c r="D3">
        <v>-37</v>
      </c>
      <c r="E3">
        <f t="shared" ref="E3:E66" si="1">C3+D3/10^2</f>
        <v>130.12719431032232</v>
      </c>
      <c r="F3">
        <f t="shared" ref="F3:F66" si="2">1/E3</f>
        <v>7.6847887584146207E-3</v>
      </c>
      <c r="G3" s="4">
        <f>(B3-F2)/(F2)</f>
        <v>-4.4447712123296401E-2</v>
      </c>
      <c r="K3" s="2"/>
    </row>
    <row r="4" spans="1:11" x14ac:dyDescent="0.3">
      <c r="A4" s="1">
        <v>32567</v>
      </c>
      <c r="B4">
        <v>7.8820000000000001E-3</v>
      </c>
      <c r="C4">
        <f t="shared" si="0"/>
        <v>126.8713524486171</v>
      </c>
      <c r="D4">
        <v>-54</v>
      </c>
      <c r="E4">
        <f t="shared" si="1"/>
        <v>126.3313524486171</v>
      </c>
      <c r="F4">
        <f t="shared" si="2"/>
        <v>7.9156913989876839E-3</v>
      </c>
      <c r="G4" s="4">
        <f t="shared" ref="G4:G67" si="3">(B4-F3)/(F3)</f>
        <v>2.5662545553960584E-2</v>
      </c>
    </row>
    <row r="5" spans="1:11" x14ac:dyDescent="0.3">
      <c r="A5" s="1">
        <v>32598</v>
      </c>
      <c r="B5">
        <v>7.5319999999999996E-3</v>
      </c>
      <c r="C5">
        <f t="shared" si="0"/>
        <v>132.7668613913967</v>
      </c>
      <c r="D5">
        <v>-73.28</v>
      </c>
      <c r="E5">
        <f t="shared" si="1"/>
        <v>132.0340613913967</v>
      </c>
      <c r="F5">
        <f t="shared" si="2"/>
        <v>7.573803225181708E-3</v>
      </c>
      <c r="G5" s="4">
        <f t="shared" si="3"/>
        <v>-4.8472253357016104E-2</v>
      </c>
    </row>
    <row r="6" spans="1:11" x14ac:dyDescent="0.3">
      <c r="A6" s="1">
        <v>32626</v>
      </c>
      <c r="B6">
        <v>7.5269999999999998E-3</v>
      </c>
      <c r="C6">
        <f t="shared" si="0"/>
        <v>132.85505513484787</v>
      </c>
      <c r="D6">
        <v>-59.05</v>
      </c>
      <c r="E6">
        <f t="shared" si="1"/>
        <v>132.26455513484788</v>
      </c>
      <c r="F6">
        <f t="shared" si="2"/>
        <v>7.5606045699882973E-3</v>
      </c>
      <c r="G6" s="4">
        <f t="shared" si="3"/>
        <v>-6.1796199069570146E-3</v>
      </c>
    </row>
    <row r="7" spans="1:11" x14ac:dyDescent="0.3">
      <c r="A7" s="1">
        <v>32659</v>
      </c>
      <c r="B7">
        <v>7.0260000000000001E-3</v>
      </c>
      <c r="C7">
        <f t="shared" si="0"/>
        <v>142.32849416453175</v>
      </c>
      <c r="D7">
        <v>-56.91</v>
      </c>
      <c r="E7">
        <f t="shared" si="1"/>
        <v>141.75939416453176</v>
      </c>
      <c r="F7">
        <f t="shared" si="2"/>
        <v>7.0542062195847076E-3</v>
      </c>
      <c r="G7" s="4">
        <f t="shared" si="3"/>
        <v>-7.0709235622558778E-2</v>
      </c>
    </row>
    <row r="8" spans="1:11" x14ac:dyDescent="0.3">
      <c r="A8" s="1">
        <v>32689</v>
      </c>
      <c r="B8">
        <v>6.9439999999999997E-3</v>
      </c>
      <c r="C8">
        <f t="shared" si="0"/>
        <v>144.00921658986175</v>
      </c>
      <c r="D8">
        <v>-52.58</v>
      </c>
      <c r="E8">
        <f t="shared" si="1"/>
        <v>143.48341658986175</v>
      </c>
      <c r="F8">
        <f t="shared" si="2"/>
        <v>6.9694465309425736E-3</v>
      </c>
      <c r="G8" s="4">
        <f t="shared" si="3"/>
        <v>-1.5622766921491546E-2</v>
      </c>
    </row>
    <row r="9" spans="1:11" x14ac:dyDescent="0.3">
      <c r="A9" s="1">
        <v>32720</v>
      </c>
      <c r="B9">
        <v>7.3020000000000003E-3</v>
      </c>
      <c r="C9">
        <f t="shared" si="0"/>
        <v>136.94878115584771</v>
      </c>
      <c r="D9">
        <v>-43.5</v>
      </c>
      <c r="E9">
        <f t="shared" si="1"/>
        <v>136.51378115584771</v>
      </c>
      <c r="F9">
        <f t="shared" si="2"/>
        <v>7.3252677607572366E-3</v>
      </c>
      <c r="G9" s="4">
        <f t="shared" si="3"/>
        <v>4.7715907939170459E-2</v>
      </c>
    </row>
    <row r="10" spans="1:11" x14ac:dyDescent="0.3">
      <c r="A10" s="1">
        <v>32751</v>
      </c>
      <c r="B10">
        <v>6.9160000000000003E-3</v>
      </c>
      <c r="C10">
        <f t="shared" si="0"/>
        <v>144.59224985540774</v>
      </c>
      <c r="D10">
        <v>-39.840000000000003</v>
      </c>
      <c r="E10">
        <f t="shared" si="1"/>
        <v>144.19384985540773</v>
      </c>
      <c r="F10">
        <f t="shared" si="2"/>
        <v>6.9351085431366387E-3</v>
      </c>
      <c r="G10" s="4">
        <f t="shared" si="3"/>
        <v>-5.5870689526157202E-2</v>
      </c>
    </row>
    <row r="11" spans="1:11" x14ac:dyDescent="0.3">
      <c r="A11" s="1">
        <v>32780</v>
      </c>
      <c r="B11">
        <v>7.1630000000000001E-3</v>
      </c>
      <c r="C11">
        <f t="shared" si="0"/>
        <v>139.60631020522126</v>
      </c>
      <c r="D11">
        <v>-41.72</v>
      </c>
      <c r="E11">
        <f t="shared" si="1"/>
        <v>139.18911020522125</v>
      </c>
      <c r="F11">
        <f t="shared" si="2"/>
        <v>7.1844700962998762E-3</v>
      </c>
      <c r="G11" s="4">
        <f t="shared" si="3"/>
        <v>3.2860546514285667E-2</v>
      </c>
    </row>
    <row r="12" spans="1:11" x14ac:dyDescent="0.3">
      <c r="A12" s="1">
        <v>32812</v>
      </c>
      <c r="B12">
        <v>7.0060000000000001E-3</v>
      </c>
      <c r="C12">
        <f t="shared" si="0"/>
        <v>142.73479874393377</v>
      </c>
      <c r="D12">
        <v>-29.89</v>
      </c>
      <c r="E12">
        <f t="shared" si="1"/>
        <v>142.43589874393376</v>
      </c>
      <c r="F12">
        <f t="shared" si="2"/>
        <v>7.0207020057335735E-3</v>
      </c>
      <c r="G12" s="4">
        <f t="shared" si="3"/>
        <v>-2.4841093902219901E-2</v>
      </c>
    </row>
    <row r="13" spans="1:11" x14ac:dyDescent="0.3">
      <c r="A13" s="1">
        <v>32842</v>
      </c>
      <c r="B13">
        <v>6.9969999999999997E-3</v>
      </c>
      <c r="C13">
        <f t="shared" si="0"/>
        <v>142.91839359725597</v>
      </c>
      <c r="D13">
        <v>-24.89</v>
      </c>
      <c r="E13">
        <f t="shared" si="1"/>
        <v>142.66949359725598</v>
      </c>
      <c r="F13">
        <f t="shared" si="2"/>
        <v>7.0092069074199998E-3</v>
      </c>
      <c r="G13" s="4">
        <f t="shared" si="3"/>
        <v>-3.3760164886954529E-3</v>
      </c>
    </row>
    <row r="14" spans="1:11" x14ac:dyDescent="0.3">
      <c r="A14" s="1">
        <v>32871</v>
      </c>
      <c r="B14">
        <v>6.9540000000000001E-3</v>
      </c>
      <c r="C14">
        <f t="shared" si="0"/>
        <v>143.80212827149842</v>
      </c>
      <c r="D14">
        <v>-9</v>
      </c>
      <c r="E14">
        <f t="shared" si="1"/>
        <v>143.71212827149841</v>
      </c>
      <c r="F14">
        <f t="shared" si="2"/>
        <v>6.9583549560327832E-3</v>
      </c>
      <c r="G14" s="4">
        <f t="shared" si="3"/>
        <v>-7.8763415246819561E-3</v>
      </c>
    </row>
    <row r="15" spans="1:11" x14ac:dyDescent="0.3">
      <c r="A15" s="1">
        <v>32904</v>
      </c>
      <c r="B15">
        <v>6.9179999999999997E-3</v>
      </c>
      <c r="C15">
        <f t="shared" si="0"/>
        <v>144.55044810638913</v>
      </c>
      <c r="D15">
        <v>-17.13</v>
      </c>
      <c r="E15">
        <f t="shared" si="1"/>
        <v>144.37914810638912</v>
      </c>
      <c r="F15">
        <f t="shared" si="2"/>
        <v>6.9262079262521125E-3</v>
      </c>
      <c r="G15" s="4">
        <f t="shared" si="3"/>
        <v>-5.7994966177740718E-3</v>
      </c>
    </row>
    <row r="16" spans="1:11" x14ac:dyDescent="0.3">
      <c r="A16" s="1">
        <v>32932</v>
      </c>
      <c r="B16">
        <v>6.7200000000000003E-3</v>
      </c>
      <c r="C16">
        <f t="shared" si="0"/>
        <v>148.8095238095238</v>
      </c>
      <c r="D16">
        <v>-16.47</v>
      </c>
      <c r="E16">
        <f t="shared" si="1"/>
        <v>148.64482380952379</v>
      </c>
      <c r="F16">
        <f t="shared" si="2"/>
        <v>6.7274458294048533E-3</v>
      </c>
      <c r="G16" s="4">
        <f t="shared" si="3"/>
        <v>-2.9772124725065081E-2</v>
      </c>
    </row>
    <row r="17" spans="1:7" x14ac:dyDescent="0.3">
      <c r="A17" s="1">
        <v>32962</v>
      </c>
      <c r="B17">
        <v>6.3359999999999996E-3</v>
      </c>
      <c r="C17">
        <f t="shared" si="0"/>
        <v>157.82828282828285</v>
      </c>
      <c r="D17">
        <v>-12.02</v>
      </c>
      <c r="E17">
        <f t="shared" si="1"/>
        <v>157.70808282828284</v>
      </c>
      <c r="F17">
        <f t="shared" si="2"/>
        <v>6.3408290942755874E-3</v>
      </c>
      <c r="G17" s="4">
        <f t="shared" si="3"/>
        <v>-5.8186396342857376E-2</v>
      </c>
    </row>
    <row r="18" spans="1:7" x14ac:dyDescent="0.3">
      <c r="A18" s="1">
        <v>32993</v>
      </c>
      <c r="B18">
        <v>6.2950000000000002E-3</v>
      </c>
      <c r="C18">
        <f t="shared" si="0"/>
        <v>158.85623510722795</v>
      </c>
      <c r="D18">
        <v>-17.16</v>
      </c>
      <c r="E18">
        <f t="shared" si="1"/>
        <v>158.68463510722793</v>
      </c>
      <c r="F18">
        <f t="shared" si="2"/>
        <v>6.3018073509402486E-3</v>
      </c>
      <c r="G18" s="4">
        <f t="shared" si="3"/>
        <v>-7.2276185959594848E-3</v>
      </c>
    </row>
    <row r="19" spans="1:7" x14ac:dyDescent="0.3">
      <c r="A19" s="1">
        <v>33024</v>
      </c>
      <c r="B19">
        <v>6.5510000000000004E-3</v>
      </c>
      <c r="C19">
        <f t="shared" si="0"/>
        <v>152.64845061822621</v>
      </c>
      <c r="D19">
        <v>-11.58</v>
      </c>
      <c r="E19">
        <f t="shared" si="1"/>
        <v>152.5326506182262</v>
      </c>
      <c r="F19">
        <f t="shared" si="2"/>
        <v>6.5559733994454659E-3</v>
      </c>
      <c r="G19" s="4">
        <f t="shared" si="3"/>
        <v>3.9543044587450213E-2</v>
      </c>
    </row>
    <row r="20" spans="1:7" x14ac:dyDescent="0.3">
      <c r="A20" s="1">
        <v>33053</v>
      </c>
      <c r="B20">
        <v>6.5640000000000004E-3</v>
      </c>
      <c r="C20">
        <f t="shared" si="0"/>
        <v>152.34613040828762</v>
      </c>
      <c r="D20">
        <v>-9.77</v>
      </c>
      <c r="E20">
        <f t="shared" si="1"/>
        <v>152.24843040828762</v>
      </c>
      <c r="F20">
        <f t="shared" si="2"/>
        <v>6.5682122128831169E-3</v>
      </c>
      <c r="G20" s="4">
        <f t="shared" si="3"/>
        <v>1.2243186580368627E-3</v>
      </c>
    </row>
    <row r="21" spans="1:7" x14ac:dyDescent="0.3">
      <c r="A21" s="1">
        <v>33085</v>
      </c>
      <c r="B21">
        <v>6.8430000000000001E-3</v>
      </c>
      <c r="C21">
        <f t="shared" si="0"/>
        <v>146.1347362268011</v>
      </c>
      <c r="D21">
        <v>-4.72</v>
      </c>
      <c r="E21">
        <f t="shared" si="1"/>
        <v>146.08753622680109</v>
      </c>
      <c r="F21">
        <f t="shared" si="2"/>
        <v>6.845210931940824E-3</v>
      </c>
      <c r="G21" s="4">
        <f t="shared" si="3"/>
        <v>4.1836009283912151E-2</v>
      </c>
    </row>
    <row r="22" spans="1:7" x14ac:dyDescent="0.3">
      <c r="A22" s="1">
        <v>33116</v>
      </c>
      <c r="B22">
        <v>6.9480000000000002E-3</v>
      </c>
      <c r="C22">
        <f t="shared" si="0"/>
        <v>143.92630972941853</v>
      </c>
      <c r="D22">
        <v>2.98</v>
      </c>
      <c r="E22">
        <f t="shared" si="1"/>
        <v>143.95610972941853</v>
      </c>
      <c r="F22">
        <f t="shared" si="2"/>
        <v>6.9465617116189846E-3</v>
      </c>
      <c r="G22" s="4">
        <f t="shared" si="3"/>
        <v>1.5016201703814024E-2</v>
      </c>
    </row>
    <row r="23" spans="1:7" x14ac:dyDescent="0.3">
      <c r="A23" s="1">
        <v>33144</v>
      </c>
      <c r="B23">
        <v>7.2319999999999997E-3</v>
      </c>
      <c r="C23">
        <f t="shared" si="0"/>
        <v>138.27433628318585</v>
      </c>
      <c r="D23">
        <v>0.19</v>
      </c>
      <c r="E23">
        <f t="shared" si="1"/>
        <v>138.27623628318585</v>
      </c>
      <c r="F23">
        <f t="shared" si="2"/>
        <v>7.2319006278998513E-3</v>
      </c>
      <c r="G23" s="4">
        <f t="shared" si="3"/>
        <v>4.109058556315482E-2</v>
      </c>
    </row>
    <row r="24" spans="1:7" x14ac:dyDescent="0.3">
      <c r="A24" s="1">
        <v>33177</v>
      </c>
      <c r="B24">
        <v>7.6949999999999996E-3</v>
      </c>
      <c r="C24">
        <f t="shared" si="0"/>
        <v>129.95451591942822</v>
      </c>
      <c r="D24">
        <v>0.26</v>
      </c>
      <c r="E24">
        <f t="shared" si="1"/>
        <v>129.95711591942822</v>
      </c>
      <c r="F24">
        <f t="shared" si="2"/>
        <v>7.694846049215092E-3</v>
      </c>
      <c r="G24" s="4">
        <f t="shared" si="3"/>
        <v>6.4035638199115105E-2</v>
      </c>
    </row>
    <row r="25" spans="1:7" x14ac:dyDescent="0.3">
      <c r="A25" s="1">
        <v>33207</v>
      </c>
      <c r="B25">
        <v>7.5129999999999997E-3</v>
      </c>
      <c r="C25">
        <f t="shared" si="0"/>
        <v>133.1026221216558</v>
      </c>
      <c r="D25">
        <v>2.16</v>
      </c>
      <c r="E25">
        <f t="shared" si="1"/>
        <v>133.12422212165581</v>
      </c>
      <c r="F25">
        <f t="shared" si="2"/>
        <v>7.5117809821727876E-3</v>
      </c>
      <c r="G25" s="4">
        <f t="shared" si="3"/>
        <v>-2.3632188097335804E-2</v>
      </c>
    </row>
    <row r="26" spans="1:7" x14ac:dyDescent="0.3">
      <c r="A26" s="1">
        <v>33238</v>
      </c>
      <c r="B26">
        <v>7.3660000000000002E-3</v>
      </c>
      <c r="C26">
        <f t="shared" si="0"/>
        <v>135.75889220743957</v>
      </c>
      <c r="D26">
        <v>6.71</v>
      </c>
      <c r="E26">
        <f t="shared" si="1"/>
        <v>135.82599220743958</v>
      </c>
      <c r="F26">
        <f t="shared" si="2"/>
        <v>7.362361089715103E-3</v>
      </c>
      <c r="G26" s="4">
        <f t="shared" si="3"/>
        <v>-1.9406979851883298E-2</v>
      </c>
    </row>
    <row r="27" spans="1:7" x14ac:dyDescent="0.3">
      <c r="A27" s="1">
        <v>33269</v>
      </c>
      <c r="B27">
        <v>7.607E-3</v>
      </c>
      <c r="C27">
        <f t="shared" si="0"/>
        <v>131.45786775338505</v>
      </c>
      <c r="D27">
        <v>11.41</v>
      </c>
      <c r="E27">
        <f t="shared" si="1"/>
        <v>131.57196775338505</v>
      </c>
      <c r="F27">
        <f t="shared" si="2"/>
        <v>7.6004031639503407E-3</v>
      </c>
      <c r="G27" s="4">
        <f t="shared" si="3"/>
        <v>3.3228322721992942E-2</v>
      </c>
    </row>
    <row r="28" spans="1:7" x14ac:dyDescent="0.3">
      <c r="A28" s="1">
        <v>33297</v>
      </c>
      <c r="B28">
        <v>7.522E-3</v>
      </c>
      <c r="C28">
        <f t="shared" si="0"/>
        <v>132.9433661260303</v>
      </c>
      <c r="D28">
        <v>18.489999999999998</v>
      </c>
      <c r="E28">
        <f t="shared" si="1"/>
        <v>133.1282661260303</v>
      </c>
      <c r="F28">
        <f t="shared" si="2"/>
        <v>7.5115527986619815E-3</v>
      </c>
      <c r="G28" s="4">
        <f t="shared" si="3"/>
        <v>-1.0315658559037577E-2</v>
      </c>
    </row>
    <row r="29" spans="1:7" x14ac:dyDescent="0.3">
      <c r="A29" s="1">
        <v>33326</v>
      </c>
      <c r="B29">
        <v>7.1120000000000003E-3</v>
      </c>
      <c r="C29">
        <f t="shared" si="0"/>
        <v>140.60742407199101</v>
      </c>
      <c r="D29">
        <v>27.66</v>
      </c>
      <c r="E29">
        <f t="shared" si="1"/>
        <v>140.88402407199101</v>
      </c>
      <c r="F29">
        <f t="shared" si="2"/>
        <v>7.0980368894702009E-3</v>
      </c>
      <c r="G29" s="4">
        <f t="shared" si="3"/>
        <v>-5.3191771311672444E-2</v>
      </c>
    </row>
    <row r="30" spans="1:7" x14ac:dyDescent="0.3">
      <c r="A30" s="1">
        <v>33358</v>
      </c>
      <c r="B30">
        <v>7.332E-3</v>
      </c>
      <c r="C30">
        <f t="shared" si="0"/>
        <v>136.38843426077469</v>
      </c>
      <c r="D30">
        <v>27.13</v>
      </c>
      <c r="E30">
        <f t="shared" si="1"/>
        <v>136.65973426077468</v>
      </c>
      <c r="F30">
        <f t="shared" si="2"/>
        <v>7.3174443475193338E-3</v>
      </c>
      <c r="G30" s="4">
        <f t="shared" si="3"/>
        <v>3.2961664495838108E-2</v>
      </c>
    </row>
    <row r="31" spans="1:7" x14ac:dyDescent="0.3">
      <c r="A31" s="1">
        <v>33389</v>
      </c>
      <c r="B31">
        <v>7.2230000000000003E-3</v>
      </c>
      <c r="C31">
        <f t="shared" si="0"/>
        <v>138.44662882458812</v>
      </c>
      <c r="D31">
        <v>25.83</v>
      </c>
      <c r="E31">
        <f t="shared" si="1"/>
        <v>138.70492882458811</v>
      </c>
      <c r="F31">
        <f t="shared" si="2"/>
        <v>7.2095491376852269E-3</v>
      </c>
      <c r="G31" s="4">
        <f t="shared" si="3"/>
        <v>-1.2906739434424382E-2</v>
      </c>
    </row>
    <row r="32" spans="1:7" x14ac:dyDescent="0.3">
      <c r="A32" s="1">
        <v>33417</v>
      </c>
      <c r="B32">
        <v>7.2519999999999998E-3</v>
      </c>
      <c r="C32">
        <f t="shared" si="0"/>
        <v>137.89299503585218</v>
      </c>
      <c r="D32">
        <v>20.67</v>
      </c>
      <c r="E32">
        <f t="shared" si="1"/>
        <v>138.09969503585219</v>
      </c>
      <c r="F32">
        <f t="shared" si="2"/>
        <v>7.241145606732796E-3</v>
      </c>
      <c r="G32" s="4">
        <f t="shared" si="3"/>
        <v>5.8881438359129562E-3</v>
      </c>
    </row>
    <row r="33" spans="1:7" x14ac:dyDescent="0.3">
      <c r="A33" s="1">
        <v>33450</v>
      </c>
      <c r="B33">
        <v>7.2769999999999996E-3</v>
      </c>
      <c r="C33">
        <f t="shared" si="0"/>
        <v>137.41926618111859</v>
      </c>
      <c r="D33">
        <v>17.66</v>
      </c>
      <c r="E33">
        <f t="shared" si="1"/>
        <v>137.59586618111859</v>
      </c>
      <c r="F33">
        <f t="shared" si="2"/>
        <v>7.2676601976086374E-3</v>
      </c>
      <c r="G33" s="4">
        <f t="shared" si="3"/>
        <v>4.9514807758963318E-3</v>
      </c>
    </row>
    <row r="34" spans="1:7" x14ac:dyDescent="0.3">
      <c r="A34" s="1">
        <v>33480</v>
      </c>
      <c r="B34">
        <v>7.3070000000000001E-3</v>
      </c>
      <c r="C34">
        <f t="shared" si="0"/>
        <v>136.85507048036129</v>
      </c>
      <c r="D34">
        <v>21.99</v>
      </c>
      <c r="E34">
        <f t="shared" si="1"/>
        <v>137.07497048036129</v>
      </c>
      <c r="F34">
        <f t="shared" si="2"/>
        <v>7.295277879656884E-3</v>
      </c>
      <c r="G34" s="4">
        <f t="shared" si="3"/>
        <v>5.4129941854336007E-3</v>
      </c>
    </row>
    <row r="35" spans="1:7" x14ac:dyDescent="0.3">
      <c r="A35" s="1">
        <v>33511</v>
      </c>
      <c r="B35">
        <v>7.5269999999999998E-3</v>
      </c>
      <c r="C35">
        <f t="shared" si="0"/>
        <v>132.85505513484787</v>
      </c>
      <c r="D35">
        <v>17.940000000000001</v>
      </c>
      <c r="E35">
        <f t="shared" si="1"/>
        <v>133.03445513484786</v>
      </c>
      <c r="F35">
        <f t="shared" si="2"/>
        <v>7.5168496686544017E-3</v>
      </c>
      <c r="G35" s="4">
        <f t="shared" si="3"/>
        <v>3.1763302805679329E-2</v>
      </c>
    </row>
    <row r="36" spans="1:7" x14ac:dyDescent="0.3">
      <c r="A36" s="1">
        <v>33542</v>
      </c>
      <c r="B36">
        <v>7.6569999999999997E-3</v>
      </c>
      <c r="C36">
        <f t="shared" si="0"/>
        <v>130.59945148230378</v>
      </c>
      <c r="D36">
        <v>12.87</v>
      </c>
      <c r="E36">
        <f t="shared" si="1"/>
        <v>130.72815148230379</v>
      </c>
      <c r="F36">
        <f t="shared" si="2"/>
        <v>7.6494617927445148E-3</v>
      </c>
      <c r="G36" s="4">
        <f t="shared" si="3"/>
        <v>1.864482296753002E-2</v>
      </c>
    </row>
    <row r="37" spans="1:7" x14ac:dyDescent="0.3">
      <c r="A37" s="1">
        <v>33571</v>
      </c>
      <c r="B37">
        <v>7.6880000000000004E-3</v>
      </c>
      <c r="C37">
        <f t="shared" si="0"/>
        <v>130.07284079084286</v>
      </c>
      <c r="D37">
        <v>19.87</v>
      </c>
      <c r="E37">
        <f t="shared" si="1"/>
        <v>130.27154079084286</v>
      </c>
      <c r="F37">
        <f t="shared" si="2"/>
        <v>7.6762736813372574E-3</v>
      </c>
      <c r="G37" s="4">
        <f t="shared" si="3"/>
        <v>5.0380285959515441E-3</v>
      </c>
    </row>
    <row r="38" spans="1:7" x14ac:dyDescent="0.3">
      <c r="A38" s="1">
        <v>33603</v>
      </c>
      <c r="B38">
        <v>8.0059999999999992E-3</v>
      </c>
      <c r="C38">
        <f t="shared" si="0"/>
        <v>124.90632025980516</v>
      </c>
      <c r="D38">
        <v>12.05</v>
      </c>
      <c r="E38">
        <f t="shared" si="1"/>
        <v>125.02682025980516</v>
      </c>
      <c r="F38">
        <f t="shared" si="2"/>
        <v>7.998283871588548E-3</v>
      </c>
      <c r="G38" s="4">
        <f t="shared" si="3"/>
        <v>4.2953955571487824E-2</v>
      </c>
    </row>
    <row r="39" spans="1:7" x14ac:dyDescent="0.3">
      <c r="A39" s="1">
        <v>33634</v>
      </c>
      <c r="B39">
        <v>7.9649999999999999E-3</v>
      </c>
      <c r="C39">
        <f t="shared" si="0"/>
        <v>125.54927809165098</v>
      </c>
      <c r="D39">
        <v>12.6</v>
      </c>
      <c r="E39">
        <f t="shared" si="1"/>
        <v>125.67527809165098</v>
      </c>
      <c r="F39">
        <f t="shared" si="2"/>
        <v>7.9570144198983332E-3</v>
      </c>
      <c r="G39" s="4">
        <f t="shared" si="3"/>
        <v>-4.1613766306518437E-3</v>
      </c>
    </row>
    <row r="40" spans="1:7" x14ac:dyDescent="0.3">
      <c r="A40" s="1">
        <v>33662</v>
      </c>
      <c r="B40">
        <v>7.7429999999999999E-3</v>
      </c>
      <c r="C40">
        <f t="shared" si="0"/>
        <v>129.14890869172154</v>
      </c>
      <c r="D40">
        <v>15.24</v>
      </c>
      <c r="E40">
        <f t="shared" si="1"/>
        <v>129.30130869172154</v>
      </c>
      <c r="F40">
        <f t="shared" si="2"/>
        <v>7.7338737721842138E-3</v>
      </c>
      <c r="G40" s="4">
        <f t="shared" si="3"/>
        <v>-2.6896321736346408E-2</v>
      </c>
    </row>
    <row r="41" spans="1:7" x14ac:dyDescent="0.3">
      <c r="A41" s="1">
        <v>33694</v>
      </c>
      <c r="B41">
        <v>7.5230000000000002E-3</v>
      </c>
      <c r="C41">
        <f t="shared" si="0"/>
        <v>132.92569453675395</v>
      </c>
      <c r="D41">
        <v>8.6</v>
      </c>
      <c r="E41">
        <f t="shared" si="1"/>
        <v>133.01169453675396</v>
      </c>
      <c r="F41">
        <f t="shared" si="2"/>
        <v>7.518135931451341E-3</v>
      </c>
      <c r="G41" s="4">
        <f t="shared" si="3"/>
        <v>-2.7266254712178764E-2</v>
      </c>
    </row>
    <row r="42" spans="1:7" x14ac:dyDescent="0.3">
      <c r="A42" s="1">
        <v>33724</v>
      </c>
      <c r="B42">
        <v>7.502E-3</v>
      </c>
      <c r="C42">
        <f t="shared" si="0"/>
        <v>133.29778725673154</v>
      </c>
      <c r="D42">
        <v>9.89</v>
      </c>
      <c r="E42">
        <f t="shared" si="1"/>
        <v>133.39668725673152</v>
      </c>
      <c r="F42">
        <f t="shared" si="2"/>
        <v>7.4964380342926211E-3</v>
      </c>
      <c r="G42" s="4">
        <f t="shared" si="3"/>
        <v>-2.1462675852717689E-3</v>
      </c>
    </row>
    <row r="43" spans="1:7" x14ac:dyDescent="0.3">
      <c r="A43" s="1">
        <v>33753</v>
      </c>
      <c r="B43">
        <v>7.8279999999999999E-3</v>
      </c>
      <c r="C43">
        <f t="shared" si="0"/>
        <v>127.74655084312724</v>
      </c>
      <c r="D43">
        <v>7.96</v>
      </c>
      <c r="E43">
        <f t="shared" si="1"/>
        <v>127.82615084312724</v>
      </c>
      <c r="F43">
        <f t="shared" si="2"/>
        <v>7.823125341756049E-3</v>
      </c>
      <c r="G43" s="4">
        <f t="shared" si="3"/>
        <v>4.4229267845694357E-2</v>
      </c>
    </row>
    <row r="44" spans="1:7" x14ac:dyDescent="0.3">
      <c r="A44" s="1">
        <v>33785</v>
      </c>
      <c r="B44">
        <v>7.9450000000000007E-3</v>
      </c>
      <c r="C44">
        <f t="shared" si="0"/>
        <v>125.86532410320956</v>
      </c>
      <c r="D44">
        <v>8.36</v>
      </c>
      <c r="E44">
        <f t="shared" si="1"/>
        <v>125.94892410320956</v>
      </c>
      <c r="F44">
        <f t="shared" si="2"/>
        <v>7.9397264178338225E-3</v>
      </c>
      <c r="G44" s="4">
        <f t="shared" si="3"/>
        <v>1.5578768448645943E-2</v>
      </c>
    </row>
    <row r="45" spans="1:7" x14ac:dyDescent="0.3">
      <c r="A45" s="1">
        <v>33816</v>
      </c>
      <c r="B45">
        <v>7.8619999999999992E-3</v>
      </c>
      <c r="C45">
        <f t="shared" si="0"/>
        <v>127.19409819384381</v>
      </c>
      <c r="D45">
        <v>8.19</v>
      </c>
      <c r="E45">
        <f t="shared" si="1"/>
        <v>127.27599819384382</v>
      </c>
      <c r="F45">
        <f t="shared" si="2"/>
        <v>7.856940933018499E-3</v>
      </c>
      <c r="G45" s="4">
        <f t="shared" si="3"/>
        <v>-9.7895587005665616E-3</v>
      </c>
    </row>
    <row r="46" spans="1:7" x14ac:dyDescent="0.3">
      <c r="A46" s="1">
        <v>33847</v>
      </c>
      <c r="B46">
        <v>8.1250000000000003E-3</v>
      </c>
      <c r="C46">
        <f t="shared" si="0"/>
        <v>123.07692307692307</v>
      </c>
      <c r="D46">
        <v>9.39</v>
      </c>
      <c r="E46">
        <f t="shared" si="1"/>
        <v>123.17082307692307</v>
      </c>
      <c r="F46">
        <f t="shared" si="2"/>
        <v>8.1188058585552891E-3</v>
      </c>
      <c r="G46" s="4">
        <f t="shared" si="3"/>
        <v>3.411748532498101E-2</v>
      </c>
    </row>
    <row r="47" spans="1:7" x14ac:dyDescent="0.3">
      <c r="A47" s="1">
        <v>33877</v>
      </c>
      <c r="B47">
        <v>8.3280000000000003E-3</v>
      </c>
      <c r="C47">
        <f t="shared" si="0"/>
        <v>120.07684918347742</v>
      </c>
      <c r="D47">
        <v>10.31</v>
      </c>
      <c r="E47">
        <f t="shared" si="1"/>
        <v>120.17994918347742</v>
      </c>
      <c r="F47">
        <f t="shared" si="2"/>
        <v>8.3208555736141217E-3</v>
      </c>
      <c r="G47" s="4">
        <f t="shared" si="3"/>
        <v>2.5766614584615342E-2</v>
      </c>
    </row>
    <row r="48" spans="1:7" x14ac:dyDescent="0.3">
      <c r="A48" s="1">
        <v>33907</v>
      </c>
      <c r="B48">
        <v>8.0999999999999996E-3</v>
      </c>
      <c r="C48">
        <f t="shared" si="0"/>
        <v>123.4567901234568</v>
      </c>
      <c r="D48">
        <v>7.05</v>
      </c>
      <c r="E48">
        <f t="shared" si="1"/>
        <v>123.52729012345679</v>
      </c>
      <c r="F48">
        <f t="shared" si="2"/>
        <v>8.0953771348871231E-3</v>
      </c>
      <c r="G48" s="4">
        <f t="shared" si="3"/>
        <v>-2.6542411613832959E-2</v>
      </c>
    </row>
    <row r="49" spans="1:7" x14ac:dyDescent="0.3">
      <c r="A49" s="1">
        <v>33938</v>
      </c>
      <c r="B49">
        <v>8.0160000000000006E-3</v>
      </c>
      <c r="C49">
        <f t="shared" si="0"/>
        <v>124.750499001996</v>
      </c>
      <c r="D49">
        <v>-2.85</v>
      </c>
      <c r="E49">
        <f t="shared" si="1"/>
        <v>124.72199900199601</v>
      </c>
      <c r="F49">
        <f t="shared" si="2"/>
        <v>8.0178317217638271E-3</v>
      </c>
      <c r="G49" s="4">
        <f t="shared" si="3"/>
        <v>-9.8052423703703529E-3</v>
      </c>
    </row>
    <row r="50" spans="1:7" x14ac:dyDescent="0.3">
      <c r="A50" s="1">
        <v>33969</v>
      </c>
      <c r="B50">
        <v>8.0090000000000005E-3</v>
      </c>
      <c r="C50">
        <f t="shared" si="0"/>
        <v>124.85953302534648</v>
      </c>
      <c r="D50">
        <v>6.7</v>
      </c>
      <c r="E50">
        <f t="shared" si="1"/>
        <v>124.92653302534647</v>
      </c>
      <c r="F50">
        <f t="shared" si="2"/>
        <v>8.0047046514699089E-3</v>
      </c>
      <c r="G50" s="4">
        <f t="shared" si="3"/>
        <v>-1.1015099930138876E-3</v>
      </c>
    </row>
    <row r="51" spans="1:7" x14ac:dyDescent="0.3">
      <c r="A51" s="1">
        <v>33998</v>
      </c>
      <c r="B51">
        <v>8.0169999999999998E-3</v>
      </c>
      <c r="C51">
        <f t="shared" si="0"/>
        <v>124.73493825620557</v>
      </c>
      <c r="D51">
        <v>4.84</v>
      </c>
      <c r="E51">
        <f t="shared" si="1"/>
        <v>124.78333825620557</v>
      </c>
      <c r="F51">
        <f t="shared" si="2"/>
        <v>8.0138904277973124E-3</v>
      </c>
      <c r="G51" s="4">
        <f t="shared" si="3"/>
        <v>1.5360152642025476E-3</v>
      </c>
    </row>
    <row r="52" spans="1:7" x14ac:dyDescent="0.3">
      <c r="A52" s="1">
        <v>34026</v>
      </c>
      <c r="B52">
        <v>8.4569999999999992E-3</v>
      </c>
      <c r="C52">
        <f t="shared" si="0"/>
        <v>118.2452406290647</v>
      </c>
      <c r="D52">
        <v>2.54</v>
      </c>
      <c r="E52">
        <f t="shared" si="1"/>
        <v>118.2706406290647</v>
      </c>
      <c r="F52">
        <f t="shared" si="2"/>
        <v>8.4551837605777933E-3</v>
      </c>
      <c r="G52" s="4">
        <f t="shared" si="3"/>
        <v>5.5292691632730415E-2</v>
      </c>
    </row>
    <row r="53" spans="1:7" x14ac:dyDescent="0.3">
      <c r="A53" s="1">
        <v>34059</v>
      </c>
      <c r="B53">
        <v>8.7049999999999992E-3</v>
      </c>
      <c r="C53">
        <f t="shared" si="0"/>
        <v>114.87650775416428</v>
      </c>
      <c r="D53">
        <v>2.0299999999999998</v>
      </c>
      <c r="E53">
        <f t="shared" si="1"/>
        <v>114.89680775416429</v>
      </c>
      <c r="F53">
        <f t="shared" si="2"/>
        <v>8.7034619981751094E-3</v>
      </c>
      <c r="G53" s="4">
        <f t="shared" si="3"/>
        <v>2.9545926676008104E-2</v>
      </c>
    </row>
    <row r="54" spans="1:7" x14ac:dyDescent="0.3">
      <c r="A54" s="1">
        <v>34089</v>
      </c>
      <c r="B54">
        <v>9.0050000000000009E-3</v>
      </c>
      <c r="C54">
        <f t="shared" si="0"/>
        <v>111.04941699056079</v>
      </c>
      <c r="D54">
        <v>1.19</v>
      </c>
      <c r="E54">
        <f t="shared" si="1"/>
        <v>111.06131699056078</v>
      </c>
      <c r="F54">
        <f t="shared" si="2"/>
        <v>9.0040351320972642E-3</v>
      </c>
      <c r="G54" s="4">
        <f t="shared" si="3"/>
        <v>3.464575382624939E-2</v>
      </c>
    </row>
    <row r="55" spans="1:7" x14ac:dyDescent="0.3">
      <c r="A55" s="1">
        <v>34120</v>
      </c>
      <c r="B55">
        <v>9.3390000000000001E-3</v>
      </c>
      <c r="C55">
        <f t="shared" si="0"/>
        <v>107.07784559374666</v>
      </c>
      <c r="D55">
        <v>0.56000000000000005</v>
      </c>
      <c r="E55">
        <f t="shared" si="1"/>
        <v>107.08344559374666</v>
      </c>
      <c r="F55">
        <f t="shared" si="2"/>
        <v>9.3385116107843735E-3</v>
      </c>
      <c r="G55" s="4">
        <f t="shared" si="3"/>
        <v>3.7201639374847065E-2</v>
      </c>
    </row>
    <row r="56" spans="1:7" x14ac:dyDescent="0.3">
      <c r="A56" s="1">
        <v>34150</v>
      </c>
      <c r="B56">
        <v>9.3200000000000002E-3</v>
      </c>
      <c r="C56">
        <f t="shared" si="0"/>
        <v>107.29613733905579</v>
      </c>
      <c r="D56">
        <v>0.57999999999999996</v>
      </c>
      <c r="E56">
        <f t="shared" si="1"/>
        <v>107.30193733905578</v>
      </c>
      <c r="F56">
        <f t="shared" si="2"/>
        <v>9.3194962253120451E-3</v>
      </c>
      <c r="G56" s="4">
        <f t="shared" si="3"/>
        <v>-1.9822870662810524E-3</v>
      </c>
    </row>
    <row r="57" spans="1:7" x14ac:dyDescent="0.3">
      <c r="A57" s="1">
        <v>34180</v>
      </c>
      <c r="B57">
        <v>9.5149999999999992E-3</v>
      </c>
      <c r="C57">
        <f t="shared" si="0"/>
        <v>105.09721492380453</v>
      </c>
      <c r="D57">
        <v>1.1299999999999999</v>
      </c>
      <c r="E57">
        <f t="shared" si="1"/>
        <v>105.10851492380453</v>
      </c>
      <c r="F57">
        <f t="shared" si="2"/>
        <v>9.5139770619432872E-3</v>
      </c>
      <c r="G57" s="4">
        <f t="shared" si="3"/>
        <v>2.0977933781115728E-2</v>
      </c>
    </row>
    <row r="58" spans="1:7" x14ac:dyDescent="0.3">
      <c r="A58" s="1">
        <v>34212</v>
      </c>
      <c r="B58">
        <v>9.5469999999999999E-3</v>
      </c>
      <c r="C58">
        <f t="shared" si="0"/>
        <v>104.74494605635279</v>
      </c>
      <c r="D58">
        <v>-1.74</v>
      </c>
      <c r="E58">
        <f t="shared" si="1"/>
        <v>104.72754605635279</v>
      </c>
      <c r="F58">
        <f t="shared" si="2"/>
        <v>9.5485861901310146E-3</v>
      </c>
      <c r="G58" s="4">
        <f t="shared" si="3"/>
        <v>3.4709919775618675E-3</v>
      </c>
    </row>
    <row r="59" spans="1:7" x14ac:dyDescent="0.3">
      <c r="A59" s="1">
        <v>34242</v>
      </c>
      <c r="B59">
        <v>9.4070000000000004E-3</v>
      </c>
      <c r="C59">
        <f t="shared" si="0"/>
        <v>106.30381630700542</v>
      </c>
      <c r="D59">
        <v>-5.71</v>
      </c>
      <c r="E59">
        <f t="shared" si="1"/>
        <v>106.24671630700541</v>
      </c>
      <c r="F59">
        <f t="shared" si="2"/>
        <v>9.4120555887153064E-3</v>
      </c>
      <c r="G59" s="4">
        <f t="shared" si="3"/>
        <v>-1.4827974247889312E-2</v>
      </c>
    </row>
    <row r="60" spans="1:7" x14ac:dyDescent="0.3">
      <c r="A60" s="1">
        <v>34271</v>
      </c>
      <c r="B60">
        <v>9.2079999999999992E-3</v>
      </c>
      <c r="C60">
        <f t="shared" si="0"/>
        <v>108.60121633362294</v>
      </c>
      <c r="D60">
        <v>-6.21</v>
      </c>
      <c r="E60">
        <f t="shared" si="1"/>
        <v>108.53911633362294</v>
      </c>
      <c r="F60">
        <f t="shared" si="2"/>
        <v>9.2132683015977608E-3</v>
      </c>
      <c r="G60" s="4">
        <f t="shared" si="3"/>
        <v>-2.1680236245094228E-2</v>
      </c>
    </row>
    <row r="61" spans="1:7" x14ac:dyDescent="0.3">
      <c r="A61" s="1">
        <v>34303</v>
      </c>
      <c r="B61">
        <v>9.1680000000000008E-3</v>
      </c>
      <c r="C61">
        <f t="shared" si="0"/>
        <v>109.07504363001745</v>
      </c>
      <c r="D61">
        <v>-12.46</v>
      </c>
      <c r="E61">
        <f t="shared" si="1"/>
        <v>108.95044363001745</v>
      </c>
      <c r="F61">
        <f t="shared" si="2"/>
        <v>9.1784848843376836E-3</v>
      </c>
      <c r="G61" s="4">
        <f t="shared" si="3"/>
        <v>-4.9133814533448023E-3</v>
      </c>
    </row>
    <row r="62" spans="1:7" x14ac:dyDescent="0.3">
      <c r="A62" s="1">
        <v>34334</v>
      </c>
      <c r="B62">
        <v>8.9409999999999993E-3</v>
      </c>
      <c r="C62">
        <f t="shared" si="0"/>
        <v>111.84431271669837</v>
      </c>
      <c r="D62">
        <v>-8.94</v>
      </c>
      <c r="E62">
        <f t="shared" si="1"/>
        <v>111.75491271669837</v>
      </c>
      <c r="F62">
        <f t="shared" si="2"/>
        <v>8.9481524855647837E-3</v>
      </c>
      <c r="G62" s="4">
        <f t="shared" si="3"/>
        <v>-2.5874083504014087E-2</v>
      </c>
    </row>
    <row r="63" spans="1:7" x14ac:dyDescent="0.3">
      <c r="A63" s="1">
        <v>34365</v>
      </c>
      <c r="B63">
        <v>9.2169999999999995E-3</v>
      </c>
      <c r="C63">
        <f t="shared" si="0"/>
        <v>108.49517196484757</v>
      </c>
      <c r="D63">
        <v>-6.84</v>
      </c>
      <c r="E63">
        <f t="shared" si="1"/>
        <v>108.42677196484757</v>
      </c>
      <c r="F63">
        <f t="shared" si="2"/>
        <v>9.2228144569701312E-3</v>
      </c>
      <c r="G63" s="4">
        <f t="shared" si="3"/>
        <v>3.0045030509808845E-2</v>
      </c>
    </row>
    <row r="64" spans="1:7" x14ac:dyDescent="0.3">
      <c r="A64" s="1">
        <v>34393</v>
      </c>
      <c r="B64">
        <v>9.5689999999999994E-3</v>
      </c>
      <c r="C64">
        <f t="shared" si="0"/>
        <v>104.50412791305257</v>
      </c>
      <c r="D64">
        <v>-10.74</v>
      </c>
      <c r="E64">
        <f t="shared" si="1"/>
        <v>104.39672791305257</v>
      </c>
      <c r="F64">
        <f t="shared" si="2"/>
        <v>9.5788442798021012E-3</v>
      </c>
      <c r="G64" s="4">
        <f t="shared" si="3"/>
        <v>3.7535780931626447E-2</v>
      </c>
    </row>
    <row r="65" spans="1:7" x14ac:dyDescent="0.3">
      <c r="A65" s="1">
        <v>34424</v>
      </c>
      <c r="B65">
        <v>9.7319999999999993E-3</v>
      </c>
      <c r="C65">
        <f t="shared" si="0"/>
        <v>102.75380189066996</v>
      </c>
      <c r="D65">
        <v>-12.52</v>
      </c>
      <c r="E65">
        <f t="shared" si="1"/>
        <v>102.62860189066996</v>
      </c>
      <c r="F65">
        <f t="shared" si="2"/>
        <v>9.7438723862310634E-3</v>
      </c>
      <c r="G65" s="4">
        <f t="shared" si="3"/>
        <v>1.5988956049827585E-2</v>
      </c>
    </row>
    <row r="66" spans="1:7" x14ac:dyDescent="0.3">
      <c r="A66" s="1">
        <v>34453</v>
      </c>
      <c r="B66">
        <v>9.8329999999999997E-3</v>
      </c>
      <c r="C66">
        <f t="shared" si="0"/>
        <v>101.69836265636124</v>
      </c>
      <c r="D66">
        <v>-14.73</v>
      </c>
      <c r="E66">
        <f t="shared" si="1"/>
        <v>101.55106265636124</v>
      </c>
      <c r="F66">
        <f t="shared" si="2"/>
        <v>9.8472627842792863E-3</v>
      </c>
      <c r="G66" s="4">
        <f t="shared" si="3"/>
        <v>9.1470423909575591E-3</v>
      </c>
    </row>
    <row r="67" spans="1:7" x14ac:dyDescent="0.3">
      <c r="A67" s="1">
        <v>34485</v>
      </c>
      <c r="B67">
        <v>9.5440000000000004E-3</v>
      </c>
      <c r="C67">
        <f t="shared" ref="C67:C130" si="4">1/B67</f>
        <v>104.77787091366304</v>
      </c>
      <c r="D67">
        <v>-20.87</v>
      </c>
      <c r="E67">
        <f t="shared" ref="E67:E130" si="5">C67+D67/10^2</f>
        <v>104.56917091366304</v>
      </c>
      <c r="F67">
        <f t="shared" ref="F67:F130" si="6">1/E67</f>
        <v>9.5630479926597529E-3</v>
      </c>
      <c r="G67" s="4">
        <f t="shared" si="3"/>
        <v>-3.0796658007688327E-2</v>
      </c>
    </row>
    <row r="68" spans="1:7" x14ac:dyDescent="0.3">
      <c r="A68" s="1">
        <v>34515</v>
      </c>
      <c r="B68">
        <v>1.0158E-2</v>
      </c>
      <c r="C68">
        <f t="shared" si="4"/>
        <v>98.444575703878712</v>
      </c>
      <c r="D68">
        <v>-20.58</v>
      </c>
      <c r="E68">
        <f t="shared" si="5"/>
        <v>98.238775703878716</v>
      </c>
      <c r="F68">
        <f t="shared" si="6"/>
        <v>1.0179279951679176E-2</v>
      </c>
      <c r="G68" s="4">
        <f t="shared" ref="G68:G131" si="7">(B68-F67)/(F67)</f>
        <v>6.221363814098925E-2</v>
      </c>
    </row>
    <row r="69" spans="1:7" x14ac:dyDescent="0.3">
      <c r="A69" s="1">
        <v>34544</v>
      </c>
      <c r="B69">
        <v>9.9850000000000008E-3</v>
      </c>
      <c r="C69">
        <f t="shared" si="4"/>
        <v>100.150225338007</v>
      </c>
      <c r="D69">
        <v>-20.399999999999999</v>
      </c>
      <c r="E69">
        <f t="shared" si="5"/>
        <v>99.946225338007011</v>
      </c>
      <c r="F69">
        <f t="shared" si="6"/>
        <v>1.0005380359469417E-2</v>
      </c>
      <c r="G69" s="4">
        <f t="shared" si="7"/>
        <v>-1.9085824596770874E-2</v>
      </c>
    </row>
    <row r="70" spans="1:7" x14ac:dyDescent="0.3">
      <c r="A70" s="1">
        <v>34577</v>
      </c>
      <c r="B70">
        <v>9.9950000000000004E-3</v>
      </c>
      <c r="C70">
        <f t="shared" si="4"/>
        <v>100.05002501250625</v>
      </c>
      <c r="D70">
        <v>-19.84</v>
      </c>
      <c r="E70">
        <f t="shared" si="5"/>
        <v>99.851625012506247</v>
      </c>
      <c r="F70">
        <f t="shared" si="6"/>
        <v>1.0014859546599784E-2</v>
      </c>
      <c r="G70" s="4">
        <f t="shared" si="7"/>
        <v>-1.0374777466198508E-3</v>
      </c>
    </row>
    <row r="71" spans="1:7" x14ac:dyDescent="0.3">
      <c r="A71" s="1">
        <v>34607</v>
      </c>
      <c r="B71">
        <v>1.0085999999999999E-2</v>
      </c>
      <c r="C71">
        <f t="shared" si="4"/>
        <v>99.147332936744007</v>
      </c>
      <c r="D71">
        <v>-23.38</v>
      </c>
      <c r="E71">
        <f t="shared" si="5"/>
        <v>98.913532936744005</v>
      </c>
      <c r="F71">
        <f t="shared" si="6"/>
        <v>1.01098400826458E-2</v>
      </c>
      <c r="G71" s="4">
        <f t="shared" si="7"/>
        <v>7.1034898761380165E-3</v>
      </c>
    </row>
    <row r="72" spans="1:7" x14ac:dyDescent="0.3">
      <c r="A72" s="1">
        <v>34638</v>
      </c>
      <c r="B72">
        <v>1.0314E-2</v>
      </c>
      <c r="C72">
        <f t="shared" si="4"/>
        <v>96.955594337793286</v>
      </c>
      <c r="D72">
        <v>-22.13</v>
      </c>
      <c r="E72">
        <f t="shared" si="5"/>
        <v>96.734294337793287</v>
      </c>
      <c r="F72">
        <f t="shared" si="6"/>
        <v>1.0337595439607277E-2</v>
      </c>
      <c r="G72" s="4">
        <f t="shared" si="7"/>
        <v>2.0194178709577612E-2</v>
      </c>
    </row>
    <row r="73" spans="1:7" x14ac:dyDescent="0.3">
      <c r="A73" s="1">
        <v>34668</v>
      </c>
      <c r="B73">
        <v>1.0104E-2</v>
      </c>
      <c r="C73">
        <f t="shared" si="4"/>
        <v>98.970704671417266</v>
      </c>
      <c r="D73">
        <v>-33.270000000000003</v>
      </c>
      <c r="E73">
        <f t="shared" si="5"/>
        <v>98.638004671417264</v>
      </c>
      <c r="F73">
        <f t="shared" si="6"/>
        <v>1.0138080178438301E-2</v>
      </c>
      <c r="G73" s="4">
        <f t="shared" si="7"/>
        <v>-2.2596690010936581E-2</v>
      </c>
    </row>
    <row r="74" spans="1:7" x14ac:dyDescent="0.3">
      <c r="A74" s="1">
        <v>34698</v>
      </c>
      <c r="B74">
        <v>1.0042000000000001E-2</v>
      </c>
      <c r="C74">
        <f t="shared" si="4"/>
        <v>99.581756622186816</v>
      </c>
      <c r="D74">
        <v>-32.47</v>
      </c>
      <c r="E74">
        <f t="shared" si="5"/>
        <v>99.257056622186809</v>
      </c>
      <c r="F74">
        <f t="shared" si="6"/>
        <v>1.0074850434124915E-2</v>
      </c>
      <c r="G74" s="4">
        <f t="shared" si="7"/>
        <v>-9.4771570896277114E-3</v>
      </c>
    </row>
    <row r="75" spans="1:7" x14ac:dyDescent="0.3">
      <c r="A75" s="1">
        <v>34730</v>
      </c>
      <c r="B75">
        <v>1.0045E-2</v>
      </c>
      <c r="C75">
        <f t="shared" si="4"/>
        <v>99.552015928322547</v>
      </c>
      <c r="D75">
        <v>-29.38</v>
      </c>
      <c r="E75">
        <f t="shared" si="5"/>
        <v>99.258215928322542</v>
      </c>
      <c r="F75">
        <f t="shared" si="6"/>
        <v>1.0074732762899257E-2</v>
      </c>
      <c r="G75" s="4">
        <f t="shared" si="7"/>
        <v>-2.9628662301334962E-3</v>
      </c>
    </row>
    <row r="76" spans="1:7" x14ac:dyDescent="0.3">
      <c r="A76" s="1">
        <v>34758</v>
      </c>
      <c r="B76">
        <v>1.0343E-2</v>
      </c>
      <c r="C76">
        <f t="shared" si="4"/>
        <v>96.683747462051628</v>
      </c>
      <c r="D76">
        <v>-32.049999999999997</v>
      </c>
      <c r="E76">
        <f t="shared" si="5"/>
        <v>96.363247462051632</v>
      </c>
      <c r="F76">
        <f t="shared" si="6"/>
        <v>1.0377400371379197E-2</v>
      </c>
      <c r="G76" s="4">
        <f t="shared" si="7"/>
        <v>2.6627727346640016E-2</v>
      </c>
    </row>
    <row r="77" spans="1:7" x14ac:dyDescent="0.3">
      <c r="A77" s="1">
        <v>34789</v>
      </c>
      <c r="B77">
        <v>1.1554E-2</v>
      </c>
      <c r="C77">
        <f t="shared" si="4"/>
        <v>86.550112515146267</v>
      </c>
      <c r="D77">
        <v>-34.67</v>
      </c>
      <c r="E77">
        <f t="shared" si="5"/>
        <v>86.203412515146269</v>
      </c>
      <c r="F77">
        <f t="shared" si="6"/>
        <v>1.1600468830909637E-2</v>
      </c>
      <c r="G77" s="4">
        <f t="shared" si="7"/>
        <v>0.11338096117654452</v>
      </c>
    </row>
    <row r="78" spans="1:7" x14ac:dyDescent="0.3">
      <c r="A78" s="1">
        <v>34817</v>
      </c>
      <c r="B78">
        <v>1.1856999999999999E-2</v>
      </c>
      <c r="C78">
        <f t="shared" si="4"/>
        <v>84.338365522476181</v>
      </c>
      <c r="D78">
        <v>-33.409999999999997</v>
      </c>
      <c r="E78">
        <f t="shared" si="5"/>
        <v>84.004265522476175</v>
      </c>
      <c r="F78">
        <f t="shared" si="6"/>
        <v>1.1904157411297646E-2</v>
      </c>
      <c r="G78" s="4">
        <f t="shared" si="7"/>
        <v>2.2113862192089242E-2</v>
      </c>
    </row>
    <row r="79" spans="1:7" x14ac:dyDescent="0.3">
      <c r="A79" s="1">
        <v>34850</v>
      </c>
      <c r="B79">
        <v>1.1818E-2</v>
      </c>
      <c r="C79">
        <f t="shared" si="4"/>
        <v>84.616686410560163</v>
      </c>
      <c r="D79">
        <v>-34.43</v>
      </c>
      <c r="E79">
        <f t="shared" si="5"/>
        <v>84.272386410560159</v>
      </c>
      <c r="F79">
        <f t="shared" si="6"/>
        <v>1.1866283163362397E-2</v>
      </c>
      <c r="G79" s="4">
        <f t="shared" si="7"/>
        <v>-7.2375900553765709E-3</v>
      </c>
    </row>
    <row r="80" spans="1:7" x14ac:dyDescent="0.3">
      <c r="A80" s="1">
        <v>34880</v>
      </c>
      <c r="B80">
        <v>1.1816999999999999E-2</v>
      </c>
      <c r="C80">
        <f t="shared" si="4"/>
        <v>84.623847000084623</v>
      </c>
      <c r="D80">
        <v>-34.89</v>
      </c>
      <c r="E80">
        <f t="shared" si="5"/>
        <v>84.274947000084623</v>
      </c>
      <c r="F80">
        <f t="shared" si="6"/>
        <v>1.1865922621096349E-2</v>
      </c>
      <c r="G80" s="4">
        <f t="shared" si="7"/>
        <v>-4.1532097864106967E-3</v>
      </c>
    </row>
    <row r="81" spans="1:7" x14ac:dyDescent="0.3">
      <c r="A81" s="1">
        <v>34911</v>
      </c>
      <c r="B81">
        <v>1.1306E-2</v>
      </c>
      <c r="C81">
        <f t="shared" si="4"/>
        <v>88.448611356801692</v>
      </c>
      <c r="D81">
        <v>-40.32</v>
      </c>
      <c r="E81">
        <f t="shared" si="5"/>
        <v>88.045411356801694</v>
      </c>
      <c r="F81">
        <f t="shared" si="6"/>
        <v>1.1357775318324388E-2</v>
      </c>
      <c r="G81" s="4">
        <f t="shared" si="7"/>
        <v>-4.7187449217043265E-2</v>
      </c>
    </row>
    <row r="82" spans="1:7" x14ac:dyDescent="0.3">
      <c r="A82" s="1">
        <v>34942</v>
      </c>
      <c r="B82">
        <v>1.0260999999999999E-2</v>
      </c>
      <c r="C82">
        <f t="shared" si="4"/>
        <v>97.456388266250855</v>
      </c>
      <c r="D82">
        <v>-40.159999999999997</v>
      </c>
      <c r="E82">
        <f t="shared" si="5"/>
        <v>97.054788266250853</v>
      </c>
      <c r="F82">
        <f t="shared" si="6"/>
        <v>1.030345867384405E-2</v>
      </c>
      <c r="G82" s="4">
        <f t="shared" si="7"/>
        <v>-9.6566034067857937E-2</v>
      </c>
    </row>
    <row r="83" spans="1:7" x14ac:dyDescent="0.3">
      <c r="A83" s="1">
        <v>34971</v>
      </c>
      <c r="B83">
        <v>1.0028E-2</v>
      </c>
      <c r="C83">
        <f t="shared" si="4"/>
        <v>99.720781810929395</v>
      </c>
      <c r="D83">
        <v>-50.64</v>
      </c>
      <c r="E83">
        <f t="shared" si="5"/>
        <v>99.214381810929396</v>
      </c>
      <c r="F83">
        <f t="shared" si="6"/>
        <v>1.0079183902044337E-2</v>
      </c>
      <c r="G83" s="4">
        <f t="shared" si="7"/>
        <v>-2.6734583266036453E-2</v>
      </c>
    </row>
    <row r="84" spans="1:7" x14ac:dyDescent="0.3">
      <c r="A84" s="1">
        <v>35003</v>
      </c>
      <c r="B84">
        <v>9.8080000000000007E-3</v>
      </c>
      <c r="C84">
        <f t="shared" si="4"/>
        <v>101.95758564437193</v>
      </c>
      <c r="D84">
        <v>-48.35</v>
      </c>
      <c r="E84">
        <f t="shared" si="5"/>
        <v>101.47408564437193</v>
      </c>
      <c r="F84">
        <f t="shared" si="6"/>
        <v>9.854732798525721E-3</v>
      </c>
      <c r="G84" s="4">
        <f t="shared" si="7"/>
        <v>-2.6905343198404458E-2</v>
      </c>
    </row>
    <row r="85" spans="1:7" x14ac:dyDescent="0.3">
      <c r="A85" s="1">
        <v>35033</v>
      </c>
      <c r="B85">
        <v>9.8010000000000007E-3</v>
      </c>
      <c r="C85">
        <f t="shared" si="4"/>
        <v>102.03040506070808</v>
      </c>
      <c r="D85">
        <v>-47.87</v>
      </c>
      <c r="E85">
        <f t="shared" si="5"/>
        <v>101.55170506070807</v>
      </c>
      <c r="F85">
        <f t="shared" si="6"/>
        <v>9.8472004916332571E-3</v>
      </c>
      <c r="G85" s="4">
        <f t="shared" si="7"/>
        <v>-5.4524865995107218E-3</v>
      </c>
    </row>
    <row r="86" spans="1:7" x14ac:dyDescent="0.3">
      <c r="A86" s="1">
        <v>35062</v>
      </c>
      <c r="B86">
        <v>9.6600000000000002E-3</v>
      </c>
      <c r="C86">
        <f t="shared" si="4"/>
        <v>103.51966873706004</v>
      </c>
      <c r="D86">
        <v>-46.57</v>
      </c>
      <c r="E86">
        <f t="shared" si="5"/>
        <v>103.05396873706005</v>
      </c>
      <c r="F86">
        <f t="shared" si="6"/>
        <v>9.7036534570684816E-3</v>
      </c>
      <c r="G86" s="4">
        <f t="shared" si="7"/>
        <v>-1.9010529113560052E-2</v>
      </c>
    </row>
    <row r="87" spans="1:7" x14ac:dyDescent="0.3">
      <c r="A87" s="1">
        <v>35095</v>
      </c>
      <c r="B87">
        <v>9.3419999999999996E-3</v>
      </c>
      <c r="C87">
        <f t="shared" si="4"/>
        <v>107.04345964461572</v>
      </c>
      <c r="D87">
        <v>-45.16</v>
      </c>
      <c r="E87">
        <f t="shared" si="5"/>
        <v>106.59185964461572</v>
      </c>
      <c r="F87">
        <f t="shared" si="6"/>
        <v>9.3815794501950316E-3</v>
      </c>
      <c r="G87" s="4">
        <f t="shared" si="7"/>
        <v>-3.7269824058385033E-2</v>
      </c>
    </row>
    <row r="88" spans="1:7" x14ac:dyDescent="0.3">
      <c r="A88" s="1">
        <v>35124</v>
      </c>
      <c r="B88">
        <v>9.5029999999999993E-3</v>
      </c>
      <c r="C88">
        <f t="shared" si="4"/>
        <v>105.2299273913501</v>
      </c>
      <c r="D88">
        <v>-40.31</v>
      </c>
      <c r="E88">
        <f t="shared" si="5"/>
        <v>104.82682739135011</v>
      </c>
      <c r="F88">
        <f t="shared" si="6"/>
        <v>9.5395427381074777E-3</v>
      </c>
      <c r="G88" s="4">
        <f t="shared" si="7"/>
        <v>1.2942442202783195E-2</v>
      </c>
    </row>
    <row r="89" spans="1:7" x14ac:dyDescent="0.3">
      <c r="A89" s="1">
        <v>35153</v>
      </c>
      <c r="B89">
        <v>9.3240000000000007E-3</v>
      </c>
      <c r="C89">
        <f t="shared" si="4"/>
        <v>107.25010725010725</v>
      </c>
      <c r="D89">
        <v>-43.1</v>
      </c>
      <c r="E89">
        <f t="shared" si="5"/>
        <v>106.81910725010725</v>
      </c>
      <c r="F89">
        <f t="shared" si="6"/>
        <v>9.3616210221509413E-3</v>
      </c>
      <c r="G89" s="4">
        <f t="shared" si="7"/>
        <v>-2.2594661403051476E-2</v>
      </c>
    </row>
    <row r="90" spans="1:7" x14ac:dyDescent="0.3">
      <c r="A90" s="1">
        <v>35185</v>
      </c>
      <c r="B90">
        <v>9.5119999999999996E-3</v>
      </c>
      <c r="C90">
        <f t="shared" si="4"/>
        <v>105.13036164844408</v>
      </c>
      <c r="D90">
        <v>-45.45</v>
      </c>
      <c r="E90">
        <f t="shared" si="5"/>
        <v>104.67586164844408</v>
      </c>
      <c r="F90">
        <f t="shared" si="6"/>
        <v>9.5533008685280228E-3</v>
      </c>
      <c r="G90" s="4">
        <f t="shared" si="7"/>
        <v>1.6063348163020061E-2</v>
      </c>
    </row>
    <row r="91" spans="1:7" x14ac:dyDescent="0.3">
      <c r="A91" s="1">
        <v>35216</v>
      </c>
      <c r="B91">
        <v>9.2530000000000008E-3</v>
      </c>
      <c r="C91">
        <f t="shared" si="4"/>
        <v>108.07305738679347</v>
      </c>
      <c r="D91">
        <v>-44.16</v>
      </c>
      <c r="E91">
        <f t="shared" si="5"/>
        <v>107.63145738679347</v>
      </c>
      <c r="F91">
        <f t="shared" si="6"/>
        <v>9.2909640385739258E-3</v>
      </c>
      <c r="G91" s="4">
        <f t="shared" si="7"/>
        <v>-3.143425216694682E-2</v>
      </c>
    </row>
    <row r="92" spans="1:7" x14ac:dyDescent="0.3">
      <c r="A92" s="1">
        <v>35244</v>
      </c>
      <c r="B92">
        <v>9.1140000000000006E-3</v>
      </c>
      <c r="C92">
        <f t="shared" si="4"/>
        <v>109.7213078779899</v>
      </c>
      <c r="D92">
        <v>-46.76</v>
      </c>
      <c r="E92">
        <f t="shared" si="5"/>
        <v>109.2537078779899</v>
      </c>
      <c r="F92">
        <f t="shared" si="6"/>
        <v>9.1530074303451496E-3</v>
      </c>
      <c r="G92" s="4">
        <f t="shared" si="7"/>
        <v>-1.9046897376764311E-2</v>
      </c>
    </row>
    <row r="93" spans="1:7" x14ac:dyDescent="0.3">
      <c r="A93" s="1">
        <v>35277</v>
      </c>
      <c r="B93">
        <v>9.3620000000000005E-3</v>
      </c>
      <c r="C93">
        <f t="shared" si="4"/>
        <v>106.81478316599016</v>
      </c>
      <c r="D93">
        <v>-45.38</v>
      </c>
      <c r="E93">
        <f t="shared" si="5"/>
        <v>106.36098316599016</v>
      </c>
      <c r="F93">
        <f t="shared" si="6"/>
        <v>9.4019439293765248E-3</v>
      </c>
      <c r="G93" s="4">
        <f t="shared" si="7"/>
        <v>2.2833213153741542E-2</v>
      </c>
    </row>
    <row r="94" spans="1:7" x14ac:dyDescent="0.3">
      <c r="A94" s="1">
        <v>35307</v>
      </c>
      <c r="B94">
        <v>9.1830000000000002E-3</v>
      </c>
      <c r="C94">
        <f t="shared" si="4"/>
        <v>108.89687465969726</v>
      </c>
      <c r="D94">
        <v>-44.64</v>
      </c>
      <c r="E94">
        <f t="shared" si="5"/>
        <v>108.45047465969726</v>
      </c>
      <c r="F94">
        <f t="shared" si="6"/>
        <v>9.2207987391282799E-3</v>
      </c>
      <c r="G94" s="4">
        <f t="shared" si="7"/>
        <v>-2.3287091586712275E-2</v>
      </c>
    </row>
    <row r="95" spans="1:7" x14ac:dyDescent="0.3">
      <c r="A95" s="1">
        <v>35338</v>
      </c>
      <c r="B95">
        <v>8.9770000000000006E-3</v>
      </c>
      <c r="C95">
        <f t="shared" si="4"/>
        <v>111.39578923916675</v>
      </c>
      <c r="D95">
        <v>-51.8</v>
      </c>
      <c r="E95">
        <f t="shared" si="5"/>
        <v>110.87778923916675</v>
      </c>
      <c r="F95">
        <f t="shared" si="6"/>
        <v>9.0189388412405102E-3</v>
      </c>
      <c r="G95" s="4">
        <f t="shared" si="7"/>
        <v>-2.6440088979897605E-2</v>
      </c>
    </row>
    <row r="96" spans="1:7" x14ac:dyDescent="0.3">
      <c r="A96" s="1">
        <v>35369</v>
      </c>
      <c r="B96">
        <v>8.7670000000000005E-3</v>
      </c>
      <c r="C96">
        <f t="shared" si="4"/>
        <v>114.06410402646287</v>
      </c>
      <c r="D96">
        <v>-46.13</v>
      </c>
      <c r="E96">
        <f t="shared" si="5"/>
        <v>113.60280402646288</v>
      </c>
      <c r="F96">
        <f t="shared" si="6"/>
        <v>8.8025996239235252E-3</v>
      </c>
      <c r="G96" s="4">
        <f t="shared" si="7"/>
        <v>-2.7934421740225125E-2</v>
      </c>
    </row>
    <row r="97" spans="1:7" x14ac:dyDescent="0.3">
      <c r="A97" s="1">
        <v>35398</v>
      </c>
      <c r="B97">
        <v>8.7829999999999991E-3</v>
      </c>
      <c r="C97">
        <f t="shared" si="4"/>
        <v>113.8563133325743</v>
      </c>
      <c r="D97">
        <v>-54.36</v>
      </c>
      <c r="E97">
        <f t="shared" si="5"/>
        <v>113.3127133325743</v>
      </c>
      <c r="F97">
        <f t="shared" si="6"/>
        <v>8.8251350672804638E-3</v>
      </c>
      <c r="G97" s="4">
        <f t="shared" si="7"/>
        <v>-2.2265722355767023E-3</v>
      </c>
    </row>
    <row r="98" spans="1:7" x14ac:dyDescent="0.3">
      <c r="A98" s="1">
        <v>35430</v>
      </c>
      <c r="B98">
        <v>8.6429999999999996E-3</v>
      </c>
      <c r="C98">
        <f t="shared" si="4"/>
        <v>115.70056693277797</v>
      </c>
      <c r="D98">
        <v>-49.81</v>
      </c>
      <c r="E98">
        <f t="shared" si="5"/>
        <v>115.20246693277798</v>
      </c>
      <c r="F98">
        <f t="shared" si="6"/>
        <v>8.6803696711070608E-3</v>
      </c>
      <c r="G98" s="4">
        <f t="shared" si="7"/>
        <v>-2.0638218666560366E-2</v>
      </c>
    </row>
    <row r="99" spans="1:7" x14ac:dyDescent="0.3">
      <c r="A99" s="1">
        <v>35461</v>
      </c>
      <c r="B99">
        <v>8.2439999999999996E-3</v>
      </c>
      <c r="C99">
        <f t="shared" si="4"/>
        <v>121.30033964095099</v>
      </c>
      <c r="D99">
        <v>-47</v>
      </c>
      <c r="E99">
        <f t="shared" si="5"/>
        <v>120.830339640951</v>
      </c>
      <c r="F99">
        <f t="shared" si="6"/>
        <v>8.2760671117164258E-3</v>
      </c>
      <c r="G99" s="4">
        <f t="shared" si="7"/>
        <v>-5.0270862606178419E-2</v>
      </c>
    </row>
    <row r="100" spans="1:7" x14ac:dyDescent="0.3">
      <c r="A100" s="1">
        <v>35489</v>
      </c>
      <c r="B100">
        <v>8.3070000000000001E-3</v>
      </c>
      <c r="C100">
        <f t="shared" si="4"/>
        <v>120.38040207054291</v>
      </c>
      <c r="D100">
        <v>-51.3</v>
      </c>
      <c r="E100">
        <f t="shared" si="5"/>
        <v>119.86740207054291</v>
      </c>
      <c r="F100">
        <f t="shared" si="6"/>
        <v>8.3425517090250454E-3</v>
      </c>
      <c r="G100" s="4">
        <f t="shared" si="7"/>
        <v>3.7376313973798772E-3</v>
      </c>
    </row>
    <row r="101" spans="1:7" x14ac:dyDescent="0.3">
      <c r="A101" s="1">
        <v>35520</v>
      </c>
      <c r="B101">
        <v>8.0780000000000001E-3</v>
      </c>
      <c r="C101">
        <f t="shared" si="4"/>
        <v>123.79301807378064</v>
      </c>
      <c r="D101">
        <v>-54.22</v>
      </c>
      <c r="E101">
        <f t="shared" si="5"/>
        <v>123.25081807378065</v>
      </c>
      <c r="F101">
        <f t="shared" si="6"/>
        <v>8.1135364099683138E-3</v>
      </c>
      <c r="G101" s="4">
        <f t="shared" si="7"/>
        <v>-3.1711126074154376E-2</v>
      </c>
    </row>
    <row r="102" spans="1:7" x14ac:dyDescent="0.3">
      <c r="A102" s="1">
        <v>35550</v>
      </c>
      <c r="B102">
        <v>7.868E-3</v>
      </c>
      <c r="C102">
        <f t="shared" si="4"/>
        <v>127.09710218607016</v>
      </c>
      <c r="D102">
        <v>-55.9</v>
      </c>
      <c r="E102">
        <f t="shared" si="5"/>
        <v>126.53810218607016</v>
      </c>
      <c r="F102">
        <f t="shared" si="6"/>
        <v>7.9027580050910866E-3</v>
      </c>
      <c r="G102" s="4">
        <f t="shared" si="7"/>
        <v>-3.026256339549387E-2</v>
      </c>
    </row>
    <row r="103" spans="1:7" x14ac:dyDescent="0.3">
      <c r="A103" s="1">
        <v>35580</v>
      </c>
      <c r="B103">
        <v>8.5970000000000005E-3</v>
      </c>
      <c r="C103">
        <f t="shared" si="4"/>
        <v>116.31964638827498</v>
      </c>
      <c r="D103">
        <v>-49.5</v>
      </c>
      <c r="E103">
        <f t="shared" si="5"/>
        <v>115.82464638827497</v>
      </c>
      <c r="F103">
        <f t="shared" si="6"/>
        <v>8.633741014392864E-3</v>
      </c>
      <c r="G103" s="4">
        <f t="shared" si="7"/>
        <v>8.784806449364535E-2</v>
      </c>
    </row>
    <row r="104" spans="1:7" x14ac:dyDescent="0.3">
      <c r="A104" s="1">
        <v>35611</v>
      </c>
      <c r="B104">
        <v>8.7279999999999996E-3</v>
      </c>
      <c r="C104">
        <f t="shared" si="4"/>
        <v>114.57378551787352</v>
      </c>
      <c r="D104">
        <v>-52</v>
      </c>
      <c r="E104">
        <f t="shared" si="5"/>
        <v>114.05378551787352</v>
      </c>
      <c r="F104">
        <f t="shared" si="6"/>
        <v>8.7677931553029314E-3</v>
      </c>
      <c r="G104" s="4">
        <f t="shared" si="7"/>
        <v>1.091751367686399E-2</v>
      </c>
    </row>
    <row r="105" spans="1:7" x14ac:dyDescent="0.3">
      <c r="A105" s="1">
        <v>35642</v>
      </c>
      <c r="B105">
        <v>8.4349999999999998E-3</v>
      </c>
      <c r="C105">
        <f t="shared" si="4"/>
        <v>118.55364552459989</v>
      </c>
      <c r="D105">
        <v>-51</v>
      </c>
      <c r="E105">
        <f t="shared" si="5"/>
        <v>118.04364552459988</v>
      </c>
      <c r="F105">
        <f t="shared" si="6"/>
        <v>8.4714428765384365E-3</v>
      </c>
      <c r="G105" s="4">
        <f t="shared" si="7"/>
        <v>-3.7956319156736931E-2</v>
      </c>
    </row>
    <row r="106" spans="1:7" x14ac:dyDescent="0.3">
      <c r="A106" s="1">
        <v>35671</v>
      </c>
      <c r="B106">
        <v>8.2679999999999993E-3</v>
      </c>
      <c r="C106">
        <f t="shared" si="4"/>
        <v>120.94823415578134</v>
      </c>
      <c r="D106">
        <v>-50.7</v>
      </c>
      <c r="E106">
        <f t="shared" si="5"/>
        <v>120.44123415578133</v>
      </c>
      <c r="F106">
        <f t="shared" si="6"/>
        <v>8.3028043261876416E-3</v>
      </c>
      <c r="G106" s="4">
        <f t="shared" si="7"/>
        <v>-2.4015138802608218E-2</v>
      </c>
    </row>
    <row r="107" spans="1:7" x14ac:dyDescent="0.3">
      <c r="A107" s="1">
        <v>35703</v>
      </c>
      <c r="B107">
        <v>8.2979999999999998E-3</v>
      </c>
      <c r="C107">
        <f t="shared" si="4"/>
        <v>120.51096649795132</v>
      </c>
      <c r="D107">
        <v>-54.5</v>
      </c>
      <c r="E107">
        <f t="shared" si="5"/>
        <v>119.96596649795131</v>
      </c>
      <c r="F107">
        <f t="shared" si="6"/>
        <v>8.3356974414662607E-3</v>
      </c>
      <c r="G107" s="4">
        <f t="shared" si="7"/>
        <v>-5.7863897532651185E-4</v>
      </c>
    </row>
    <row r="108" spans="1:7" x14ac:dyDescent="0.3">
      <c r="A108" s="1">
        <v>35734</v>
      </c>
      <c r="B108">
        <v>8.3000000000000001E-3</v>
      </c>
      <c r="C108">
        <f t="shared" si="4"/>
        <v>120.48192771084337</v>
      </c>
      <c r="D108">
        <v>-51.45</v>
      </c>
      <c r="E108">
        <f t="shared" si="5"/>
        <v>119.96742771084337</v>
      </c>
      <c r="F108">
        <f t="shared" si="6"/>
        <v>8.3355959120028217E-3</v>
      </c>
      <c r="G108" s="4">
        <f t="shared" si="7"/>
        <v>-4.2824780670039954E-3</v>
      </c>
    </row>
    <row r="109" spans="1:7" x14ac:dyDescent="0.3">
      <c r="A109" s="1">
        <v>35762</v>
      </c>
      <c r="B109">
        <v>7.8220000000000008E-3</v>
      </c>
      <c r="C109">
        <f t="shared" si="4"/>
        <v>127.84454103809766</v>
      </c>
      <c r="D109">
        <v>-70.8</v>
      </c>
      <c r="E109">
        <f t="shared" si="5"/>
        <v>127.13654103809766</v>
      </c>
      <c r="F109">
        <f t="shared" si="6"/>
        <v>7.8655592785109724E-3</v>
      </c>
      <c r="G109" s="4">
        <f t="shared" si="7"/>
        <v>-6.1614780445783085E-2</v>
      </c>
    </row>
    <row r="110" spans="1:7" x14ac:dyDescent="0.3">
      <c r="A110" s="1">
        <v>35795</v>
      </c>
      <c r="B110">
        <v>7.6579999999999999E-3</v>
      </c>
      <c r="C110">
        <f t="shared" si="4"/>
        <v>130.58239749281796</v>
      </c>
      <c r="D110">
        <v>-58.5</v>
      </c>
      <c r="E110">
        <f t="shared" si="5"/>
        <v>129.99739749281795</v>
      </c>
      <c r="F110">
        <f t="shared" si="6"/>
        <v>7.6924616898984277E-3</v>
      </c>
      <c r="G110" s="4">
        <f t="shared" si="7"/>
        <v>-2.6388368730248194E-2</v>
      </c>
    </row>
    <row r="111" spans="1:7" x14ac:dyDescent="0.3">
      <c r="A111" s="1">
        <v>35825</v>
      </c>
      <c r="B111">
        <v>7.8709999999999995E-3</v>
      </c>
      <c r="C111">
        <f t="shared" si="4"/>
        <v>127.04865963664083</v>
      </c>
      <c r="D111">
        <v>-50</v>
      </c>
      <c r="E111">
        <f t="shared" si="5"/>
        <v>126.54865963664083</v>
      </c>
      <c r="F111">
        <f t="shared" si="6"/>
        <v>7.902098709471124E-3</v>
      </c>
      <c r="G111" s="4">
        <f t="shared" si="7"/>
        <v>2.3209515665970026E-2</v>
      </c>
    </row>
    <row r="112" spans="1:7" x14ac:dyDescent="0.3">
      <c r="A112" s="1">
        <v>35853</v>
      </c>
      <c r="B112">
        <v>7.9299999999999995E-3</v>
      </c>
      <c r="C112">
        <f t="shared" si="4"/>
        <v>126.10340479192939</v>
      </c>
      <c r="D112">
        <v>-54.9</v>
      </c>
      <c r="E112">
        <f t="shared" si="5"/>
        <v>125.55440479192939</v>
      </c>
      <c r="F112">
        <f t="shared" si="6"/>
        <v>7.9646747691346619E-3</v>
      </c>
      <c r="G112" s="4">
        <f t="shared" si="7"/>
        <v>3.5308709185617056E-3</v>
      </c>
    </row>
    <row r="113" spans="1:7" x14ac:dyDescent="0.3">
      <c r="A113" s="1">
        <v>35885</v>
      </c>
      <c r="B113">
        <v>7.515E-3</v>
      </c>
      <c r="C113">
        <f t="shared" si="4"/>
        <v>133.06719893546241</v>
      </c>
      <c r="D113">
        <v>-62</v>
      </c>
      <c r="E113">
        <f t="shared" si="5"/>
        <v>132.44719893546241</v>
      </c>
      <c r="F113">
        <f t="shared" si="6"/>
        <v>7.5501785469035878E-3</v>
      </c>
      <c r="G113" s="4">
        <f t="shared" si="7"/>
        <v>-5.6458647988650738E-2</v>
      </c>
    </row>
    <row r="114" spans="1:7" x14ac:dyDescent="0.3">
      <c r="A114" s="1">
        <v>35915</v>
      </c>
      <c r="B114">
        <v>7.5259999999999997E-3</v>
      </c>
      <c r="C114">
        <f t="shared" si="4"/>
        <v>132.87270794578794</v>
      </c>
      <c r="D114">
        <v>-61</v>
      </c>
      <c r="E114">
        <f t="shared" si="5"/>
        <v>132.26270794578792</v>
      </c>
      <c r="F114">
        <f t="shared" si="6"/>
        <v>7.5607101618536485E-3</v>
      </c>
      <c r="G114" s="4">
        <f t="shared" si="7"/>
        <v>-3.20238081170994E-3</v>
      </c>
    </row>
    <row r="115" spans="1:7" x14ac:dyDescent="0.3">
      <c r="A115" s="1">
        <v>35944</v>
      </c>
      <c r="B115">
        <v>7.2049999999999996E-3</v>
      </c>
      <c r="C115">
        <f t="shared" si="4"/>
        <v>138.79250520471896</v>
      </c>
      <c r="D115">
        <v>-59</v>
      </c>
      <c r="E115">
        <f t="shared" si="5"/>
        <v>138.20250520471896</v>
      </c>
      <c r="F115">
        <f t="shared" si="6"/>
        <v>7.2357588490794935E-3</v>
      </c>
      <c r="G115" s="4">
        <f t="shared" si="7"/>
        <v>-4.7047189250598122E-2</v>
      </c>
    </row>
    <row r="116" spans="1:7" x14ac:dyDescent="0.3">
      <c r="A116" s="1">
        <v>35976</v>
      </c>
      <c r="B116">
        <v>7.2059999999999997E-3</v>
      </c>
      <c r="C116">
        <f t="shared" si="4"/>
        <v>138.77324451845683</v>
      </c>
      <c r="D116">
        <v>-63.85</v>
      </c>
      <c r="E116">
        <f t="shared" si="5"/>
        <v>138.13474451845684</v>
      </c>
      <c r="F116">
        <f t="shared" si="6"/>
        <v>7.2393082818232252E-3</v>
      </c>
      <c r="G116" s="4">
        <f t="shared" si="7"/>
        <v>-4.1127474947951787E-3</v>
      </c>
    </row>
    <row r="117" spans="1:7" x14ac:dyDescent="0.3">
      <c r="A117" s="1">
        <v>36007</v>
      </c>
      <c r="B117">
        <v>6.914E-3</v>
      </c>
      <c r="C117">
        <f t="shared" si="4"/>
        <v>144.6340757882557</v>
      </c>
      <c r="D117">
        <v>-63.5</v>
      </c>
      <c r="E117">
        <f t="shared" si="5"/>
        <v>143.99907578825571</v>
      </c>
      <c r="F117">
        <f t="shared" si="6"/>
        <v>6.9444890151271242E-3</v>
      </c>
      <c r="G117" s="4">
        <f t="shared" si="7"/>
        <v>-4.4936376399389369E-2</v>
      </c>
    </row>
    <row r="118" spans="1:7" x14ac:dyDescent="0.3">
      <c r="A118" s="1">
        <v>36038</v>
      </c>
      <c r="B118">
        <v>7.1789999999999996E-3</v>
      </c>
      <c r="C118">
        <f t="shared" si="4"/>
        <v>139.29516645772392</v>
      </c>
      <c r="D118">
        <v>-60.7</v>
      </c>
      <c r="E118">
        <f t="shared" si="5"/>
        <v>138.68816645772392</v>
      </c>
      <c r="F118">
        <f t="shared" si="6"/>
        <v>7.2104205105691429E-3</v>
      </c>
      <c r="G118" s="4">
        <f t="shared" si="7"/>
        <v>3.376936508388767E-2</v>
      </c>
    </row>
    <row r="119" spans="1:7" x14ac:dyDescent="0.3">
      <c r="A119" s="1">
        <v>36068</v>
      </c>
      <c r="B119">
        <v>7.3280000000000003E-3</v>
      </c>
      <c r="C119">
        <f t="shared" si="4"/>
        <v>136.46288209606988</v>
      </c>
      <c r="D119">
        <v>-59.4</v>
      </c>
      <c r="E119">
        <f t="shared" si="5"/>
        <v>135.86888209606988</v>
      </c>
      <c r="F119">
        <f t="shared" si="6"/>
        <v>7.3600370045947836E-3</v>
      </c>
      <c r="G119" s="4">
        <f t="shared" si="7"/>
        <v>1.6306883802200946E-2</v>
      </c>
    </row>
    <row r="120" spans="1:7" x14ac:dyDescent="0.3">
      <c r="A120" s="1">
        <v>36098</v>
      </c>
      <c r="B120">
        <v>8.6230000000000005E-3</v>
      </c>
      <c r="C120">
        <f t="shared" si="4"/>
        <v>115.96892032935173</v>
      </c>
      <c r="D120">
        <v>-49.6</v>
      </c>
      <c r="E120">
        <f t="shared" si="5"/>
        <v>115.47292032935174</v>
      </c>
      <c r="F120">
        <f t="shared" si="6"/>
        <v>8.6600390563242105E-3</v>
      </c>
      <c r="G120" s="4">
        <f t="shared" si="7"/>
        <v>0.17159737031441066</v>
      </c>
    </row>
    <row r="121" spans="1:7" x14ac:dyDescent="0.3">
      <c r="A121" s="1">
        <v>36129</v>
      </c>
      <c r="B121">
        <v>8.1239999999999993E-3</v>
      </c>
      <c r="C121">
        <f t="shared" si="4"/>
        <v>123.09207287050715</v>
      </c>
      <c r="D121">
        <v>-59.5</v>
      </c>
      <c r="E121">
        <f t="shared" si="5"/>
        <v>122.49707287050715</v>
      </c>
      <c r="F121">
        <f t="shared" si="6"/>
        <v>8.163460371474425E-3</v>
      </c>
      <c r="G121" s="4">
        <f t="shared" si="7"/>
        <v>-6.1897995244346533E-2</v>
      </c>
    </row>
    <row r="122" spans="1:7" x14ac:dyDescent="0.3">
      <c r="A122" s="1">
        <v>36160</v>
      </c>
      <c r="B122">
        <v>8.7790000000000003E-3</v>
      </c>
      <c r="C122">
        <f t="shared" si="4"/>
        <v>113.90818999886092</v>
      </c>
      <c r="D122">
        <v>-46.5</v>
      </c>
      <c r="E122">
        <f t="shared" si="5"/>
        <v>113.44318999886092</v>
      </c>
      <c r="F122">
        <f t="shared" si="6"/>
        <v>8.8149848396368354E-3</v>
      </c>
      <c r="G122" s="4">
        <f t="shared" si="7"/>
        <v>7.5401802730182307E-2</v>
      </c>
    </row>
    <row r="123" spans="1:7" x14ac:dyDescent="0.3">
      <c r="A123" s="1">
        <v>36189</v>
      </c>
      <c r="B123">
        <v>8.5959999999999995E-3</v>
      </c>
      <c r="C123">
        <f t="shared" si="4"/>
        <v>116.33317822242904</v>
      </c>
      <c r="D123">
        <v>-41</v>
      </c>
      <c r="E123">
        <f t="shared" si="5"/>
        <v>115.92317822242904</v>
      </c>
      <c r="F123">
        <f t="shared" si="6"/>
        <v>8.6264025480843661E-3</v>
      </c>
      <c r="G123" s="4">
        <f t="shared" si="7"/>
        <v>-2.4842338769791666E-2</v>
      </c>
    </row>
    <row r="124" spans="1:7" x14ac:dyDescent="0.3">
      <c r="A124" s="1">
        <v>36217</v>
      </c>
      <c r="B124">
        <v>8.3890000000000006E-3</v>
      </c>
      <c r="C124">
        <f t="shared" si="4"/>
        <v>119.20371915603766</v>
      </c>
      <c r="D124">
        <v>-47.85</v>
      </c>
      <c r="E124">
        <f t="shared" si="5"/>
        <v>118.72521915603767</v>
      </c>
      <c r="F124">
        <f t="shared" si="6"/>
        <v>8.4228103102991485E-3</v>
      </c>
      <c r="G124" s="4">
        <f t="shared" si="7"/>
        <v>-2.7520457892042681E-2</v>
      </c>
    </row>
    <row r="125" spans="1:7" x14ac:dyDescent="0.3">
      <c r="A125" s="1">
        <v>36250</v>
      </c>
      <c r="B125">
        <v>8.4130000000000003E-3</v>
      </c>
      <c r="C125">
        <f t="shared" si="4"/>
        <v>118.86366337810531</v>
      </c>
      <c r="D125">
        <v>-52.5</v>
      </c>
      <c r="E125">
        <f t="shared" si="5"/>
        <v>118.33866337810531</v>
      </c>
      <c r="F125">
        <f t="shared" si="6"/>
        <v>8.4503236005369423E-3</v>
      </c>
      <c r="G125" s="4">
        <f t="shared" si="7"/>
        <v>-1.1647312402551045E-3</v>
      </c>
    </row>
    <row r="126" spans="1:7" x14ac:dyDescent="0.3">
      <c r="A126" s="1">
        <v>36280</v>
      </c>
      <c r="B126">
        <v>8.3859999999999994E-3</v>
      </c>
      <c r="C126">
        <f t="shared" si="4"/>
        <v>119.24636298592894</v>
      </c>
      <c r="D126">
        <v>-48.75</v>
      </c>
      <c r="E126">
        <f t="shared" si="5"/>
        <v>118.75886298592894</v>
      </c>
      <c r="F126">
        <f t="shared" si="6"/>
        <v>8.42042416757126E-3</v>
      </c>
      <c r="G126" s="4">
        <f t="shared" si="7"/>
        <v>-7.611968911209E-3</v>
      </c>
    </row>
    <row r="127" spans="1:7" x14ac:dyDescent="0.3">
      <c r="A127" s="1">
        <v>36311</v>
      </c>
      <c r="B127">
        <v>8.2310000000000005E-3</v>
      </c>
      <c r="C127">
        <f t="shared" si="4"/>
        <v>121.49192078726765</v>
      </c>
      <c r="D127">
        <v>-49.2</v>
      </c>
      <c r="E127">
        <f t="shared" si="5"/>
        <v>120.99992078726764</v>
      </c>
      <c r="F127">
        <f t="shared" si="6"/>
        <v>8.2644682202571013E-3</v>
      </c>
      <c r="G127" s="4">
        <f t="shared" si="7"/>
        <v>-2.2495798762818851E-2</v>
      </c>
    </row>
    <row r="128" spans="1:7" x14ac:dyDescent="0.3">
      <c r="A128" s="1">
        <v>36341</v>
      </c>
      <c r="B128">
        <v>8.2579999999999997E-3</v>
      </c>
      <c r="C128">
        <f t="shared" si="4"/>
        <v>121.09469605231291</v>
      </c>
      <c r="D128">
        <v>-53</v>
      </c>
      <c r="E128">
        <f t="shared" si="5"/>
        <v>120.56469605231291</v>
      </c>
      <c r="F128">
        <f t="shared" si="6"/>
        <v>8.294302003350143E-3</v>
      </c>
      <c r="G128" s="4">
        <f t="shared" si="7"/>
        <v>-7.8265413874388685E-4</v>
      </c>
    </row>
    <row r="129" spans="1:7" x14ac:dyDescent="0.3">
      <c r="A129" s="1">
        <v>36371</v>
      </c>
      <c r="B129">
        <v>8.7320000000000002E-3</v>
      </c>
      <c r="C129">
        <f t="shared" si="4"/>
        <v>114.52130096197892</v>
      </c>
      <c r="D129">
        <v>-50.48</v>
      </c>
      <c r="E129">
        <f t="shared" si="5"/>
        <v>114.01650096197892</v>
      </c>
      <c r="F129">
        <f t="shared" si="6"/>
        <v>8.7706603128740995E-3</v>
      </c>
      <c r="G129" s="4">
        <f t="shared" si="7"/>
        <v>5.27709259287963E-2</v>
      </c>
    </row>
    <row r="130" spans="1:7" x14ac:dyDescent="0.3">
      <c r="A130" s="1">
        <v>36403</v>
      </c>
      <c r="B130">
        <v>9.1149999999999998E-3</v>
      </c>
      <c r="C130">
        <f t="shared" si="4"/>
        <v>109.70927043335162</v>
      </c>
      <c r="D130">
        <v>-52</v>
      </c>
      <c r="E130">
        <f t="shared" si="5"/>
        <v>109.18927043335162</v>
      </c>
      <c r="F130">
        <f t="shared" si="6"/>
        <v>9.158409027106679E-3</v>
      </c>
      <c r="G130" s="4">
        <f t="shared" si="7"/>
        <v>3.9260406268437735E-2</v>
      </c>
    </row>
    <row r="131" spans="1:7" x14ac:dyDescent="0.3">
      <c r="A131" s="1">
        <v>36433</v>
      </c>
      <c r="B131">
        <v>9.4050000000000002E-3</v>
      </c>
      <c r="C131">
        <f t="shared" ref="C131:C194" si="8">1/B131</f>
        <v>106.3264221158958</v>
      </c>
      <c r="D131">
        <v>-48.85</v>
      </c>
      <c r="E131">
        <f t="shared" ref="E131:E194" si="9">C131+D131/10^2</f>
        <v>105.83792211589579</v>
      </c>
      <c r="F131">
        <f t="shared" ref="F131:F194" si="10">1/E131</f>
        <v>9.4484092280739326E-3</v>
      </c>
      <c r="G131" s="4">
        <f t="shared" si="7"/>
        <v>2.6925088425672122E-2</v>
      </c>
    </row>
    <row r="132" spans="1:7" x14ac:dyDescent="0.3">
      <c r="A132" s="1">
        <v>36462</v>
      </c>
      <c r="B132">
        <v>9.6069999999999992E-3</v>
      </c>
      <c r="C132">
        <f t="shared" si="8"/>
        <v>104.0907671489539</v>
      </c>
      <c r="D132">
        <v>-49.9</v>
      </c>
      <c r="E132">
        <f t="shared" si="9"/>
        <v>103.59176714895391</v>
      </c>
      <c r="F132">
        <f t="shared" si="10"/>
        <v>9.6532767759633514E-3</v>
      </c>
      <c r="G132" s="4">
        <f t="shared" ref="G132:G195" si="11">(B132-F131)/(F131)</f>
        <v>1.6784917767410829E-2</v>
      </c>
    </row>
    <row r="133" spans="1:7" x14ac:dyDescent="0.3">
      <c r="A133" s="1">
        <v>36494</v>
      </c>
      <c r="B133">
        <v>9.7890000000000008E-3</v>
      </c>
      <c r="C133">
        <f t="shared" si="8"/>
        <v>102.15548064153641</v>
      </c>
      <c r="D133">
        <v>-48</v>
      </c>
      <c r="E133">
        <f t="shared" si="9"/>
        <v>101.67548064153641</v>
      </c>
      <c r="F133">
        <f t="shared" si="10"/>
        <v>9.8352129116120509E-3</v>
      </c>
      <c r="G133" s="4">
        <f t="shared" si="11"/>
        <v>1.4059808621109888E-2</v>
      </c>
    </row>
    <row r="134" spans="1:7" x14ac:dyDescent="0.3">
      <c r="A134" s="1">
        <v>36525</v>
      </c>
      <c r="B134">
        <v>9.7549999999999998E-3</v>
      </c>
      <c r="C134">
        <f t="shared" si="8"/>
        <v>102.51153254741159</v>
      </c>
      <c r="D134">
        <v>-53.5</v>
      </c>
      <c r="E134">
        <f t="shared" si="9"/>
        <v>101.97653254741159</v>
      </c>
      <c r="F134">
        <f t="shared" si="10"/>
        <v>9.8061777059842026E-3</v>
      </c>
      <c r="G134" s="4">
        <f t="shared" si="11"/>
        <v>-8.1556863418123741E-3</v>
      </c>
    </row>
    <row r="135" spans="1:7" x14ac:dyDescent="0.3">
      <c r="A135" s="1">
        <v>36556</v>
      </c>
      <c r="B135">
        <v>9.3130000000000001E-3</v>
      </c>
      <c r="C135">
        <f t="shared" si="8"/>
        <v>107.37678513905294</v>
      </c>
      <c r="D135">
        <v>-50</v>
      </c>
      <c r="E135">
        <f t="shared" si="9"/>
        <v>106.87678513905294</v>
      </c>
      <c r="F135">
        <f t="shared" si="10"/>
        <v>9.35656886291014E-3</v>
      </c>
      <c r="G135" s="4">
        <f t="shared" si="11"/>
        <v>-5.0292552385955813E-2</v>
      </c>
    </row>
    <row r="136" spans="1:7" x14ac:dyDescent="0.3">
      <c r="A136" s="1">
        <v>36585</v>
      </c>
      <c r="B136">
        <v>9.0670000000000004E-3</v>
      </c>
      <c r="C136">
        <f t="shared" si="8"/>
        <v>110.29006286533583</v>
      </c>
      <c r="D136">
        <v>-54.5</v>
      </c>
      <c r="E136">
        <f t="shared" si="9"/>
        <v>109.74506286533583</v>
      </c>
      <c r="F136">
        <f t="shared" si="10"/>
        <v>9.112027219184006E-3</v>
      </c>
      <c r="G136" s="4">
        <f t="shared" si="11"/>
        <v>-3.0948189144206873E-2</v>
      </c>
    </row>
    <row r="137" spans="1:7" x14ac:dyDescent="0.3">
      <c r="A137" s="1">
        <v>36616</v>
      </c>
      <c r="B137">
        <v>9.7280000000000005E-3</v>
      </c>
      <c r="C137">
        <f t="shared" si="8"/>
        <v>102.79605263157895</v>
      </c>
      <c r="D137">
        <v>-58.05</v>
      </c>
      <c r="E137">
        <f t="shared" si="9"/>
        <v>102.21555263157894</v>
      </c>
      <c r="F137">
        <f t="shared" si="10"/>
        <v>9.7832470133420325E-3</v>
      </c>
      <c r="G137" s="4">
        <f t="shared" si="11"/>
        <v>6.7599971553987045E-2</v>
      </c>
    </row>
    <row r="138" spans="1:7" x14ac:dyDescent="0.3">
      <c r="A138" s="1">
        <v>36644</v>
      </c>
      <c r="B138">
        <v>9.2429999999999995E-3</v>
      </c>
      <c r="C138">
        <f t="shared" si="8"/>
        <v>108.18998160770313</v>
      </c>
      <c r="D138">
        <v>-57.5</v>
      </c>
      <c r="E138">
        <f t="shared" si="9"/>
        <v>107.61498160770313</v>
      </c>
      <c r="F138">
        <f t="shared" si="10"/>
        <v>9.2923864787281575E-3</v>
      </c>
      <c r="G138" s="4">
        <f t="shared" si="11"/>
        <v>-5.52216470263159E-2</v>
      </c>
    </row>
    <row r="139" spans="1:7" x14ac:dyDescent="0.3">
      <c r="A139" s="1">
        <v>36677</v>
      </c>
      <c r="B139">
        <v>9.2890000000000004E-3</v>
      </c>
      <c r="C139">
        <f t="shared" si="8"/>
        <v>107.65421466250403</v>
      </c>
      <c r="D139">
        <v>-58.75</v>
      </c>
      <c r="E139">
        <f t="shared" si="9"/>
        <v>107.06671466250403</v>
      </c>
      <c r="F139">
        <f t="shared" si="10"/>
        <v>9.3399709064782878E-3</v>
      </c>
      <c r="G139" s="4">
        <f t="shared" si="11"/>
        <v>-3.644358460455075E-4</v>
      </c>
    </row>
    <row r="140" spans="1:7" x14ac:dyDescent="0.3">
      <c r="A140" s="1">
        <v>36707</v>
      </c>
      <c r="B140">
        <v>9.4359999999999999E-3</v>
      </c>
      <c r="C140">
        <f t="shared" si="8"/>
        <v>105.977108944468</v>
      </c>
      <c r="D140">
        <v>-62.55</v>
      </c>
      <c r="E140">
        <f t="shared" si="9"/>
        <v>105.351608944468</v>
      </c>
      <c r="F140">
        <f t="shared" si="10"/>
        <v>9.492023994879006E-3</v>
      </c>
      <c r="G140" s="4">
        <f t="shared" si="11"/>
        <v>1.028151955538807E-2</v>
      </c>
    </row>
    <row r="141" spans="1:7" x14ac:dyDescent="0.3">
      <c r="A141" s="1">
        <v>36738</v>
      </c>
      <c r="B141">
        <v>9.1400000000000006E-3</v>
      </c>
      <c r="C141">
        <f t="shared" si="8"/>
        <v>109.40919037199124</v>
      </c>
      <c r="D141">
        <v>-66.900000000000006</v>
      </c>
      <c r="E141">
        <f t="shared" si="9"/>
        <v>108.74019037199125</v>
      </c>
      <c r="F141">
        <f t="shared" si="10"/>
        <v>9.1962318309272983E-3</v>
      </c>
      <c r="G141" s="4">
        <f t="shared" si="11"/>
        <v>-3.7086294247562393E-2</v>
      </c>
    </row>
    <row r="142" spans="1:7" x14ac:dyDescent="0.3">
      <c r="A142" s="1">
        <v>36769</v>
      </c>
      <c r="B142">
        <v>9.3720000000000001E-3</v>
      </c>
      <c r="C142">
        <f t="shared" si="8"/>
        <v>106.70081092616304</v>
      </c>
      <c r="D142">
        <v>-54.7</v>
      </c>
      <c r="E142">
        <f t="shared" si="9"/>
        <v>106.15381092616305</v>
      </c>
      <c r="F142">
        <f t="shared" si="10"/>
        <v>9.4202929812436578E-3</v>
      </c>
      <c r="G142" s="4">
        <f t="shared" si="11"/>
        <v>1.9113064166301933E-2</v>
      </c>
    </row>
    <row r="143" spans="1:7" x14ac:dyDescent="0.3">
      <c r="A143" s="1">
        <v>36798</v>
      </c>
      <c r="B143">
        <v>9.247E-3</v>
      </c>
      <c r="C143">
        <f t="shared" si="8"/>
        <v>108.14318157240186</v>
      </c>
      <c r="D143">
        <v>-63.28</v>
      </c>
      <c r="E143">
        <f t="shared" si="9"/>
        <v>107.51038157240185</v>
      </c>
      <c r="F143">
        <f t="shared" si="10"/>
        <v>9.3014273168266961E-3</v>
      </c>
      <c r="G143" s="4">
        <f t="shared" si="11"/>
        <v>-1.8395710365770361E-2</v>
      </c>
    </row>
    <row r="144" spans="1:7" x14ac:dyDescent="0.3">
      <c r="A144" s="1">
        <v>36830</v>
      </c>
      <c r="B144">
        <v>9.1730000000000006E-3</v>
      </c>
      <c r="C144">
        <f t="shared" si="8"/>
        <v>109.01558922925977</v>
      </c>
      <c r="D144">
        <v>-60.2</v>
      </c>
      <c r="E144">
        <f t="shared" si="9"/>
        <v>108.41358922925977</v>
      </c>
      <c r="F144">
        <f t="shared" si="10"/>
        <v>9.2239359208495762E-3</v>
      </c>
      <c r="G144" s="4">
        <f t="shared" si="11"/>
        <v>-1.3807269836357777E-2</v>
      </c>
    </row>
    <row r="145" spans="1:7" x14ac:dyDescent="0.3">
      <c r="A145" s="1">
        <v>36860</v>
      </c>
      <c r="B145">
        <v>9.0589999999999993E-3</v>
      </c>
      <c r="C145">
        <f t="shared" si="8"/>
        <v>110.38745998454576</v>
      </c>
      <c r="D145">
        <v>-57.05</v>
      </c>
      <c r="E145">
        <f t="shared" si="9"/>
        <v>109.81695998454576</v>
      </c>
      <c r="F145">
        <f t="shared" si="10"/>
        <v>9.1060615786553115E-3</v>
      </c>
      <c r="G145" s="4">
        <f t="shared" si="11"/>
        <v>-1.7881295172135731E-2</v>
      </c>
    </row>
    <row r="146" spans="1:7" x14ac:dyDescent="0.3">
      <c r="A146" s="1">
        <v>36889</v>
      </c>
      <c r="B146">
        <v>8.7410000000000005E-3</v>
      </c>
      <c r="C146">
        <f t="shared" si="8"/>
        <v>114.40338634023567</v>
      </c>
      <c r="D146">
        <v>-59.25</v>
      </c>
      <c r="E146">
        <f t="shared" si="9"/>
        <v>113.81088634023567</v>
      </c>
      <c r="F146">
        <f t="shared" si="10"/>
        <v>8.7865056863762336E-3</v>
      </c>
      <c r="G146" s="4">
        <f t="shared" si="11"/>
        <v>-4.0089952775085397E-2</v>
      </c>
    </row>
    <row r="147" spans="1:7" x14ac:dyDescent="0.3">
      <c r="A147" s="1">
        <v>36922</v>
      </c>
      <c r="B147">
        <v>8.5789999999999998E-3</v>
      </c>
      <c r="C147">
        <f t="shared" si="8"/>
        <v>116.56370206317753</v>
      </c>
      <c r="D147">
        <v>-45.55</v>
      </c>
      <c r="E147">
        <f t="shared" si="9"/>
        <v>116.10820206317753</v>
      </c>
      <c r="F147">
        <f t="shared" si="10"/>
        <v>8.6126559728818605E-3</v>
      </c>
      <c r="G147" s="4">
        <f t="shared" si="11"/>
        <v>-2.3616406087118139E-2</v>
      </c>
    </row>
    <row r="148" spans="1:7" x14ac:dyDescent="0.3">
      <c r="A148" s="1">
        <v>36950</v>
      </c>
      <c r="B148">
        <v>8.5220000000000001E-3</v>
      </c>
      <c r="C148">
        <f t="shared" si="8"/>
        <v>117.34334663224595</v>
      </c>
      <c r="D148">
        <v>-49.55</v>
      </c>
      <c r="E148">
        <f t="shared" si="9"/>
        <v>116.84784663224595</v>
      </c>
      <c r="F148">
        <f t="shared" si="10"/>
        <v>8.5581380301109865E-3</v>
      </c>
      <c r="G148" s="4">
        <f t="shared" si="11"/>
        <v>-1.052590201760099E-2</v>
      </c>
    </row>
    <row r="149" spans="1:7" x14ac:dyDescent="0.3">
      <c r="A149" s="1">
        <v>36980</v>
      </c>
      <c r="B149">
        <v>7.9159999999999994E-3</v>
      </c>
      <c r="C149">
        <f t="shared" si="8"/>
        <v>126.32642748863063</v>
      </c>
      <c r="D149">
        <v>-57.5</v>
      </c>
      <c r="E149">
        <f t="shared" si="9"/>
        <v>125.75142748863063</v>
      </c>
      <c r="F149">
        <f t="shared" si="10"/>
        <v>7.9521960105813621E-3</v>
      </c>
      <c r="G149" s="4">
        <f t="shared" si="11"/>
        <v>-7.5032446059141139E-2</v>
      </c>
    </row>
    <row r="150" spans="1:7" x14ac:dyDescent="0.3">
      <c r="A150" s="1">
        <v>37011</v>
      </c>
      <c r="B150">
        <v>8.0949999999999998E-3</v>
      </c>
      <c r="C150">
        <f t="shared" si="8"/>
        <v>123.53304508956145</v>
      </c>
      <c r="D150">
        <v>-45.65</v>
      </c>
      <c r="E150">
        <f t="shared" si="9"/>
        <v>123.07654508956145</v>
      </c>
      <c r="F150">
        <f t="shared" si="10"/>
        <v>8.1250249531485547E-3</v>
      </c>
      <c r="G150" s="4">
        <f t="shared" si="11"/>
        <v>1.7957805520464991E-2</v>
      </c>
    </row>
    <row r="151" spans="1:7" x14ac:dyDescent="0.3">
      <c r="A151" s="1">
        <v>37042</v>
      </c>
      <c r="B151">
        <v>8.3890000000000006E-3</v>
      </c>
      <c r="C151">
        <f t="shared" si="8"/>
        <v>119.20371915603766</v>
      </c>
      <c r="D151">
        <v>-41</v>
      </c>
      <c r="E151">
        <f t="shared" si="9"/>
        <v>118.79371915603767</v>
      </c>
      <c r="F151">
        <f t="shared" si="10"/>
        <v>8.4179534667694188E-3</v>
      </c>
      <c r="G151" s="4">
        <f t="shared" si="11"/>
        <v>3.2489136756331083E-2</v>
      </c>
    </row>
    <row r="152" spans="1:7" x14ac:dyDescent="0.3">
      <c r="A152" s="1">
        <v>37071</v>
      </c>
      <c r="B152">
        <v>8.0210000000000004E-3</v>
      </c>
      <c r="C152">
        <f t="shared" si="8"/>
        <v>124.67273407305822</v>
      </c>
      <c r="D152">
        <v>-40.5</v>
      </c>
      <c r="E152">
        <f t="shared" si="9"/>
        <v>124.26773407305822</v>
      </c>
      <c r="F152">
        <f t="shared" si="10"/>
        <v>8.0471411783535878E-3</v>
      </c>
      <c r="G152" s="4">
        <f t="shared" si="11"/>
        <v>-4.7155578649421832E-2</v>
      </c>
    </row>
    <row r="153" spans="1:7" x14ac:dyDescent="0.3">
      <c r="A153" s="1">
        <v>37103</v>
      </c>
      <c r="B153">
        <v>7.9979999999999999E-3</v>
      </c>
      <c r="C153">
        <f t="shared" si="8"/>
        <v>125.03125781445361</v>
      </c>
      <c r="D153">
        <v>-40.700000000000003</v>
      </c>
      <c r="E153">
        <f t="shared" si="9"/>
        <v>124.62425781445361</v>
      </c>
      <c r="F153">
        <f t="shared" si="10"/>
        <v>8.024120003096399E-3</v>
      </c>
      <c r="G153" s="4">
        <f t="shared" si="11"/>
        <v>-6.1066628836803881E-3</v>
      </c>
    </row>
    <row r="154" spans="1:7" x14ac:dyDescent="0.3">
      <c r="A154" s="1">
        <v>37134</v>
      </c>
      <c r="B154">
        <v>8.4180000000000001E-3</v>
      </c>
      <c r="C154">
        <f t="shared" si="8"/>
        <v>118.79306248515087</v>
      </c>
      <c r="D154">
        <v>-35.1</v>
      </c>
      <c r="E154">
        <f t="shared" si="9"/>
        <v>118.44206248515087</v>
      </c>
      <c r="F154">
        <f t="shared" si="10"/>
        <v>8.4429465260736272E-3</v>
      </c>
      <c r="G154" s="4">
        <f t="shared" si="11"/>
        <v>4.9087002282070573E-2</v>
      </c>
    </row>
    <row r="155" spans="1:7" x14ac:dyDescent="0.3">
      <c r="A155" s="1">
        <v>37162</v>
      </c>
      <c r="B155">
        <v>8.3639999999999999E-3</v>
      </c>
      <c r="C155">
        <f t="shared" si="8"/>
        <v>119.56001912960306</v>
      </c>
      <c r="D155">
        <v>-27</v>
      </c>
      <c r="E155">
        <f t="shared" si="9"/>
        <v>119.29001912960307</v>
      </c>
      <c r="F155">
        <f t="shared" si="10"/>
        <v>8.3829310054309436E-3</v>
      </c>
      <c r="G155" s="4">
        <f t="shared" si="11"/>
        <v>-9.3505893741981511E-3</v>
      </c>
    </row>
    <row r="156" spans="1:7" x14ac:dyDescent="0.3">
      <c r="A156" s="1">
        <v>37195</v>
      </c>
      <c r="B156">
        <v>8.1670000000000006E-3</v>
      </c>
      <c r="C156">
        <f t="shared" si="8"/>
        <v>122.44398187829067</v>
      </c>
      <c r="D156">
        <v>-22.35</v>
      </c>
      <c r="E156">
        <f t="shared" si="9"/>
        <v>122.22048187829067</v>
      </c>
      <c r="F156">
        <f t="shared" si="10"/>
        <v>8.1819346858394634E-3</v>
      </c>
      <c r="G156" s="4">
        <f t="shared" si="11"/>
        <v>-2.5758413768531611E-2</v>
      </c>
    </row>
    <row r="157" spans="1:7" x14ac:dyDescent="0.3">
      <c r="A157" s="1">
        <v>37225</v>
      </c>
      <c r="B157">
        <v>8.0979999999999993E-3</v>
      </c>
      <c r="C157">
        <f t="shared" si="8"/>
        <v>123.48728081007657</v>
      </c>
      <c r="D157">
        <v>-21.8</v>
      </c>
      <c r="E157">
        <f t="shared" si="9"/>
        <v>123.26928081007657</v>
      </c>
      <c r="F157">
        <f t="shared" si="10"/>
        <v>8.1123211998025673E-3</v>
      </c>
      <c r="G157" s="4">
        <f t="shared" si="11"/>
        <v>-1.0258537749602246E-2</v>
      </c>
    </row>
    <row r="158" spans="1:7" x14ac:dyDescent="0.3">
      <c r="A158" s="1">
        <v>37256</v>
      </c>
      <c r="B158">
        <v>7.5950000000000002E-3</v>
      </c>
      <c r="C158">
        <f t="shared" si="8"/>
        <v>131.66556945358789</v>
      </c>
      <c r="D158">
        <v>-20.5</v>
      </c>
      <c r="E158">
        <f t="shared" si="9"/>
        <v>131.46056945358788</v>
      </c>
      <c r="F158">
        <f t="shared" si="10"/>
        <v>7.6068436654159613E-3</v>
      </c>
      <c r="G158" s="4">
        <f t="shared" si="11"/>
        <v>-6.3769812247468374E-2</v>
      </c>
    </row>
    <row r="159" spans="1:7" x14ac:dyDescent="0.3">
      <c r="A159" s="1">
        <v>37287</v>
      </c>
      <c r="B159">
        <v>7.4250000000000002E-3</v>
      </c>
      <c r="C159">
        <f t="shared" si="8"/>
        <v>134.68013468013467</v>
      </c>
      <c r="D159">
        <v>-19.149999999999999</v>
      </c>
      <c r="E159">
        <f t="shared" si="9"/>
        <v>134.48863468013468</v>
      </c>
      <c r="F159">
        <f t="shared" si="10"/>
        <v>7.4355725476608625E-3</v>
      </c>
      <c r="G159" s="4">
        <f t="shared" si="11"/>
        <v>-2.3905271807109957E-2</v>
      </c>
    </row>
    <row r="160" spans="1:7" x14ac:dyDescent="0.3">
      <c r="A160" s="1">
        <v>37315</v>
      </c>
      <c r="B160">
        <v>7.4970000000000002E-3</v>
      </c>
      <c r="C160">
        <f t="shared" si="8"/>
        <v>133.38668800853674</v>
      </c>
      <c r="D160">
        <v>-21.1</v>
      </c>
      <c r="E160">
        <f t="shared" si="9"/>
        <v>133.17568800853672</v>
      </c>
      <c r="F160">
        <f t="shared" si="10"/>
        <v>7.5088780463886083E-3</v>
      </c>
      <c r="G160" s="4">
        <f t="shared" si="11"/>
        <v>8.2612941969696721E-3</v>
      </c>
    </row>
    <row r="161" spans="1:7" x14ac:dyDescent="0.3">
      <c r="A161" s="1">
        <v>37344</v>
      </c>
      <c r="B161">
        <v>7.5339999999999999E-3</v>
      </c>
      <c r="C161">
        <f t="shared" si="8"/>
        <v>132.73161667109105</v>
      </c>
      <c r="D161">
        <v>-20.05</v>
      </c>
      <c r="E161">
        <f t="shared" si="9"/>
        <v>132.53111667109104</v>
      </c>
      <c r="F161">
        <f t="shared" si="10"/>
        <v>7.545397828962303E-3</v>
      </c>
      <c r="G161" s="4">
        <f t="shared" si="11"/>
        <v>3.3456334563156179E-3</v>
      </c>
    </row>
    <row r="162" spans="1:7" x14ac:dyDescent="0.3">
      <c r="A162" s="1">
        <v>37376</v>
      </c>
      <c r="B162">
        <v>7.7780000000000002E-3</v>
      </c>
      <c r="C162">
        <f t="shared" si="8"/>
        <v>128.56775520699409</v>
      </c>
      <c r="D162">
        <v>-19.95</v>
      </c>
      <c r="E162">
        <f t="shared" si="9"/>
        <v>128.36825520699409</v>
      </c>
      <c r="F162">
        <f t="shared" si="10"/>
        <v>7.7900879651865472E-3</v>
      </c>
      <c r="G162" s="4">
        <f t="shared" si="11"/>
        <v>3.0827025467746117E-2</v>
      </c>
    </row>
    <row r="163" spans="1:7" x14ac:dyDescent="0.3">
      <c r="A163" s="1">
        <v>37407</v>
      </c>
      <c r="B163">
        <v>8.0499999999999999E-3</v>
      </c>
      <c r="C163">
        <f t="shared" si="8"/>
        <v>124.22360248447205</v>
      </c>
      <c r="D163">
        <v>-19.5</v>
      </c>
      <c r="E163">
        <f t="shared" si="9"/>
        <v>124.02860248447206</v>
      </c>
      <c r="F163">
        <f t="shared" si="10"/>
        <v>8.0626563548129668E-3</v>
      </c>
      <c r="G163" s="4">
        <f t="shared" si="11"/>
        <v>3.3364454416302418E-2</v>
      </c>
    </row>
    <row r="164" spans="1:7" x14ac:dyDescent="0.3">
      <c r="A164" s="1">
        <v>37435</v>
      </c>
      <c r="B164">
        <v>8.3630000000000006E-3</v>
      </c>
      <c r="C164">
        <f t="shared" si="8"/>
        <v>119.57431543704412</v>
      </c>
      <c r="D164">
        <v>-18.78</v>
      </c>
      <c r="E164">
        <f t="shared" si="9"/>
        <v>119.38651543704412</v>
      </c>
      <c r="F164">
        <f t="shared" si="10"/>
        <v>8.3761553500347214E-3</v>
      </c>
      <c r="G164" s="4">
        <f t="shared" si="11"/>
        <v>3.7251202577639933E-2</v>
      </c>
    </row>
    <row r="165" spans="1:7" x14ac:dyDescent="0.3">
      <c r="A165" s="1">
        <v>37468</v>
      </c>
      <c r="B165">
        <v>8.3420000000000005E-3</v>
      </c>
      <c r="C165">
        <f t="shared" si="8"/>
        <v>119.87532965715656</v>
      </c>
      <c r="D165">
        <v>-18.600000000000001</v>
      </c>
      <c r="E165">
        <f t="shared" si="9"/>
        <v>119.68932965715655</v>
      </c>
      <c r="F165">
        <f t="shared" si="10"/>
        <v>8.3549636618773342E-3</v>
      </c>
      <c r="G165" s="4">
        <f t="shared" si="11"/>
        <v>-4.077688224177858E-3</v>
      </c>
    </row>
    <row r="166" spans="1:7" x14ac:dyDescent="0.3">
      <c r="A166" s="1">
        <v>37498</v>
      </c>
      <c r="B166">
        <v>8.4419999999999999E-3</v>
      </c>
      <c r="C166">
        <f t="shared" si="8"/>
        <v>118.45534233593935</v>
      </c>
      <c r="D166">
        <v>-17.87</v>
      </c>
      <c r="E166">
        <f t="shared" si="9"/>
        <v>118.27664233593934</v>
      </c>
      <c r="F166">
        <f t="shared" si="10"/>
        <v>8.4547547195304648E-3</v>
      </c>
      <c r="G166" s="4">
        <f t="shared" si="11"/>
        <v>1.0417320965715475E-2</v>
      </c>
    </row>
    <row r="167" spans="1:7" x14ac:dyDescent="0.3">
      <c r="A167" s="1">
        <v>37529</v>
      </c>
      <c r="B167">
        <v>8.2150000000000001E-3</v>
      </c>
      <c r="C167">
        <f t="shared" si="8"/>
        <v>121.72854534388314</v>
      </c>
      <c r="D167">
        <v>-19.899999999999999</v>
      </c>
      <c r="E167">
        <f t="shared" si="9"/>
        <v>121.52954534388314</v>
      </c>
      <c r="F167">
        <f t="shared" si="10"/>
        <v>8.228451749493295E-3</v>
      </c>
      <c r="G167" s="4">
        <f t="shared" si="11"/>
        <v>-2.8357383210258231E-2</v>
      </c>
    </row>
    <row r="168" spans="1:7" x14ac:dyDescent="0.3">
      <c r="A168" s="1">
        <v>37560</v>
      </c>
      <c r="B168">
        <v>8.1620000000000009E-3</v>
      </c>
      <c r="C168">
        <f t="shared" si="8"/>
        <v>122.51899044351873</v>
      </c>
      <c r="D168">
        <v>-16.93</v>
      </c>
      <c r="E168">
        <f t="shared" si="9"/>
        <v>122.34969044351872</v>
      </c>
      <c r="F168">
        <f t="shared" si="10"/>
        <v>8.1732940751626827E-3</v>
      </c>
      <c r="G168" s="4">
        <f t="shared" si="11"/>
        <v>-8.0758509032256582E-3</v>
      </c>
    </row>
    <row r="169" spans="1:7" x14ac:dyDescent="0.3">
      <c r="A169" s="1">
        <v>37589</v>
      </c>
      <c r="B169">
        <v>8.1600000000000006E-3</v>
      </c>
      <c r="C169">
        <f t="shared" si="8"/>
        <v>122.54901960784314</v>
      </c>
      <c r="D169">
        <v>-18</v>
      </c>
      <c r="E169">
        <f t="shared" si="9"/>
        <v>122.36901960784313</v>
      </c>
      <c r="F169">
        <f t="shared" si="10"/>
        <v>8.1720030380623056E-3</v>
      </c>
      <c r="G169" s="4">
        <f t="shared" si="11"/>
        <v>-1.6265259808870302E-3</v>
      </c>
    </row>
    <row r="170" spans="1:7" x14ac:dyDescent="0.3">
      <c r="A170" s="1">
        <v>37621</v>
      </c>
      <c r="B170">
        <v>8.4159999999999999E-3</v>
      </c>
      <c r="C170">
        <f t="shared" si="8"/>
        <v>118.8212927756654</v>
      </c>
      <c r="D170">
        <v>-14.03</v>
      </c>
      <c r="E170">
        <f t="shared" si="9"/>
        <v>118.6809927756654</v>
      </c>
      <c r="F170">
        <f t="shared" si="10"/>
        <v>8.425949064061437E-3</v>
      </c>
      <c r="G170" s="4">
        <f t="shared" si="11"/>
        <v>2.985766901960786E-2</v>
      </c>
    </row>
    <row r="171" spans="1:7" x14ac:dyDescent="0.3">
      <c r="A171" s="1">
        <v>37652</v>
      </c>
      <c r="B171">
        <v>8.3409999999999995E-3</v>
      </c>
      <c r="C171">
        <f t="shared" si="8"/>
        <v>119.88970147464333</v>
      </c>
      <c r="D171">
        <v>-12.51</v>
      </c>
      <c r="E171">
        <f t="shared" si="9"/>
        <v>119.76460147464333</v>
      </c>
      <c r="F171">
        <f t="shared" si="10"/>
        <v>8.3497125835777179E-3</v>
      </c>
      <c r="G171" s="4">
        <f t="shared" si="11"/>
        <v>-1.0081839258175006E-2</v>
      </c>
    </row>
    <row r="172" spans="1:7" x14ac:dyDescent="0.3">
      <c r="A172" s="1">
        <v>37680</v>
      </c>
      <c r="B172">
        <v>8.4659999999999996E-3</v>
      </c>
      <c r="C172">
        <f t="shared" si="8"/>
        <v>118.11953697141507</v>
      </c>
      <c r="D172">
        <v>-13.3</v>
      </c>
      <c r="E172">
        <f t="shared" si="9"/>
        <v>117.98653697141508</v>
      </c>
      <c r="F172">
        <f t="shared" si="10"/>
        <v>8.4755432752659978E-3</v>
      </c>
      <c r="G172" s="4">
        <f t="shared" si="11"/>
        <v>1.3927116084330464E-2</v>
      </c>
    </row>
    <row r="173" spans="1:7" x14ac:dyDescent="0.3">
      <c r="A173" s="1">
        <v>37711</v>
      </c>
      <c r="B173">
        <v>8.4659999999999996E-3</v>
      </c>
      <c r="C173">
        <f t="shared" si="8"/>
        <v>118.11953697141507</v>
      </c>
      <c r="D173">
        <v>-13.7</v>
      </c>
      <c r="E173">
        <f t="shared" si="9"/>
        <v>117.98253697141507</v>
      </c>
      <c r="F173">
        <f t="shared" si="10"/>
        <v>8.4758306243429993E-3</v>
      </c>
      <c r="G173" s="4">
        <f t="shared" si="11"/>
        <v>-1.1259780000000925E-3</v>
      </c>
    </row>
    <row r="174" spans="1:7" x14ac:dyDescent="0.3">
      <c r="A174" s="1">
        <v>37741</v>
      </c>
      <c r="B174">
        <v>8.4119999999999993E-3</v>
      </c>
      <c r="C174">
        <f t="shared" si="8"/>
        <v>118.87779362815027</v>
      </c>
      <c r="D174">
        <v>-13.6</v>
      </c>
      <c r="E174">
        <f t="shared" si="9"/>
        <v>118.74179362815028</v>
      </c>
      <c r="F174">
        <f t="shared" si="10"/>
        <v>8.4216346194970117E-3</v>
      </c>
      <c r="G174" s="4">
        <f t="shared" si="11"/>
        <v>-7.5308989964565053E-3</v>
      </c>
    </row>
    <row r="175" spans="1:7" x14ac:dyDescent="0.3">
      <c r="A175" s="1">
        <v>37771</v>
      </c>
      <c r="B175">
        <v>8.3829999999999998E-3</v>
      </c>
      <c r="C175">
        <f t="shared" si="8"/>
        <v>119.28903733746868</v>
      </c>
      <c r="D175">
        <v>-13.58</v>
      </c>
      <c r="E175">
        <f t="shared" si="9"/>
        <v>119.15323733746868</v>
      </c>
      <c r="F175">
        <f t="shared" si="10"/>
        <v>8.3925541793528936E-3</v>
      </c>
      <c r="G175" s="4">
        <f t="shared" si="11"/>
        <v>-4.5875440152162994E-3</v>
      </c>
    </row>
    <row r="176" spans="1:7" x14ac:dyDescent="0.3">
      <c r="A176" s="1">
        <v>37802</v>
      </c>
      <c r="B176">
        <v>8.3479999999999995E-3</v>
      </c>
      <c r="C176">
        <f t="shared" si="8"/>
        <v>119.78917105893628</v>
      </c>
      <c r="D176">
        <v>-13.55</v>
      </c>
      <c r="E176">
        <f t="shared" si="9"/>
        <v>119.65367105893628</v>
      </c>
      <c r="F176">
        <f t="shared" si="10"/>
        <v>8.3574535670321616E-3</v>
      </c>
      <c r="G176" s="4">
        <f t="shared" si="11"/>
        <v>-5.3087747068115395E-3</v>
      </c>
    </row>
    <row r="177" spans="1:7" x14ac:dyDescent="0.3">
      <c r="A177" s="1">
        <v>37833</v>
      </c>
      <c r="B177">
        <v>8.2959999999999996E-3</v>
      </c>
      <c r="C177">
        <f t="shared" si="8"/>
        <v>120.54001928640309</v>
      </c>
      <c r="D177">
        <v>-11.79</v>
      </c>
      <c r="E177">
        <f t="shared" si="9"/>
        <v>120.42211928640309</v>
      </c>
      <c r="F177">
        <f t="shared" si="10"/>
        <v>8.3041222486848424E-3</v>
      </c>
      <c r="G177" s="4">
        <f t="shared" si="11"/>
        <v>-7.3531448950646099E-3</v>
      </c>
    </row>
    <row r="178" spans="1:7" x14ac:dyDescent="0.3">
      <c r="A178" s="1">
        <v>37862</v>
      </c>
      <c r="B178">
        <v>8.5570000000000004E-3</v>
      </c>
      <c r="C178">
        <f t="shared" si="8"/>
        <v>116.86338670094659</v>
      </c>
      <c r="D178">
        <v>-11.25</v>
      </c>
      <c r="E178">
        <f t="shared" si="9"/>
        <v>116.75088670094659</v>
      </c>
      <c r="F178">
        <f t="shared" si="10"/>
        <v>8.5652454405889516E-3</v>
      </c>
      <c r="G178" s="4">
        <f t="shared" si="11"/>
        <v>3.045207473375133E-2</v>
      </c>
    </row>
    <row r="179" spans="1:7" x14ac:dyDescent="0.3">
      <c r="A179" s="1">
        <v>37894</v>
      </c>
      <c r="B179">
        <v>8.9680000000000003E-3</v>
      </c>
      <c r="C179">
        <f t="shared" si="8"/>
        <v>111.50758251561106</v>
      </c>
      <c r="D179">
        <v>-11.54</v>
      </c>
      <c r="E179">
        <f t="shared" si="9"/>
        <v>111.39218251561107</v>
      </c>
      <c r="F179">
        <f t="shared" si="10"/>
        <v>8.977290662743366E-3</v>
      </c>
      <c r="G179" s="4">
        <f t="shared" si="11"/>
        <v>4.7021951934089007E-2</v>
      </c>
    </row>
    <row r="180" spans="1:7" x14ac:dyDescent="0.3">
      <c r="A180" s="1">
        <v>37925</v>
      </c>
      <c r="B180">
        <v>9.0959999999999999E-3</v>
      </c>
      <c r="C180">
        <f t="shared" si="8"/>
        <v>109.93843447669305</v>
      </c>
      <c r="D180">
        <v>-10.1</v>
      </c>
      <c r="E180">
        <f t="shared" si="9"/>
        <v>109.83743447669305</v>
      </c>
      <c r="F180">
        <f t="shared" si="10"/>
        <v>9.1043641429206443E-3</v>
      </c>
      <c r="G180" s="4">
        <f t="shared" si="11"/>
        <v>1.3223292161998192E-2</v>
      </c>
    </row>
    <row r="181" spans="1:7" x14ac:dyDescent="0.3">
      <c r="A181" s="1">
        <v>37953</v>
      </c>
      <c r="B181">
        <v>9.1219999999999999E-3</v>
      </c>
      <c r="C181">
        <f t="shared" si="8"/>
        <v>109.62508221881167</v>
      </c>
      <c r="D181">
        <v>-12.55</v>
      </c>
      <c r="E181">
        <f t="shared" si="9"/>
        <v>109.49958221881167</v>
      </c>
      <c r="F181">
        <f t="shared" si="10"/>
        <v>9.1324549348664394E-3</v>
      </c>
      <c r="G181" s="4">
        <f t="shared" si="11"/>
        <v>1.9370772963940468E-3</v>
      </c>
    </row>
    <row r="182" spans="1:7" x14ac:dyDescent="0.3">
      <c r="A182" s="1">
        <v>37986</v>
      </c>
      <c r="B182">
        <v>9.3270000000000002E-3</v>
      </c>
      <c r="C182">
        <f t="shared" si="8"/>
        <v>107.21561059290232</v>
      </c>
      <c r="D182">
        <v>-10.23</v>
      </c>
      <c r="E182">
        <f t="shared" si="9"/>
        <v>107.11331059290232</v>
      </c>
      <c r="F182">
        <f t="shared" si="10"/>
        <v>9.3359078761053923E-3</v>
      </c>
      <c r="G182" s="4">
        <f t="shared" si="11"/>
        <v>2.1302603354856415E-2</v>
      </c>
    </row>
    <row r="183" spans="1:7" x14ac:dyDescent="0.3">
      <c r="A183" s="1">
        <v>38016</v>
      </c>
      <c r="B183">
        <v>9.4610000000000007E-3</v>
      </c>
      <c r="C183">
        <f t="shared" si="8"/>
        <v>105.6970721911003</v>
      </c>
      <c r="D183">
        <v>-9.32</v>
      </c>
      <c r="E183">
        <f t="shared" si="9"/>
        <v>105.60387219110031</v>
      </c>
      <c r="F183">
        <f t="shared" si="10"/>
        <v>9.4693497430700675E-3</v>
      </c>
      <c r="G183" s="4">
        <f t="shared" si="11"/>
        <v>1.3399031519449005E-2</v>
      </c>
    </row>
    <row r="184" spans="1:7" x14ac:dyDescent="0.3">
      <c r="A184" s="1">
        <v>38044</v>
      </c>
      <c r="B184">
        <v>9.1649999999999995E-3</v>
      </c>
      <c r="C184">
        <f t="shared" si="8"/>
        <v>109.11074740861976</v>
      </c>
      <c r="D184">
        <v>-10.3</v>
      </c>
      <c r="E184">
        <f t="shared" si="9"/>
        <v>109.00774740861976</v>
      </c>
      <c r="F184">
        <f t="shared" si="10"/>
        <v>9.1736598890669787E-3</v>
      </c>
      <c r="G184" s="4">
        <f t="shared" si="11"/>
        <v>-3.2140511368565668E-2</v>
      </c>
    </row>
    <row r="185" spans="1:7" x14ac:dyDescent="0.3">
      <c r="A185" s="1">
        <v>38077</v>
      </c>
      <c r="B185">
        <v>9.5910000000000006E-3</v>
      </c>
      <c r="C185">
        <f t="shared" si="8"/>
        <v>104.26441455531227</v>
      </c>
      <c r="D185">
        <v>-9.8000000000000007</v>
      </c>
      <c r="E185">
        <f t="shared" si="9"/>
        <v>104.16641455531227</v>
      </c>
      <c r="F185">
        <f t="shared" si="10"/>
        <v>9.6000232346386549E-3</v>
      </c>
      <c r="G185" s="4">
        <f t="shared" si="11"/>
        <v>4.5493305396072201E-2</v>
      </c>
    </row>
    <row r="186" spans="1:7" x14ac:dyDescent="0.3">
      <c r="A186" s="1">
        <v>38107</v>
      </c>
      <c r="B186">
        <v>9.0489999999999998E-3</v>
      </c>
      <c r="C186">
        <f t="shared" si="8"/>
        <v>110.5094485578517</v>
      </c>
      <c r="D186">
        <v>-10.53</v>
      </c>
      <c r="E186">
        <f t="shared" si="9"/>
        <v>110.4041485578517</v>
      </c>
      <c r="F186">
        <f t="shared" si="10"/>
        <v>9.0576306512250362E-3</v>
      </c>
      <c r="G186" s="4">
        <f t="shared" si="11"/>
        <v>-5.7398114688979263E-2</v>
      </c>
    </row>
    <row r="187" spans="1:7" x14ac:dyDescent="0.3">
      <c r="A187" s="1">
        <v>38138</v>
      </c>
      <c r="B187">
        <v>9.1330000000000005E-3</v>
      </c>
      <c r="C187">
        <f t="shared" si="8"/>
        <v>109.49304719150334</v>
      </c>
      <c r="D187">
        <v>-11.08</v>
      </c>
      <c r="E187">
        <f t="shared" si="9"/>
        <v>109.38224719150334</v>
      </c>
      <c r="F187">
        <f t="shared" si="10"/>
        <v>9.142251376946282E-3</v>
      </c>
      <c r="G187" s="4">
        <f t="shared" si="11"/>
        <v>8.3210887788596911E-3</v>
      </c>
    </row>
    <row r="188" spans="1:7" x14ac:dyDescent="0.3">
      <c r="A188" s="1">
        <v>38168</v>
      </c>
      <c r="B188">
        <v>9.1940000000000008E-3</v>
      </c>
      <c r="C188">
        <f t="shared" si="8"/>
        <v>108.76658690450293</v>
      </c>
      <c r="D188">
        <v>-13.08</v>
      </c>
      <c r="E188">
        <f t="shared" si="9"/>
        <v>108.63578690450294</v>
      </c>
      <c r="F188">
        <f t="shared" si="10"/>
        <v>9.2050697886420906E-3</v>
      </c>
      <c r="G188" s="4">
        <f t="shared" si="11"/>
        <v>5.6603806786817935E-3</v>
      </c>
    </row>
    <row r="189" spans="1:7" x14ac:dyDescent="0.3">
      <c r="A189" s="1">
        <v>38198</v>
      </c>
      <c r="B189">
        <v>8.9809999999999994E-3</v>
      </c>
      <c r="C189">
        <f t="shared" si="8"/>
        <v>111.34617525887987</v>
      </c>
      <c r="D189">
        <v>-14.44</v>
      </c>
      <c r="E189">
        <f t="shared" si="9"/>
        <v>111.20177525887986</v>
      </c>
      <c r="F189">
        <f t="shared" si="10"/>
        <v>8.9926621915161053E-3</v>
      </c>
      <c r="G189" s="4">
        <f t="shared" si="11"/>
        <v>-2.4341997810659235E-2</v>
      </c>
    </row>
    <row r="190" spans="1:7" x14ac:dyDescent="0.3">
      <c r="A190" s="1">
        <v>38230</v>
      </c>
      <c r="B190">
        <v>9.1599999999999997E-3</v>
      </c>
      <c r="C190">
        <f t="shared" si="8"/>
        <v>109.1703056768559</v>
      </c>
      <c r="D190">
        <v>-15.96</v>
      </c>
      <c r="E190">
        <f t="shared" si="9"/>
        <v>109.01070567685591</v>
      </c>
      <c r="F190">
        <f t="shared" si="10"/>
        <v>9.1734109396955331E-3</v>
      </c>
      <c r="G190" s="4">
        <f t="shared" si="11"/>
        <v>1.8608261371339512E-2</v>
      </c>
    </row>
    <row r="191" spans="1:7" x14ac:dyDescent="0.3">
      <c r="A191" s="1">
        <v>38260</v>
      </c>
      <c r="B191">
        <v>9.0869999999999996E-3</v>
      </c>
      <c r="C191">
        <f t="shared" si="8"/>
        <v>110.04732034774953</v>
      </c>
      <c r="D191">
        <v>-17.18</v>
      </c>
      <c r="E191">
        <f t="shared" si="9"/>
        <v>109.87552034774953</v>
      </c>
      <c r="F191">
        <f t="shared" si="10"/>
        <v>9.1012083204253247E-3</v>
      </c>
      <c r="G191" s="4">
        <f t="shared" si="11"/>
        <v>-9.419717514410347E-3</v>
      </c>
    </row>
    <row r="192" spans="1:7" x14ac:dyDescent="0.3">
      <c r="A192" s="1">
        <v>38289</v>
      </c>
      <c r="B192">
        <v>9.4520000000000003E-3</v>
      </c>
      <c r="C192">
        <f t="shared" si="8"/>
        <v>105.79771476936098</v>
      </c>
      <c r="D192">
        <v>-17.63</v>
      </c>
      <c r="E192">
        <f t="shared" si="9"/>
        <v>105.62141476936098</v>
      </c>
      <c r="F192">
        <f t="shared" si="10"/>
        <v>9.4677769861693187E-3</v>
      </c>
      <c r="G192" s="4">
        <f t="shared" si="11"/>
        <v>3.8543418326928501E-2</v>
      </c>
    </row>
    <row r="193" spans="1:7" x14ac:dyDescent="0.3">
      <c r="A193" s="1">
        <v>38321</v>
      </c>
      <c r="B193">
        <v>9.7029999999999998E-3</v>
      </c>
      <c r="C193">
        <f t="shared" si="8"/>
        <v>103.06090899721735</v>
      </c>
      <c r="D193">
        <v>-21.76</v>
      </c>
      <c r="E193">
        <f t="shared" si="9"/>
        <v>102.84330899721735</v>
      </c>
      <c r="F193">
        <f t="shared" si="10"/>
        <v>9.7235299967551331E-3</v>
      </c>
      <c r="G193" s="4">
        <f t="shared" si="11"/>
        <v>2.4844587507109498E-2</v>
      </c>
    </row>
    <row r="194" spans="1:7" x14ac:dyDescent="0.3">
      <c r="A194" s="1">
        <v>38352</v>
      </c>
      <c r="B194">
        <v>9.7439999999999992E-3</v>
      </c>
      <c r="C194">
        <f t="shared" si="8"/>
        <v>102.6272577996716</v>
      </c>
      <c r="D194">
        <v>-22.28</v>
      </c>
      <c r="E194">
        <f t="shared" si="9"/>
        <v>102.40445779967159</v>
      </c>
      <c r="F194">
        <f t="shared" si="10"/>
        <v>9.765199889600968E-3</v>
      </c>
      <c r="G194" s="4">
        <f t="shared" si="11"/>
        <v>2.1052028688858006E-3</v>
      </c>
    </row>
    <row r="195" spans="1:7" x14ac:dyDescent="0.3">
      <c r="A195" s="1">
        <v>38383</v>
      </c>
      <c r="B195">
        <v>9.6439999999999998E-3</v>
      </c>
      <c r="C195">
        <f t="shared" ref="C195:C258" si="12">1/B195</f>
        <v>103.69141435089175</v>
      </c>
      <c r="D195">
        <v>-20.61</v>
      </c>
      <c r="E195">
        <f t="shared" ref="E195:E258" si="13">C195+D195/10^2</f>
        <v>103.48531435089174</v>
      </c>
      <c r="F195">
        <f t="shared" ref="F195:F258" si="14">1/E195</f>
        <v>9.6632068643987545E-3</v>
      </c>
      <c r="G195" s="4">
        <f t="shared" si="11"/>
        <v>-1.2411408979967203E-2</v>
      </c>
    </row>
    <row r="196" spans="1:7" x14ac:dyDescent="0.3">
      <c r="A196" s="1">
        <v>38411</v>
      </c>
      <c r="B196">
        <v>9.5580000000000005E-3</v>
      </c>
      <c r="C196">
        <f t="shared" si="12"/>
        <v>104.62439840970914</v>
      </c>
      <c r="D196">
        <v>-25.62</v>
      </c>
      <c r="E196">
        <f t="shared" si="13"/>
        <v>104.36819840970914</v>
      </c>
      <c r="F196">
        <f t="shared" si="14"/>
        <v>9.581462698765645E-3</v>
      </c>
      <c r="G196" s="4">
        <f t="shared" ref="G196:G259" si="15">(B196-F195)/(F195)</f>
        <v>-1.0887365434176699E-2</v>
      </c>
    </row>
    <row r="197" spans="1:7" x14ac:dyDescent="0.3">
      <c r="A197" s="1">
        <v>38442</v>
      </c>
      <c r="B197">
        <v>9.3329999999999993E-3</v>
      </c>
      <c r="C197">
        <f t="shared" si="12"/>
        <v>107.14668381013608</v>
      </c>
      <c r="D197">
        <v>-26.98</v>
      </c>
      <c r="E197">
        <f t="shared" si="13"/>
        <v>106.87688381013608</v>
      </c>
      <c r="F197">
        <f t="shared" si="14"/>
        <v>9.3565602247205597E-3</v>
      </c>
      <c r="G197" s="4">
        <f t="shared" si="15"/>
        <v>-2.5931604242184703E-2</v>
      </c>
    </row>
    <row r="198" spans="1:7" x14ac:dyDescent="0.3">
      <c r="A198" s="1">
        <v>38471</v>
      </c>
      <c r="B198">
        <v>9.5449999999999997E-3</v>
      </c>
      <c r="C198">
        <f t="shared" si="12"/>
        <v>104.76689366160294</v>
      </c>
      <c r="D198">
        <v>-27.64</v>
      </c>
      <c r="E198">
        <f t="shared" si="13"/>
        <v>104.49049366160294</v>
      </c>
      <c r="F198">
        <f t="shared" si="14"/>
        <v>9.570248593508841E-3</v>
      </c>
      <c r="G198" s="4">
        <f t="shared" si="15"/>
        <v>2.0139855967748855E-2</v>
      </c>
    </row>
    <row r="199" spans="1:7" x14ac:dyDescent="0.3">
      <c r="A199" s="1">
        <v>38503</v>
      </c>
      <c r="B199">
        <v>9.2099999999999994E-3</v>
      </c>
      <c r="C199">
        <f t="shared" si="12"/>
        <v>108.57763300760044</v>
      </c>
      <c r="D199">
        <v>-30.83</v>
      </c>
      <c r="E199">
        <f t="shared" si="13"/>
        <v>108.26933300760044</v>
      </c>
      <c r="F199">
        <f t="shared" si="14"/>
        <v>9.2362257365139633E-3</v>
      </c>
      <c r="G199" s="4">
        <f t="shared" si="15"/>
        <v>-3.7642553376636981E-2</v>
      </c>
    </row>
    <row r="200" spans="1:7" x14ac:dyDescent="0.3">
      <c r="A200" s="1">
        <v>38533</v>
      </c>
      <c r="B200">
        <v>9.0150000000000004E-3</v>
      </c>
      <c r="C200">
        <f t="shared" si="12"/>
        <v>110.92623405435386</v>
      </c>
      <c r="D200">
        <v>-31.47</v>
      </c>
      <c r="E200">
        <f t="shared" si="13"/>
        <v>110.61153405435385</v>
      </c>
      <c r="F200">
        <f t="shared" si="14"/>
        <v>9.0406485051423829E-3</v>
      </c>
      <c r="G200" s="4">
        <f t="shared" si="15"/>
        <v>-2.3951962936481924E-2</v>
      </c>
    </row>
    <row r="201" spans="1:7" x14ac:dyDescent="0.3">
      <c r="A201" s="1">
        <v>38562</v>
      </c>
      <c r="B201">
        <v>8.8880000000000001E-3</v>
      </c>
      <c r="C201">
        <f t="shared" si="12"/>
        <v>112.51125112511251</v>
      </c>
      <c r="D201">
        <v>-33.840000000000003</v>
      </c>
      <c r="E201">
        <f t="shared" si="13"/>
        <v>112.17285112511252</v>
      </c>
      <c r="F201">
        <f t="shared" si="14"/>
        <v>8.9148130761573068E-3</v>
      </c>
      <c r="G201" s="4">
        <f t="shared" si="15"/>
        <v>-1.6884685324902886E-2</v>
      </c>
    </row>
    <row r="202" spans="1:7" x14ac:dyDescent="0.3">
      <c r="A202" s="1">
        <v>38595</v>
      </c>
      <c r="B202">
        <v>9.0410000000000004E-3</v>
      </c>
      <c r="C202">
        <f t="shared" si="12"/>
        <v>110.60723371308482</v>
      </c>
      <c r="D202">
        <v>-34.729999999999997</v>
      </c>
      <c r="E202">
        <f t="shared" si="13"/>
        <v>110.25993371308482</v>
      </c>
      <c r="F202">
        <f t="shared" si="14"/>
        <v>9.0694776091755219E-3</v>
      </c>
      <c r="G202" s="4">
        <f t="shared" si="15"/>
        <v>1.4154747022142389E-2</v>
      </c>
    </row>
    <row r="203" spans="1:7" x14ac:dyDescent="0.3">
      <c r="A203" s="1">
        <v>38625</v>
      </c>
      <c r="B203">
        <v>8.8120000000000004E-3</v>
      </c>
      <c r="C203">
        <f t="shared" si="12"/>
        <v>113.48161597821152</v>
      </c>
      <c r="D203">
        <v>-37.33</v>
      </c>
      <c r="E203">
        <f t="shared" si="13"/>
        <v>113.10831597821152</v>
      </c>
      <c r="F203">
        <f t="shared" si="14"/>
        <v>8.8410829155358816E-3</v>
      </c>
      <c r="G203" s="4">
        <f t="shared" si="15"/>
        <v>-2.8389464120296564E-2</v>
      </c>
    </row>
    <row r="204" spans="1:7" x14ac:dyDescent="0.3">
      <c r="A204" s="1">
        <v>38656</v>
      </c>
      <c r="B204">
        <v>8.5909999999999997E-3</v>
      </c>
      <c r="C204">
        <f t="shared" si="12"/>
        <v>116.40088464672331</v>
      </c>
      <c r="D204">
        <v>-39.32</v>
      </c>
      <c r="E204">
        <f t="shared" si="13"/>
        <v>116.00768464672332</v>
      </c>
      <c r="F204">
        <f t="shared" si="14"/>
        <v>8.6201185985677314E-3</v>
      </c>
      <c r="G204" s="4">
        <f t="shared" si="15"/>
        <v>-2.8286457431184912E-2</v>
      </c>
    </row>
    <row r="205" spans="1:7" x14ac:dyDescent="0.3">
      <c r="A205" s="1">
        <v>38686</v>
      </c>
      <c r="B205">
        <v>8.3470000000000003E-3</v>
      </c>
      <c r="C205">
        <f t="shared" si="12"/>
        <v>119.80352222355337</v>
      </c>
      <c r="D205">
        <v>-47.1</v>
      </c>
      <c r="E205">
        <f t="shared" si="13"/>
        <v>119.33252222355337</v>
      </c>
      <c r="F205">
        <f t="shared" si="14"/>
        <v>8.3799452267223091E-3</v>
      </c>
      <c r="G205" s="4">
        <f t="shared" si="15"/>
        <v>-3.1683856253800373E-2</v>
      </c>
    </row>
    <row r="206" spans="1:7" x14ac:dyDescent="0.3">
      <c r="A206" s="1">
        <v>38716</v>
      </c>
      <c r="B206">
        <v>8.4939999999999998E-3</v>
      </c>
      <c r="C206">
        <f t="shared" si="12"/>
        <v>117.73016246762421</v>
      </c>
      <c r="D206">
        <v>-45.3</v>
      </c>
      <c r="E206">
        <f t="shared" si="13"/>
        <v>117.27716246762421</v>
      </c>
      <c r="F206">
        <f t="shared" si="14"/>
        <v>8.5268093033548809E-3</v>
      </c>
      <c r="G206" s="4">
        <f t="shared" si="15"/>
        <v>1.361044376686237E-2</v>
      </c>
    </row>
    <row r="207" spans="1:7" x14ac:dyDescent="0.3">
      <c r="A207" s="1">
        <v>38748</v>
      </c>
      <c r="B207">
        <v>8.5339999999999999E-3</v>
      </c>
      <c r="C207">
        <f t="shared" si="12"/>
        <v>117.17834544176236</v>
      </c>
      <c r="D207">
        <v>-41.11</v>
      </c>
      <c r="E207">
        <f t="shared" si="13"/>
        <v>116.76724544176236</v>
      </c>
      <c r="F207">
        <f t="shared" si="14"/>
        <v>8.5640454753961783E-3</v>
      </c>
      <c r="G207" s="4">
        <f t="shared" si="15"/>
        <v>8.4330449870502087E-4</v>
      </c>
    </row>
    <row r="208" spans="1:7" x14ac:dyDescent="0.3">
      <c r="A208" s="1">
        <v>38776</v>
      </c>
      <c r="B208">
        <v>8.6390000000000008E-3</v>
      </c>
      <c r="C208">
        <f t="shared" si="12"/>
        <v>115.75413821044101</v>
      </c>
      <c r="D208">
        <v>-46.92</v>
      </c>
      <c r="E208">
        <f t="shared" si="13"/>
        <v>115.28493821044101</v>
      </c>
      <c r="F208">
        <f t="shared" si="14"/>
        <v>8.6741600032313061E-3</v>
      </c>
      <c r="G208" s="4">
        <f t="shared" si="15"/>
        <v>8.7522333713851604E-3</v>
      </c>
    </row>
    <row r="209" spans="1:7" x14ac:dyDescent="0.3">
      <c r="A209" s="1">
        <v>38807</v>
      </c>
      <c r="B209">
        <v>8.4910000000000003E-3</v>
      </c>
      <c r="C209">
        <f t="shared" si="12"/>
        <v>117.77175833235189</v>
      </c>
      <c r="D209">
        <v>-52.74</v>
      </c>
      <c r="E209">
        <f t="shared" si="13"/>
        <v>117.24435833235189</v>
      </c>
      <c r="F209">
        <f t="shared" si="14"/>
        <v>8.5291950437845869E-3</v>
      </c>
      <c r="G209" s="4">
        <f t="shared" si="15"/>
        <v>-2.1115589655145262E-2</v>
      </c>
    </row>
    <row r="210" spans="1:7" x14ac:dyDescent="0.3">
      <c r="A210" s="1">
        <v>38835</v>
      </c>
      <c r="B210">
        <v>8.7840000000000001E-3</v>
      </c>
      <c r="C210">
        <f t="shared" si="12"/>
        <v>113.84335154826958</v>
      </c>
      <c r="D210">
        <v>-48.72</v>
      </c>
      <c r="E210">
        <f t="shared" si="13"/>
        <v>113.35615154826958</v>
      </c>
      <c r="F210">
        <f t="shared" si="14"/>
        <v>8.821753264746093E-3</v>
      </c>
      <c r="G210" s="4">
        <f t="shared" si="15"/>
        <v>2.9874443591379148E-2</v>
      </c>
    </row>
    <row r="211" spans="1:7" x14ac:dyDescent="0.3">
      <c r="A211" s="1">
        <v>38868</v>
      </c>
      <c r="B211">
        <v>8.8780000000000005E-3</v>
      </c>
      <c r="C211">
        <f t="shared" si="12"/>
        <v>112.63798152737102</v>
      </c>
      <c r="D211">
        <v>-48.22</v>
      </c>
      <c r="E211">
        <f t="shared" si="13"/>
        <v>112.15578152737102</v>
      </c>
      <c r="F211">
        <f t="shared" si="14"/>
        <v>8.9161698699942223E-3</v>
      </c>
      <c r="G211" s="4">
        <f t="shared" si="15"/>
        <v>6.375913445537334E-3</v>
      </c>
    </row>
    <row r="212" spans="1:7" x14ac:dyDescent="0.3">
      <c r="A212" s="1">
        <v>38898</v>
      </c>
      <c r="B212">
        <v>8.7390000000000002E-3</v>
      </c>
      <c r="C212">
        <f t="shared" si="12"/>
        <v>114.42956860052637</v>
      </c>
      <c r="D212">
        <v>-53.44</v>
      </c>
      <c r="E212">
        <f t="shared" si="13"/>
        <v>113.89516860052636</v>
      </c>
      <c r="F212">
        <f t="shared" si="14"/>
        <v>8.7800036848567301E-3</v>
      </c>
      <c r="G212" s="4">
        <f t="shared" si="15"/>
        <v>-1.9870625232304696E-2</v>
      </c>
    </row>
    <row r="213" spans="1:7" x14ac:dyDescent="0.3">
      <c r="A213" s="1">
        <v>38929</v>
      </c>
      <c r="B213">
        <v>8.7200000000000003E-3</v>
      </c>
      <c r="C213">
        <f t="shared" si="12"/>
        <v>114.6788990825688</v>
      </c>
      <c r="D213">
        <v>-54.33</v>
      </c>
      <c r="E213">
        <f t="shared" si="13"/>
        <v>114.1355990825688</v>
      </c>
      <c r="F213">
        <f t="shared" si="14"/>
        <v>8.7615083115003649E-3</v>
      </c>
      <c r="G213" s="4">
        <f t="shared" si="15"/>
        <v>-6.8341298034100906E-3</v>
      </c>
    </row>
    <row r="214" spans="1:7" x14ac:dyDescent="0.3">
      <c r="A214" s="1">
        <v>38960</v>
      </c>
      <c r="B214">
        <v>8.5179999999999995E-3</v>
      </c>
      <c r="C214">
        <f t="shared" si="12"/>
        <v>117.39845034045551</v>
      </c>
      <c r="D214">
        <v>-48.46</v>
      </c>
      <c r="E214">
        <f t="shared" si="13"/>
        <v>116.91385034045551</v>
      </c>
      <c r="F214">
        <f t="shared" si="14"/>
        <v>8.5533065337253002E-3</v>
      </c>
      <c r="G214" s="4">
        <f t="shared" si="15"/>
        <v>-2.7792967014678979E-2</v>
      </c>
    </row>
    <row r="215" spans="1:7" x14ac:dyDescent="0.3">
      <c r="A215" s="1">
        <v>38989</v>
      </c>
      <c r="B215">
        <v>8.4620000000000008E-3</v>
      </c>
      <c r="C215">
        <f t="shared" si="12"/>
        <v>118.17537225242259</v>
      </c>
      <c r="D215">
        <v>-54.95</v>
      </c>
      <c r="E215">
        <f t="shared" si="13"/>
        <v>117.6258722524226</v>
      </c>
      <c r="F215">
        <f t="shared" si="14"/>
        <v>8.5015310054748962E-3</v>
      </c>
      <c r="G215" s="4">
        <f t="shared" si="15"/>
        <v>-1.0674998419065407E-2</v>
      </c>
    </row>
    <row r="216" spans="1:7" x14ac:dyDescent="0.3">
      <c r="A216" s="1">
        <v>39021</v>
      </c>
      <c r="B216">
        <v>8.5489999999999993E-3</v>
      </c>
      <c r="C216">
        <f t="shared" si="12"/>
        <v>116.97274535033338</v>
      </c>
      <c r="D216">
        <v>-51.23</v>
      </c>
      <c r="E216">
        <f t="shared" si="13"/>
        <v>116.46044535033339</v>
      </c>
      <c r="F216">
        <f t="shared" si="14"/>
        <v>8.5866063537008222E-3</v>
      </c>
      <c r="G216" s="4">
        <f t="shared" si="15"/>
        <v>5.5835818859607204E-3</v>
      </c>
    </row>
    <row r="217" spans="1:7" x14ac:dyDescent="0.3">
      <c r="A217" s="1">
        <v>39051</v>
      </c>
      <c r="B217">
        <v>8.6350000000000003E-3</v>
      </c>
      <c r="C217">
        <f t="shared" si="12"/>
        <v>115.80775911986103</v>
      </c>
      <c r="D217">
        <v>-48.93</v>
      </c>
      <c r="E217">
        <f t="shared" si="13"/>
        <v>115.31845911986103</v>
      </c>
      <c r="F217">
        <f t="shared" si="14"/>
        <v>8.6716385878917134E-3</v>
      </c>
      <c r="G217" s="4">
        <f t="shared" si="15"/>
        <v>5.6359456001287955E-3</v>
      </c>
    </row>
    <row r="218" spans="1:7" x14ac:dyDescent="0.3">
      <c r="A218" s="1">
        <v>39080</v>
      </c>
      <c r="B218">
        <v>8.3990000000000002E-3</v>
      </c>
      <c r="C218">
        <f t="shared" si="12"/>
        <v>119.06179307060364</v>
      </c>
      <c r="D218">
        <v>-49.43</v>
      </c>
      <c r="E218">
        <f t="shared" si="13"/>
        <v>118.56749307060365</v>
      </c>
      <c r="F218">
        <f t="shared" si="14"/>
        <v>8.4340148729005159E-3</v>
      </c>
      <c r="G218" s="4">
        <f t="shared" si="15"/>
        <v>-3.1440261852287162E-2</v>
      </c>
    </row>
    <row r="219" spans="1:7" x14ac:dyDescent="0.3">
      <c r="A219" s="1">
        <v>39113</v>
      </c>
      <c r="B219">
        <v>8.2850000000000007E-3</v>
      </c>
      <c r="C219">
        <f t="shared" si="12"/>
        <v>120.70006035003017</v>
      </c>
      <c r="D219">
        <v>-45.84</v>
      </c>
      <c r="E219">
        <f t="shared" si="13"/>
        <v>120.24166035003017</v>
      </c>
      <c r="F219">
        <f t="shared" si="14"/>
        <v>8.3165850927951618E-3</v>
      </c>
      <c r="G219" s="4">
        <f t="shared" si="15"/>
        <v>-1.7668319910048715E-2</v>
      </c>
    </row>
    <row r="220" spans="1:7" x14ac:dyDescent="0.3">
      <c r="A220" s="1">
        <v>39141</v>
      </c>
      <c r="B220">
        <v>8.4349999999999998E-3</v>
      </c>
      <c r="C220">
        <f t="shared" si="12"/>
        <v>118.55364552459989</v>
      </c>
      <c r="D220">
        <v>-46.7</v>
      </c>
      <c r="E220">
        <f t="shared" si="13"/>
        <v>118.08664552459989</v>
      </c>
      <c r="F220">
        <f t="shared" si="14"/>
        <v>8.4683580904301274E-3</v>
      </c>
      <c r="G220" s="4">
        <f t="shared" si="15"/>
        <v>1.4238405052504472E-2</v>
      </c>
    </row>
    <row r="221" spans="1:7" x14ac:dyDescent="0.3">
      <c r="A221" s="1">
        <v>39171</v>
      </c>
      <c r="B221">
        <v>8.4869999999999998E-3</v>
      </c>
      <c r="C221">
        <f t="shared" si="12"/>
        <v>117.82726522917403</v>
      </c>
      <c r="D221">
        <v>-51.62</v>
      </c>
      <c r="E221">
        <f t="shared" si="13"/>
        <v>117.31106522917403</v>
      </c>
      <c r="F221">
        <f t="shared" si="14"/>
        <v>8.524345065373343E-3</v>
      </c>
      <c r="G221" s="4">
        <f t="shared" si="15"/>
        <v>2.2013605672791614E-3</v>
      </c>
    </row>
    <row r="222" spans="1:7" x14ac:dyDescent="0.3">
      <c r="A222" s="1">
        <v>39202</v>
      </c>
      <c r="B222">
        <v>8.3660000000000002E-3</v>
      </c>
      <c r="C222">
        <f t="shared" si="12"/>
        <v>119.53143676786995</v>
      </c>
      <c r="D222">
        <v>-50.89</v>
      </c>
      <c r="E222">
        <f t="shared" si="13"/>
        <v>119.02253676786995</v>
      </c>
      <c r="F222">
        <f t="shared" si="14"/>
        <v>8.401770178620066E-3</v>
      </c>
      <c r="G222" s="4">
        <f t="shared" si="15"/>
        <v>-1.8575628292730052E-2</v>
      </c>
    </row>
    <row r="223" spans="1:7" x14ac:dyDescent="0.3">
      <c r="A223" s="1">
        <v>39233</v>
      </c>
      <c r="B223">
        <v>8.2150000000000001E-3</v>
      </c>
      <c r="C223">
        <f t="shared" si="12"/>
        <v>121.72854534388314</v>
      </c>
      <c r="D223">
        <v>-48.9</v>
      </c>
      <c r="E223">
        <f t="shared" si="13"/>
        <v>121.23954534388314</v>
      </c>
      <c r="F223">
        <f t="shared" si="14"/>
        <v>8.2481338672427858E-3</v>
      </c>
      <c r="G223" s="4">
        <f t="shared" si="15"/>
        <v>-2.2229860451948438E-2</v>
      </c>
    </row>
    <row r="224" spans="1:7" x14ac:dyDescent="0.3">
      <c r="A224" s="1">
        <v>39262</v>
      </c>
      <c r="B224">
        <v>8.1189999999999995E-3</v>
      </c>
      <c r="C224">
        <f t="shared" si="12"/>
        <v>123.16787781746521</v>
      </c>
      <c r="D224">
        <v>-49.5</v>
      </c>
      <c r="E224">
        <f t="shared" si="13"/>
        <v>122.67287781746521</v>
      </c>
      <c r="F224">
        <f t="shared" si="14"/>
        <v>8.1517611536592472E-3</v>
      </c>
      <c r="G224" s="4">
        <f t="shared" si="15"/>
        <v>-1.5656131353012775E-2</v>
      </c>
    </row>
    <row r="225" spans="1:7" x14ac:dyDescent="0.3">
      <c r="A225" s="1">
        <v>39294</v>
      </c>
      <c r="B225">
        <v>8.4309999999999993E-3</v>
      </c>
      <c r="C225">
        <f t="shared" si="12"/>
        <v>118.60989206499823</v>
      </c>
      <c r="D225">
        <v>-50.75</v>
      </c>
      <c r="E225">
        <f t="shared" si="13"/>
        <v>118.10239206499824</v>
      </c>
      <c r="F225">
        <f t="shared" si="14"/>
        <v>8.4672290079412186E-3</v>
      </c>
      <c r="G225" s="4">
        <f t="shared" si="15"/>
        <v>3.4255032879049019E-2</v>
      </c>
    </row>
    <row r="226" spans="1:7" x14ac:dyDescent="0.3">
      <c r="A226" s="1">
        <v>39325</v>
      </c>
      <c r="B226">
        <v>8.6379999999999998E-3</v>
      </c>
      <c r="C226">
        <f t="shared" si="12"/>
        <v>115.7675387821255</v>
      </c>
      <c r="D226">
        <v>-49.31</v>
      </c>
      <c r="E226">
        <f t="shared" si="13"/>
        <v>115.2744387821255</v>
      </c>
      <c r="F226">
        <f t="shared" si="14"/>
        <v>8.674950063214365E-3</v>
      </c>
      <c r="G226" s="4">
        <f t="shared" si="15"/>
        <v>2.0168462657454887E-2</v>
      </c>
    </row>
    <row r="227" spans="1:7" x14ac:dyDescent="0.3">
      <c r="A227" s="1">
        <v>39353</v>
      </c>
      <c r="B227">
        <v>8.7100000000000007E-3</v>
      </c>
      <c r="C227">
        <f t="shared" si="12"/>
        <v>114.81056257175659</v>
      </c>
      <c r="D227">
        <v>-43.34</v>
      </c>
      <c r="E227">
        <f t="shared" si="13"/>
        <v>114.37716257175659</v>
      </c>
      <c r="F227">
        <f t="shared" si="14"/>
        <v>8.7430040885358717E-3</v>
      </c>
      <c r="G227" s="4">
        <f t="shared" si="15"/>
        <v>4.0403617923131328E-3</v>
      </c>
    </row>
    <row r="228" spans="1:7" x14ac:dyDescent="0.3">
      <c r="A228" s="1">
        <v>39386</v>
      </c>
      <c r="B228">
        <v>8.6630000000000006E-3</v>
      </c>
      <c r="C228">
        <f t="shared" si="12"/>
        <v>115.4334526145677</v>
      </c>
      <c r="D228">
        <v>-40.950000000000003</v>
      </c>
      <c r="E228">
        <f t="shared" si="13"/>
        <v>115.0239526145677</v>
      </c>
      <c r="F228">
        <f t="shared" si="14"/>
        <v>8.6938413892877365E-3</v>
      </c>
      <c r="G228" s="4">
        <f t="shared" si="15"/>
        <v>-9.1506406408725458E-3</v>
      </c>
    </row>
    <row r="229" spans="1:7" x14ac:dyDescent="0.3">
      <c r="A229" s="1">
        <v>39416</v>
      </c>
      <c r="B229">
        <v>8.9899999999999997E-3</v>
      </c>
      <c r="C229">
        <f t="shared" si="12"/>
        <v>111.23470522803115</v>
      </c>
      <c r="D229">
        <v>-42.61</v>
      </c>
      <c r="E229">
        <f t="shared" si="13"/>
        <v>110.80860522803114</v>
      </c>
      <c r="F229">
        <f t="shared" si="14"/>
        <v>9.0245698692995643E-3</v>
      </c>
      <c r="G229" s="4">
        <f t="shared" si="15"/>
        <v>3.4065334004963567E-2</v>
      </c>
    </row>
    <row r="230" spans="1:7" x14ac:dyDescent="0.3">
      <c r="A230" s="1">
        <v>39447</v>
      </c>
      <c r="B230">
        <v>8.9479999999999994E-3</v>
      </c>
      <c r="C230">
        <f t="shared" si="12"/>
        <v>111.75681716584712</v>
      </c>
      <c r="D230">
        <v>-38.28</v>
      </c>
      <c r="E230">
        <f t="shared" si="13"/>
        <v>111.37401716584712</v>
      </c>
      <c r="F230">
        <f t="shared" si="14"/>
        <v>8.9787548788053447E-3</v>
      </c>
      <c r="G230" s="4">
        <f t="shared" si="15"/>
        <v>-8.4846004195774302E-3</v>
      </c>
    </row>
    <row r="231" spans="1:7" x14ac:dyDescent="0.3">
      <c r="A231" s="1">
        <v>39478</v>
      </c>
      <c r="B231">
        <v>9.3950000000000006E-3</v>
      </c>
      <c r="C231">
        <f t="shared" si="12"/>
        <v>106.43959552953699</v>
      </c>
      <c r="D231">
        <v>-22.11</v>
      </c>
      <c r="E231">
        <f t="shared" si="13"/>
        <v>106.21849552953698</v>
      </c>
      <c r="F231">
        <f t="shared" si="14"/>
        <v>9.4145562410260508E-3</v>
      </c>
      <c r="G231" s="4">
        <f t="shared" si="15"/>
        <v>4.6358891273133716E-2</v>
      </c>
    </row>
    <row r="232" spans="1:7" x14ac:dyDescent="0.3">
      <c r="A232" s="1">
        <v>39507</v>
      </c>
      <c r="B232">
        <v>9.6399999999999993E-3</v>
      </c>
      <c r="C232">
        <f t="shared" si="12"/>
        <v>103.7344398340249</v>
      </c>
      <c r="D232">
        <v>-20.46</v>
      </c>
      <c r="E232">
        <f t="shared" si="13"/>
        <v>103.5298398340249</v>
      </c>
      <c r="F232">
        <f t="shared" si="14"/>
        <v>9.6590509712287977E-3</v>
      </c>
      <c r="G232" s="4">
        <f t="shared" si="15"/>
        <v>2.3946296904736354E-2</v>
      </c>
    </row>
    <row r="233" spans="1:7" x14ac:dyDescent="0.3">
      <c r="A233" s="1">
        <v>39538</v>
      </c>
      <c r="B233">
        <v>1.0031E-2</v>
      </c>
      <c r="C233">
        <f t="shared" si="12"/>
        <v>99.690958030106671</v>
      </c>
      <c r="D233">
        <v>-19.3</v>
      </c>
      <c r="E233">
        <f t="shared" si="13"/>
        <v>99.497958030106673</v>
      </c>
      <c r="F233">
        <f t="shared" si="14"/>
        <v>1.005045751489105E-2</v>
      </c>
      <c r="G233" s="4">
        <f t="shared" si="15"/>
        <v>3.8507823375103695E-2</v>
      </c>
    </row>
    <row r="234" spans="1:7" x14ac:dyDescent="0.3">
      <c r="A234" s="1">
        <v>39568</v>
      </c>
      <c r="B234">
        <v>9.6240000000000006E-3</v>
      </c>
      <c r="C234">
        <f t="shared" si="12"/>
        <v>103.90689941812136</v>
      </c>
      <c r="D234">
        <v>-20.12</v>
      </c>
      <c r="E234">
        <f t="shared" si="13"/>
        <v>103.70569941812136</v>
      </c>
      <c r="F234">
        <f t="shared" si="14"/>
        <v>9.6426715755340807E-3</v>
      </c>
      <c r="G234" s="4">
        <f t="shared" si="15"/>
        <v>-4.2431651918253266E-2</v>
      </c>
    </row>
    <row r="235" spans="1:7" x14ac:dyDescent="0.3">
      <c r="A235" s="1">
        <v>39598</v>
      </c>
      <c r="B235">
        <v>9.4769999999999993E-3</v>
      </c>
      <c r="C235">
        <f t="shared" si="12"/>
        <v>105.51862403714256</v>
      </c>
      <c r="D235">
        <v>-17.3</v>
      </c>
      <c r="E235">
        <f t="shared" si="13"/>
        <v>105.34562403714256</v>
      </c>
      <c r="F235">
        <f t="shared" si="14"/>
        <v>9.4925632568033571E-3</v>
      </c>
      <c r="G235" s="4">
        <f t="shared" si="15"/>
        <v>-1.718108661446403E-2</v>
      </c>
    </row>
    <row r="236" spans="1:7" x14ac:dyDescent="0.3">
      <c r="A236" s="1">
        <v>39629</v>
      </c>
      <c r="B236">
        <v>9.4149999999999998E-3</v>
      </c>
      <c r="C236">
        <f t="shared" si="12"/>
        <v>106.21348911311736</v>
      </c>
      <c r="D236">
        <v>-18.78</v>
      </c>
      <c r="E236">
        <f t="shared" si="13"/>
        <v>106.02568911311737</v>
      </c>
      <c r="F236">
        <f t="shared" si="14"/>
        <v>9.4316764961849351E-3</v>
      </c>
      <c r="G236" s="4">
        <f t="shared" si="15"/>
        <v>-8.1709496903028221E-3</v>
      </c>
    </row>
    <row r="237" spans="1:7" x14ac:dyDescent="0.3">
      <c r="A237" s="1">
        <v>39660</v>
      </c>
      <c r="B237">
        <v>9.2680000000000002E-3</v>
      </c>
      <c r="C237">
        <f t="shared" si="12"/>
        <v>107.89814415192059</v>
      </c>
      <c r="D237">
        <v>-18.84</v>
      </c>
      <c r="E237">
        <f t="shared" si="13"/>
        <v>107.70974415192059</v>
      </c>
      <c r="F237">
        <f t="shared" si="14"/>
        <v>9.2842110792644462E-3</v>
      </c>
      <c r="G237" s="4">
        <f t="shared" si="15"/>
        <v>-1.7353913299628248E-2</v>
      </c>
    </row>
    <row r="238" spans="1:7" x14ac:dyDescent="0.3">
      <c r="A238" s="1">
        <v>39689</v>
      </c>
      <c r="B238">
        <v>9.1920000000000005E-3</v>
      </c>
      <c r="C238">
        <f t="shared" si="12"/>
        <v>108.79025239338554</v>
      </c>
      <c r="D238">
        <v>-17.61</v>
      </c>
      <c r="E238">
        <f t="shared" si="13"/>
        <v>108.61415239338554</v>
      </c>
      <c r="F238">
        <f t="shared" si="14"/>
        <v>9.2069033175173846E-3</v>
      </c>
      <c r="G238" s="4">
        <f t="shared" si="15"/>
        <v>-9.9320317555459184E-3</v>
      </c>
    </row>
    <row r="239" spans="1:7" x14ac:dyDescent="0.3">
      <c r="A239" s="1">
        <v>39721</v>
      </c>
      <c r="B239">
        <v>9.4240000000000001E-3</v>
      </c>
      <c r="C239">
        <f t="shared" si="12"/>
        <v>106.11205432937182</v>
      </c>
      <c r="D239">
        <v>-53.61</v>
      </c>
      <c r="E239">
        <f t="shared" si="13"/>
        <v>105.57595432937181</v>
      </c>
      <c r="F239">
        <f t="shared" si="14"/>
        <v>9.4718537601870822E-3</v>
      </c>
      <c r="G239" s="4">
        <f t="shared" si="15"/>
        <v>2.3579772155265234E-2</v>
      </c>
    </row>
    <row r="240" spans="1:7" x14ac:dyDescent="0.3">
      <c r="A240" s="1">
        <v>39752</v>
      </c>
      <c r="B240">
        <v>1.0156E-2</v>
      </c>
      <c r="C240">
        <f t="shared" si="12"/>
        <v>98.463962189838512</v>
      </c>
      <c r="D240">
        <v>-10</v>
      </c>
      <c r="E240">
        <f t="shared" si="13"/>
        <v>98.363962189838517</v>
      </c>
      <c r="F240">
        <f t="shared" si="14"/>
        <v>1.0166324919588333E-2</v>
      </c>
      <c r="G240" s="4">
        <f t="shared" si="15"/>
        <v>7.2229392169100071E-2</v>
      </c>
    </row>
    <row r="241" spans="1:7" x14ac:dyDescent="0.3">
      <c r="A241" s="1">
        <v>39780</v>
      </c>
      <c r="B241">
        <v>1.0468E-2</v>
      </c>
      <c r="C241">
        <f t="shared" si="12"/>
        <v>95.529231944975166</v>
      </c>
      <c r="D241">
        <v>-14.85</v>
      </c>
      <c r="E241">
        <f t="shared" si="13"/>
        <v>95.380731944975167</v>
      </c>
      <c r="F241">
        <f t="shared" si="14"/>
        <v>1.0484297819992583E-2</v>
      </c>
      <c r="G241" s="4">
        <f t="shared" si="15"/>
        <v>2.9673956203229653E-2</v>
      </c>
    </row>
    <row r="242" spans="1:7" x14ac:dyDescent="0.3">
      <c r="A242" s="1">
        <v>39813</v>
      </c>
      <c r="B242">
        <v>1.1021E-2</v>
      </c>
      <c r="C242">
        <f t="shared" si="12"/>
        <v>90.735867888576351</v>
      </c>
      <c r="D242">
        <v>-5.12</v>
      </c>
      <c r="E242">
        <f t="shared" si="13"/>
        <v>90.684667888576357</v>
      </c>
      <c r="F242">
        <f t="shared" si="14"/>
        <v>1.1027222388118501E-2</v>
      </c>
      <c r="G242" s="4">
        <f t="shared" si="15"/>
        <v>5.1191046765571249E-2</v>
      </c>
    </row>
    <row r="243" spans="1:7" x14ac:dyDescent="0.3">
      <c r="A243" s="1">
        <v>39843</v>
      </c>
      <c r="B243">
        <v>1.1115E-2</v>
      </c>
      <c r="C243">
        <f t="shared" si="12"/>
        <v>89.968511021142604</v>
      </c>
      <c r="D243">
        <v>-4.8099999999999996</v>
      </c>
      <c r="E243">
        <f t="shared" si="13"/>
        <v>89.920411021142598</v>
      </c>
      <c r="F243">
        <f t="shared" si="14"/>
        <v>1.1120945607831733E-2</v>
      </c>
      <c r="G243" s="4">
        <f t="shared" si="15"/>
        <v>7.9600835815261152E-3</v>
      </c>
    </row>
    <row r="244" spans="1:7" x14ac:dyDescent="0.3">
      <c r="A244" s="1">
        <v>39871</v>
      </c>
      <c r="B244">
        <v>1.0248E-2</v>
      </c>
      <c r="C244">
        <f t="shared" si="12"/>
        <v>97.580015612802498</v>
      </c>
      <c r="D244">
        <v>-5.2</v>
      </c>
      <c r="E244">
        <f t="shared" si="13"/>
        <v>97.528015612802491</v>
      </c>
      <c r="F244">
        <f t="shared" si="14"/>
        <v>1.0253464029967714E-2</v>
      </c>
      <c r="G244" s="4">
        <f t="shared" si="15"/>
        <v>-7.8495627855330583E-2</v>
      </c>
    </row>
    <row r="245" spans="1:7" x14ac:dyDescent="0.3">
      <c r="A245" s="1">
        <v>39903</v>
      </c>
      <c r="B245">
        <v>1.0104E-2</v>
      </c>
      <c r="C245">
        <f t="shared" si="12"/>
        <v>98.970704671417266</v>
      </c>
      <c r="D245">
        <v>-4.2300000000000004</v>
      </c>
      <c r="E245">
        <f t="shared" si="13"/>
        <v>98.928404671417269</v>
      </c>
      <c r="F245">
        <f t="shared" si="14"/>
        <v>1.0108320288004437E-2</v>
      </c>
      <c r="G245" s="4">
        <f t="shared" si="15"/>
        <v>-1.4576930248243617E-2</v>
      </c>
    </row>
    <row r="246" spans="1:7" x14ac:dyDescent="0.3">
      <c r="A246" s="1">
        <v>39933</v>
      </c>
      <c r="B246">
        <v>1.0139E-2</v>
      </c>
      <c r="C246">
        <f t="shared" si="12"/>
        <v>98.629056119932926</v>
      </c>
      <c r="D246">
        <v>-4.45</v>
      </c>
      <c r="E246">
        <f t="shared" si="13"/>
        <v>98.584556119932927</v>
      </c>
      <c r="F246">
        <f t="shared" si="14"/>
        <v>1.0143576634695714E-2</v>
      </c>
      <c r="G246" s="4">
        <f t="shared" si="15"/>
        <v>3.0350949634996571E-3</v>
      </c>
    </row>
    <row r="247" spans="1:7" x14ac:dyDescent="0.3">
      <c r="A247" s="1">
        <v>39962</v>
      </c>
      <c r="B247">
        <v>1.0489999999999999E-2</v>
      </c>
      <c r="C247">
        <f t="shared" si="12"/>
        <v>95.328884652049581</v>
      </c>
      <c r="D247">
        <v>-3.42</v>
      </c>
      <c r="E247">
        <f t="shared" si="13"/>
        <v>95.294684652049582</v>
      </c>
      <c r="F247">
        <f t="shared" si="14"/>
        <v>1.0493764722044149E-2</v>
      </c>
      <c r="G247" s="4">
        <f t="shared" si="15"/>
        <v>3.4151993698096336E-2</v>
      </c>
    </row>
    <row r="248" spans="1:7" x14ac:dyDescent="0.3">
      <c r="A248" s="1">
        <v>39994</v>
      </c>
      <c r="B248">
        <v>1.0377000000000001E-2</v>
      </c>
      <c r="C248">
        <f t="shared" si="12"/>
        <v>96.366965404259417</v>
      </c>
      <c r="D248">
        <v>-3.55</v>
      </c>
      <c r="E248">
        <f t="shared" si="13"/>
        <v>96.331465404259419</v>
      </c>
      <c r="F248">
        <f t="shared" si="14"/>
        <v>1.0380824124323803E-2</v>
      </c>
      <c r="G248" s="4">
        <f t="shared" si="15"/>
        <v>-1.1127057365681358E-2</v>
      </c>
    </row>
    <row r="249" spans="1:7" x14ac:dyDescent="0.3">
      <c r="A249" s="1">
        <v>40025</v>
      </c>
      <c r="B249">
        <v>1.0562E-2</v>
      </c>
      <c r="C249">
        <f t="shared" si="12"/>
        <v>94.679038060973298</v>
      </c>
      <c r="D249">
        <v>-2.6</v>
      </c>
      <c r="E249">
        <f t="shared" si="13"/>
        <v>94.653038060973302</v>
      </c>
      <c r="F249">
        <f t="shared" si="14"/>
        <v>1.0564901248661697E-2</v>
      </c>
      <c r="G249" s="4">
        <f t="shared" si="15"/>
        <v>1.7452937599787968E-2</v>
      </c>
    </row>
    <row r="250" spans="1:7" x14ac:dyDescent="0.3">
      <c r="A250" s="1">
        <v>40056</v>
      </c>
      <c r="B250">
        <v>1.0737999999999999E-2</v>
      </c>
      <c r="C250">
        <f t="shared" si="12"/>
        <v>93.127211771279576</v>
      </c>
      <c r="D250">
        <v>-1.91</v>
      </c>
      <c r="E250">
        <f t="shared" si="13"/>
        <v>93.108111771279582</v>
      </c>
      <c r="F250">
        <f t="shared" si="14"/>
        <v>1.0740202770479372E-2</v>
      </c>
      <c r="G250" s="4">
        <f t="shared" si="15"/>
        <v>1.6384322698731284E-2</v>
      </c>
    </row>
    <row r="251" spans="1:7" x14ac:dyDescent="0.3">
      <c r="A251" s="1">
        <v>40086</v>
      </c>
      <c r="B251">
        <v>1.115E-2</v>
      </c>
      <c r="C251">
        <f t="shared" si="12"/>
        <v>89.686098654708516</v>
      </c>
      <c r="D251">
        <v>-1.79</v>
      </c>
      <c r="E251">
        <f t="shared" si="13"/>
        <v>89.668198654708519</v>
      </c>
      <c r="F251">
        <f t="shared" si="14"/>
        <v>1.1152225816989684E-2</v>
      </c>
      <c r="G251" s="4">
        <f t="shared" si="15"/>
        <v>3.8155446249767355E-2</v>
      </c>
    </row>
    <row r="252" spans="1:7" x14ac:dyDescent="0.3">
      <c r="A252" s="1">
        <v>40116</v>
      </c>
      <c r="B252">
        <v>1.1098999999999999E-2</v>
      </c>
      <c r="C252">
        <f t="shared" si="12"/>
        <v>90.0982070456798</v>
      </c>
      <c r="D252">
        <v>-1.32</v>
      </c>
      <c r="E252">
        <f t="shared" si="13"/>
        <v>90.085007045679802</v>
      </c>
      <c r="F252">
        <f t="shared" si="14"/>
        <v>1.1100626317239733E-2</v>
      </c>
      <c r="G252" s="4">
        <f t="shared" si="15"/>
        <v>-4.7726631313902102E-3</v>
      </c>
    </row>
    <row r="253" spans="1:7" x14ac:dyDescent="0.3">
      <c r="A253" s="1">
        <v>40147</v>
      </c>
      <c r="B253">
        <v>1.1573999999999999E-2</v>
      </c>
      <c r="C253">
        <f t="shared" si="12"/>
        <v>86.400552963538971</v>
      </c>
      <c r="D253">
        <v>-1.5</v>
      </c>
      <c r="E253">
        <f t="shared" si="13"/>
        <v>86.38555296353897</v>
      </c>
      <c r="F253">
        <f t="shared" si="14"/>
        <v>1.1576009711045934E-2</v>
      </c>
      <c r="G253" s="4">
        <f t="shared" si="15"/>
        <v>4.2643871546697944E-2</v>
      </c>
    </row>
    <row r="254" spans="1:7" x14ac:dyDescent="0.3">
      <c r="A254" s="1">
        <v>40178</v>
      </c>
      <c r="B254">
        <v>1.0753E-2</v>
      </c>
      <c r="C254">
        <f t="shared" si="12"/>
        <v>92.997303078210734</v>
      </c>
      <c r="D254">
        <v>-1.48</v>
      </c>
      <c r="E254">
        <f t="shared" si="13"/>
        <v>92.98250307821074</v>
      </c>
      <c r="F254">
        <f t="shared" si="14"/>
        <v>1.0754711552117133E-2</v>
      </c>
      <c r="G254" s="4">
        <f t="shared" si="15"/>
        <v>-7.1096148983065391E-2</v>
      </c>
    </row>
    <row r="255" spans="1:7" x14ac:dyDescent="0.3">
      <c r="A255" s="1">
        <v>40207</v>
      </c>
      <c r="B255">
        <v>1.1077999999999999E-2</v>
      </c>
      <c r="C255">
        <f t="shared" si="12"/>
        <v>90.269001624842033</v>
      </c>
      <c r="D255">
        <v>-0.83</v>
      </c>
      <c r="E255">
        <f t="shared" si="13"/>
        <v>90.260701624842028</v>
      </c>
      <c r="F255">
        <f t="shared" si="14"/>
        <v>1.1079018686962818E-2</v>
      </c>
      <c r="G255" s="4">
        <f t="shared" si="15"/>
        <v>3.0060169100418553E-2</v>
      </c>
    </row>
    <row r="256" spans="1:7" x14ac:dyDescent="0.3">
      <c r="A256" s="1">
        <v>40235</v>
      </c>
      <c r="B256">
        <v>1.1246000000000001E-2</v>
      </c>
      <c r="C256">
        <f t="shared" si="12"/>
        <v>88.920505068468785</v>
      </c>
      <c r="D256">
        <v>-1.29</v>
      </c>
      <c r="E256">
        <f t="shared" si="13"/>
        <v>88.907605068468783</v>
      </c>
      <c r="F256">
        <f t="shared" si="14"/>
        <v>1.1247631732177335E-2</v>
      </c>
      <c r="G256" s="4">
        <f t="shared" si="15"/>
        <v>1.5071850472973524E-2</v>
      </c>
    </row>
    <row r="257" spans="1:7" x14ac:dyDescent="0.3">
      <c r="A257" s="1">
        <v>40268</v>
      </c>
      <c r="B257">
        <v>1.0699999999999999E-2</v>
      </c>
      <c r="C257">
        <f t="shared" si="12"/>
        <v>93.45794392523365</v>
      </c>
      <c r="D257">
        <v>-1.55</v>
      </c>
      <c r="E257">
        <f t="shared" si="13"/>
        <v>93.442443925233647</v>
      </c>
      <c r="F257">
        <f t="shared" si="14"/>
        <v>1.0701774889365401E-2</v>
      </c>
      <c r="G257" s="4">
        <f t="shared" si="15"/>
        <v>-4.8688625767384051E-2</v>
      </c>
    </row>
    <row r="258" spans="1:7" x14ac:dyDescent="0.3">
      <c r="A258" s="1">
        <v>40298</v>
      </c>
      <c r="B258">
        <v>1.0654E-2</v>
      </c>
      <c r="C258">
        <f t="shared" si="12"/>
        <v>93.861460484325136</v>
      </c>
      <c r="D258">
        <v>-2.65</v>
      </c>
      <c r="E258">
        <f t="shared" si="13"/>
        <v>93.834960484325137</v>
      </c>
      <c r="F258">
        <f t="shared" si="14"/>
        <v>1.0657008803952629E-2</v>
      </c>
      <c r="G258" s="4">
        <f t="shared" si="15"/>
        <v>-4.4642024205607421E-3</v>
      </c>
    </row>
    <row r="259" spans="1:7" x14ac:dyDescent="0.3">
      <c r="A259" s="1">
        <v>40329</v>
      </c>
      <c r="B259">
        <v>1.0957E-2</v>
      </c>
      <c r="C259">
        <f t="shared" ref="C259:C322" si="16">1/B259</f>
        <v>91.265857442730677</v>
      </c>
      <c r="D259">
        <v>-4.04</v>
      </c>
      <c r="E259">
        <f t="shared" ref="E259:E322" si="17">C259+D259/10^2</f>
        <v>91.225457442730672</v>
      </c>
      <c r="F259">
        <f t="shared" ref="F259:F322" si="18">1/E259</f>
        <v>1.0961852404278464E-2</v>
      </c>
      <c r="G259" s="4">
        <f t="shared" si="15"/>
        <v>2.8149662026750445E-2</v>
      </c>
    </row>
    <row r="260" spans="1:7" x14ac:dyDescent="0.3">
      <c r="A260" s="1">
        <v>40359</v>
      </c>
      <c r="B260">
        <v>1.1308E-2</v>
      </c>
      <c r="C260">
        <f t="shared" si="16"/>
        <v>88.432967810399717</v>
      </c>
      <c r="D260">
        <v>-4.3</v>
      </c>
      <c r="E260">
        <f t="shared" si="17"/>
        <v>88.38996781039971</v>
      </c>
      <c r="F260">
        <f t="shared" si="18"/>
        <v>1.1313501122039585E-2</v>
      </c>
      <c r="G260" s="4">
        <f t="shared" ref="G260:G323" si="19">(B260-F259)/(F259)</f>
        <v>3.1577472762398535E-2</v>
      </c>
    </row>
    <row r="261" spans="1:7" x14ac:dyDescent="0.3">
      <c r="A261" s="1">
        <v>40389</v>
      </c>
      <c r="B261">
        <v>1.1568E-2</v>
      </c>
      <c r="C261">
        <f t="shared" si="16"/>
        <v>86.445366528354086</v>
      </c>
      <c r="D261">
        <v>-2.19</v>
      </c>
      <c r="E261">
        <f t="shared" si="17"/>
        <v>86.423466528354083</v>
      </c>
      <c r="F261">
        <f t="shared" si="18"/>
        <v>1.1570931370496656E-2</v>
      </c>
      <c r="G261" s="4">
        <f t="shared" si="19"/>
        <v>2.249514763070393E-2</v>
      </c>
    </row>
    <row r="262" spans="1:7" x14ac:dyDescent="0.3">
      <c r="A262" s="1">
        <v>40421</v>
      </c>
      <c r="B262">
        <v>1.1878E-2</v>
      </c>
      <c r="C262">
        <f t="shared" si="16"/>
        <v>84.189257450749281</v>
      </c>
      <c r="D262">
        <v>-2.75</v>
      </c>
      <c r="E262">
        <f t="shared" si="17"/>
        <v>84.161757450749278</v>
      </c>
      <c r="F262">
        <f t="shared" si="18"/>
        <v>1.1881881157070553E-2</v>
      </c>
      <c r="G262" s="4">
        <f t="shared" si="19"/>
        <v>2.6537935423789828E-2</v>
      </c>
    </row>
    <row r="263" spans="1:7" x14ac:dyDescent="0.3">
      <c r="A263" s="1">
        <v>40451</v>
      </c>
      <c r="B263">
        <v>1.1972999999999999E-2</v>
      </c>
      <c r="C263">
        <f t="shared" si="16"/>
        <v>83.521256159692641</v>
      </c>
      <c r="D263">
        <v>-2.2000000000000002</v>
      </c>
      <c r="E263">
        <f t="shared" si="17"/>
        <v>83.499256159692635</v>
      </c>
      <c r="F263">
        <f t="shared" si="18"/>
        <v>1.1976154590976191E-2</v>
      </c>
      <c r="G263" s="4">
        <f t="shared" si="19"/>
        <v>7.6687219578209656E-3</v>
      </c>
    </row>
    <row r="264" spans="1:7" x14ac:dyDescent="0.3">
      <c r="A264" s="1">
        <v>40480</v>
      </c>
      <c r="B264">
        <v>1.2437999999999999E-2</v>
      </c>
      <c r="C264">
        <f t="shared" si="16"/>
        <v>80.398777938575336</v>
      </c>
      <c r="D264">
        <v>-1.88</v>
      </c>
      <c r="E264">
        <f t="shared" si="17"/>
        <v>80.379977938575337</v>
      </c>
      <c r="F264">
        <f t="shared" si="18"/>
        <v>1.244090911251778E-2</v>
      </c>
      <c r="G264" s="4">
        <f t="shared" si="19"/>
        <v>3.8563748114257008E-2</v>
      </c>
    </row>
    <row r="265" spans="1:7" x14ac:dyDescent="0.3">
      <c r="A265" s="1">
        <v>40512</v>
      </c>
      <c r="B265">
        <v>1.1950000000000001E-2</v>
      </c>
      <c r="C265">
        <f t="shared" si="16"/>
        <v>83.682008368200826</v>
      </c>
      <c r="D265">
        <v>-4.13</v>
      </c>
      <c r="E265">
        <f t="shared" si="17"/>
        <v>83.640708368200819</v>
      </c>
      <c r="F265">
        <f t="shared" si="18"/>
        <v>1.195590065542998E-2</v>
      </c>
      <c r="G265" s="4">
        <f t="shared" si="19"/>
        <v>-3.9459263634024695E-2</v>
      </c>
    </row>
    <row r="266" spans="1:7" x14ac:dyDescent="0.3">
      <c r="A266" s="1">
        <v>40543</v>
      </c>
      <c r="B266">
        <v>1.2323000000000001E-2</v>
      </c>
      <c r="C266">
        <f t="shared" si="16"/>
        <v>81.149070843138844</v>
      </c>
      <c r="D266">
        <v>-2.82</v>
      </c>
      <c r="E266">
        <f t="shared" si="17"/>
        <v>81.120870843138846</v>
      </c>
      <c r="F266">
        <f t="shared" si="18"/>
        <v>1.232728383714805E-2</v>
      </c>
      <c r="G266" s="4">
        <f t="shared" si="19"/>
        <v>3.0704449221338796E-2</v>
      </c>
    </row>
    <row r="267" spans="1:7" x14ac:dyDescent="0.3">
      <c r="A267" s="1">
        <v>40574</v>
      </c>
      <c r="B267">
        <v>1.2189E-2</v>
      </c>
      <c r="C267">
        <f t="shared" si="16"/>
        <v>82.041184674706699</v>
      </c>
      <c r="D267">
        <v>-1.41</v>
      </c>
      <c r="E267">
        <f t="shared" si="17"/>
        <v>82.0270846747067</v>
      </c>
      <c r="F267">
        <f t="shared" si="18"/>
        <v>1.2191095221361111E-2</v>
      </c>
      <c r="G267" s="4">
        <f t="shared" si="19"/>
        <v>-1.121770529298061E-2</v>
      </c>
    </row>
    <row r="268" spans="1:7" x14ac:dyDescent="0.3">
      <c r="A268" s="1">
        <v>40602</v>
      </c>
      <c r="B268">
        <v>1.2227999999999999E-2</v>
      </c>
      <c r="C268">
        <f t="shared" si="16"/>
        <v>81.779522407589141</v>
      </c>
      <c r="D268">
        <v>-1.61</v>
      </c>
      <c r="E268">
        <f t="shared" si="17"/>
        <v>81.763422407589147</v>
      </c>
      <c r="F268">
        <f t="shared" si="18"/>
        <v>1.2230407810169912E-2</v>
      </c>
      <c r="G268" s="4">
        <f t="shared" si="19"/>
        <v>3.0271914023134172E-3</v>
      </c>
    </row>
    <row r="269" spans="1:7" x14ac:dyDescent="0.3">
      <c r="A269" s="1">
        <v>40633</v>
      </c>
      <c r="B269">
        <v>1.2029E-2</v>
      </c>
      <c r="C269">
        <f t="shared" si="16"/>
        <v>83.132429960927766</v>
      </c>
      <c r="D269">
        <v>-1.42</v>
      </c>
      <c r="E269">
        <f t="shared" si="17"/>
        <v>83.118229960927763</v>
      </c>
      <c r="F269">
        <f t="shared" si="18"/>
        <v>1.2031055046168334E-2</v>
      </c>
      <c r="G269" s="4">
        <f t="shared" si="19"/>
        <v>-1.6467791859110105E-2</v>
      </c>
    </row>
    <row r="270" spans="1:7" x14ac:dyDescent="0.3">
      <c r="A270" s="1">
        <v>40662</v>
      </c>
      <c r="B270">
        <v>1.2312999999999999E-2</v>
      </c>
      <c r="C270">
        <f t="shared" si="16"/>
        <v>81.214976041582077</v>
      </c>
      <c r="D270">
        <v>-1.06</v>
      </c>
      <c r="E270">
        <f t="shared" si="17"/>
        <v>81.20437604158208</v>
      </c>
      <c r="F270">
        <f t="shared" si="18"/>
        <v>1.2314607275449453E-2</v>
      </c>
      <c r="G270" s="4">
        <f t="shared" si="19"/>
        <v>2.3434765508903551E-2</v>
      </c>
    </row>
    <row r="271" spans="1:7" x14ac:dyDescent="0.3">
      <c r="A271" s="1">
        <v>40694</v>
      </c>
      <c r="B271">
        <v>1.2266000000000001E-2</v>
      </c>
      <c r="C271">
        <f t="shared" si="16"/>
        <v>81.526169900538065</v>
      </c>
      <c r="D271">
        <v>-0.85</v>
      </c>
      <c r="E271">
        <f t="shared" si="17"/>
        <v>81.517669900538067</v>
      </c>
      <c r="F271">
        <f t="shared" si="18"/>
        <v>1.2267278998775692E-2</v>
      </c>
      <c r="G271" s="4">
        <f t="shared" si="19"/>
        <v>-3.9471234739540855E-3</v>
      </c>
    </row>
    <row r="272" spans="1:7" x14ac:dyDescent="0.3">
      <c r="A272" s="1">
        <v>40724</v>
      </c>
      <c r="B272">
        <v>1.2413E-2</v>
      </c>
      <c r="C272">
        <f t="shared" si="16"/>
        <v>80.560702489325706</v>
      </c>
      <c r="D272">
        <v>-1.25</v>
      </c>
      <c r="E272">
        <f t="shared" si="17"/>
        <v>80.548202489325703</v>
      </c>
      <c r="F272">
        <f t="shared" si="18"/>
        <v>1.2414926331006835E-2</v>
      </c>
      <c r="G272" s="4">
        <f t="shared" si="19"/>
        <v>1.1878836475379089E-2</v>
      </c>
    </row>
    <row r="273" spans="1:7" x14ac:dyDescent="0.3">
      <c r="A273" s="1">
        <v>40753</v>
      </c>
      <c r="B273">
        <v>1.3027E-2</v>
      </c>
      <c r="C273">
        <f t="shared" si="16"/>
        <v>76.763644737852147</v>
      </c>
      <c r="D273">
        <v>-3.19</v>
      </c>
      <c r="E273">
        <f t="shared" si="17"/>
        <v>76.731744737852154</v>
      </c>
      <c r="F273">
        <f t="shared" si="18"/>
        <v>1.303241576763854E-2</v>
      </c>
      <c r="G273" s="4">
        <f t="shared" si="19"/>
        <v>4.930143382844604E-2</v>
      </c>
    </row>
    <row r="274" spans="1:7" x14ac:dyDescent="0.3">
      <c r="A274" s="1">
        <v>40786</v>
      </c>
      <c r="B274">
        <v>1.3044999999999999E-2</v>
      </c>
      <c r="C274">
        <f t="shared" si="16"/>
        <v>76.657723265619012</v>
      </c>
      <c r="D274">
        <v>-1.82</v>
      </c>
      <c r="E274">
        <f t="shared" si="17"/>
        <v>76.639523265619019</v>
      </c>
      <c r="F274">
        <f t="shared" si="18"/>
        <v>1.3048097866347329E-2</v>
      </c>
      <c r="G274" s="4">
        <f t="shared" si="19"/>
        <v>9.6561010528132467E-4</v>
      </c>
    </row>
    <row r="275" spans="1:7" x14ac:dyDescent="0.3">
      <c r="A275" s="1">
        <v>40816</v>
      </c>
      <c r="B275">
        <v>1.2983E-2</v>
      </c>
      <c r="C275">
        <f t="shared" si="16"/>
        <v>77.023800354309486</v>
      </c>
      <c r="D275">
        <v>-3.15</v>
      </c>
      <c r="E275">
        <f t="shared" si="17"/>
        <v>76.992300354309492</v>
      </c>
      <c r="F275">
        <f t="shared" si="18"/>
        <v>1.2988311758424126E-2</v>
      </c>
      <c r="G275" s="4">
        <f t="shared" si="19"/>
        <v>-4.9890694424682795E-3</v>
      </c>
    </row>
    <row r="276" spans="1:7" x14ac:dyDescent="0.3">
      <c r="A276" s="1">
        <v>40847</v>
      </c>
      <c r="B276">
        <v>1.2793000000000001E-2</v>
      </c>
      <c r="C276">
        <f t="shared" si="16"/>
        <v>78.167747987180491</v>
      </c>
      <c r="D276">
        <v>-4.1100000000000003</v>
      </c>
      <c r="E276">
        <f t="shared" si="17"/>
        <v>78.12664798718049</v>
      </c>
      <c r="F276">
        <f t="shared" si="18"/>
        <v>1.2799729999475803E-2</v>
      </c>
      <c r="G276" s="4">
        <f t="shared" si="19"/>
        <v>-1.5037501567318621E-2</v>
      </c>
    </row>
    <row r="277" spans="1:7" x14ac:dyDescent="0.3">
      <c r="A277" s="1">
        <v>40877</v>
      </c>
      <c r="B277">
        <v>1.2884E-2</v>
      </c>
      <c r="C277">
        <f t="shared" si="16"/>
        <v>77.615647314498602</v>
      </c>
      <c r="D277">
        <v>-6.98</v>
      </c>
      <c r="E277">
        <f t="shared" si="17"/>
        <v>77.545847314498602</v>
      </c>
      <c r="F277">
        <f t="shared" si="18"/>
        <v>1.2895597051694499E-2</v>
      </c>
      <c r="G277" s="4">
        <f t="shared" si="19"/>
        <v>6.5837326668333872E-3</v>
      </c>
    </row>
    <row r="278" spans="1:7" x14ac:dyDescent="0.3">
      <c r="A278" s="1">
        <v>40907</v>
      </c>
      <c r="B278">
        <v>1.3001E-2</v>
      </c>
      <c r="C278">
        <f t="shared" si="16"/>
        <v>76.917160218444735</v>
      </c>
      <c r="D278">
        <v>-3.53</v>
      </c>
      <c r="E278">
        <f t="shared" si="17"/>
        <v>76.881860218444729</v>
      </c>
      <c r="F278">
        <f t="shared" si="18"/>
        <v>1.3006969357384122E-2</v>
      </c>
      <c r="G278" s="4">
        <f t="shared" si="19"/>
        <v>8.1735609357963743E-3</v>
      </c>
    </row>
    <row r="279" spans="1:7" x14ac:dyDescent="0.3">
      <c r="A279" s="1">
        <v>40939</v>
      </c>
      <c r="B279">
        <v>1.3112E-2</v>
      </c>
      <c r="C279">
        <f t="shared" si="16"/>
        <v>76.26601586333129</v>
      </c>
      <c r="D279">
        <v>-2.2599999999999998</v>
      </c>
      <c r="E279">
        <f t="shared" si="17"/>
        <v>76.243415863331293</v>
      </c>
      <c r="F279">
        <f t="shared" si="18"/>
        <v>1.3115886646429001E-2</v>
      </c>
      <c r="G279" s="4">
        <f t="shared" si="19"/>
        <v>8.0749511842473504E-3</v>
      </c>
    </row>
    <row r="280" spans="1:7" x14ac:dyDescent="0.3">
      <c r="A280" s="1">
        <v>40968</v>
      </c>
      <c r="B280">
        <v>1.2323000000000001E-2</v>
      </c>
      <c r="C280">
        <f t="shared" si="16"/>
        <v>81.149070843138844</v>
      </c>
      <c r="D280">
        <v>-2.0499999999999998</v>
      </c>
      <c r="E280">
        <f t="shared" si="17"/>
        <v>81.128570843138846</v>
      </c>
      <c r="F280">
        <f t="shared" si="18"/>
        <v>1.2326113841367777E-2</v>
      </c>
      <c r="G280" s="4">
        <f t="shared" si="19"/>
        <v>-6.0452386316168387E-2</v>
      </c>
    </row>
    <row r="281" spans="1:7" x14ac:dyDescent="0.3">
      <c r="A281" s="1">
        <v>40998</v>
      </c>
      <c r="B281">
        <v>1.2068000000000001E-2</v>
      </c>
      <c r="C281">
        <f t="shared" si="16"/>
        <v>82.863771958899562</v>
      </c>
      <c r="D281">
        <v>-2.33</v>
      </c>
      <c r="E281">
        <f t="shared" si="17"/>
        <v>82.840471958899556</v>
      </c>
      <c r="F281">
        <f t="shared" si="18"/>
        <v>1.207139428775997E-2</v>
      </c>
      <c r="G281" s="4">
        <f t="shared" si="19"/>
        <v>-2.0940407065000364E-2</v>
      </c>
    </row>
    <row r="282" spans="1:7" x14ac:dyDescent="0.3">
      <c r="A282" s="1">
        <v>41029</v>
      </c>
      <c r="B282">
        <v>1.2527E-2</v>
      </c>
      <c r="C282">
        <f t="shared" si="16"/>
        <v>79.827572443521987</v>
      </c>
      <c r="D282">
        <v>-2.1800000000000002</v>
      </c>
      <c r="E282">
        <f t="shared" si="17"/>
        <v>79.805772443521988</v>
      </c>
      <c r="F282">
        <f t="shared" si="18"/>
        <v>1.253042191537828E-2</v>
      </c>
      <c r="G282" s="4">
        <f t="shared" si="19"/>
        <v>3.7742592229134696E-2</v>
      </c>
    </row>
    <row r="283" spans="1:7" x14ac:dyDescent="0.3">
      <c r="A283" s="1">
        <v>41060</v>
      </c>
      <c r="B283">
        <v>1.2769000000000001E-2</v>
      </c>
      <c r="C283">
        <f t="shared" si="16"/>
        <v>78.314668337379587</v>
      </c>
      <c r="D283">
        <v>-2.42</v>
      </c>
      <c r="E283">
        <f t="shared" si="17"/>
        <v>78.290468337379593</v>
      </c>
      <c r="F283">
        <f t="shared" si="18"/>
        <v>1.2772946965787308E-2</v>
      </c>
      <c r="G283" s="4">
        <f t="shared" si="19"/>
        <v>1.9039908331332383E-2</v>
      </c>
    </row>
    <row r="284" spans="1:7" x14ac:dyDescent="0.3">
      <c r="A284" s="1">
        <v>41089</v>
      </c>
      <c r="B284">
        <v>1.2529999999999999E-2</v>
      </c>
      <c r="C284">
        <f t="shared" si="16"/>
        <v>79.808459696727851</v>
      </c>
      <c r="D284">
        <v>-3.51</v>
      </c>
      <c r="E284">
        <f t="shared" si="17"/>
        <v>79.773359696727852</v>
      </c>
      <c r="F284">
        <f t="shared" si="18"/>
        <v>1.2535513156292677E-2</v>
      </c>
      <c r="G284" s="4">
        <f t="shared" si="19"/>
        <v>-1.9020431732633725E-2</v>
      </c>
    </row>
    <row r="285" spans="1:7" x14ac:dyDescent="0.3">
      <c r="A285" s="1">
        <v>41121</v>
      </c>
      <c r="B285">
        <v>1.2801E-2</v>
      </c>
      <c r="C285">
        <f t="shared" si="16"/>
        <v>78.118896961174912</v>
      </c>
      <c r="D285">
        <v>-2.56</v>
      </c>
      <c r="E285">
        <f t="shared" si="17"/>
        <v>78.093296961174914</v>
      </c>
      <c r="F285">
        <f t="shared" si="18"/>
        <v>1.2805196334547931E-2</v>
      </c>
      <c r="G285" s="4">
        <f t="shared" si="19"/>
        <v>2.1178777477813271E-2</v>
      </c>
    </row>
    <row r="286" spans="1:7" x14ac:dyDescent="0.3">
      <c r="A286" s="1">
        <v>41152</v>
      </c>
      <c r="B286">
        <v>1.2756999999999999E-2</v>
      </c>
      <c r="C286">
        <f t="shared" si="16"/>
        <v>78.38833581563064</v>
      </c>
      <c r="D286">
        <v>-1.76</v>
      </c>
      <c r="E286">
        <f t="shared" si="17"/>
        <v>78.370735815630638</v>
      </c>
      <c r="F286">
        <f t="shared" si="18"/>
        <v>1.2759864885695704E-2</v>
      </c>
      <c r="G286" s="4">
        <f t="shared" si="19"/>
        <v>-3.7638106662917386E-3</v>
      </c>
    </row>
    <row r="287" spans="1:7" x14ac:dyDescent="0.3">
      <c r="A287" s="1">
        <v>41180</v>
      </c>
      <c r="B287">
        <v>1.2829999999999999E-2</v>
      </c>
      <c r="C287">
        <f t="shared" si="16"/>
        <v>77.942322681215899</v>
      </c>
      <c r="D287">
        <v>-1.98</v>
      </c>
      <c r="E287">
        <f t="shared" si="17"/>
        <v>77.922522681215895</v>
      </c>
      <c r="F287">
        <f t="shared" si="18"/>
        <v>1.2833260084392279E-2</v>
      </c>
      <c r="G287" s="4">
        <f t="shared" si="19"/>
        <v>5.4965405145410299E-3</v>
      </c>
    </row>
    <row r="288" spans="1:7" x14ac:dyDescent="0.3">
      <c r="A288" s="1">
        <v>41213</v>
      </c>
      <c r="B288">
        <v>1.2533000000000001E-2</v>
      </c>
      <c r="C288">
        <f t="shared" si="16"/>
        <v>79.789356099896267</v>
      </c>
      <c r="D288">
        <v>-1.97</v>
      </c>
      <c r="E288">
        <f t="shared" si="17"/>
        <v>79.769656099896267</v>
      </c>
      <c r="F288">
        <f t="shared" si="18"/>
        <v>1.2536095163149392E-2</v>
      </c>
      <c r="G288" s="4">
        <f t="shared" si="19"/>
        <v>-2.3397023236321084E-2</v>
      </c>
    </row>
    <row r="289" spans="1:7" x14ac:dyDescent="0.3">
      <c r="A289" s="1">
        <v>41243</v>
      </c>
      <c r="B289">
        <v>1.2125E-2</v>
      </c>
      <c r="C289">
        <f t="shared" si="16"/>
        <v>82.474226804123703</v>
      </c>
      <c r="D289">
        <v>-3.16</v>
      </c>
      <c r="E289">
        <f t="shared" si="17"/>
        <v>82.442626804123705</v>
      </c>
      <c r="F289">
        <f t="shared" si="18"/>
        <v>1.2129647474429829E-2</v>
      </c>
      <c r="G289" s="4">
        <f t="shared" si="19"/>
        <v>-3.279291978875773E-2</v>
      </c>
    </row>
    <row r="290" spans="1:7" x14ac:dyDescent="0.3">
      <c r="A290" s="1">
        <v>41274</v>
      </c>
      <c r="B290">
        <v>1.153E-2</v>
      </c>
      <c r="C290">
        <f t="shared" si="16"/>
        <v>86.730268863833473</v>
      </c>
      <c r="D290">
        <v>-2.2200000000000002</v>
      </c>
      <c r="E290">
        <f t="shared" si="17"/>
        <v>86.708068863833475</v>
      </c>
      <c r="F290">
        <f t="shared" si="18"/>
        <v>1.1532952043602794E-2</v>
      </c>
      <c r="G290" s="4">
        <f t="shared" si="19"/>
        <v>-4.9436512948453686E-2</v>
      </c>
    </row>
    <row r="291" spans="1:7" x14ac:dyDescent="0.3">
      <c r="A291" s="1">
        <v>41305</v>
      </c>
      <c r="B291">
        <v>1.0902999999999999E-2</v>
      </c>
      <c r="C291">
        <f t="shared" si="16"/>
        <v>91.717875813996159</v>
      </c>
      <c r="D291">
        <v>-1.66</v>
      </c>
      <c r="E291">
        <f t="shared" si="17"/>
        <v>91.701275813996162</v>
      </c>
      <c r="F291">
        <f t="shared" si="18"/>
        <v>1.0904973689006977E-2</v>
      </c>
      <c r="G291" s="4">
        <f t="shared" si="19"/>
        <v>-5.4621925177623737E-2</v>
      </c>
    </row>
    <row r="292" spans="1:7" x14ac:dyDescent="0.3">
      <c r="A292" s="1">
        <v>41333</v>
      </c>
      <c r="B292">
        <v>1.0803999999999999E-2</v>
      </c>
      <c r="C292">
        <f t="shared" si="16"/>
        <v>92.558311736393932</v>
      </c>
      <c r="D292">
        <v>-1.81</v>
      </c>
      <c r="E292">
        <f t="shared" si="17"/>
        <v>92.540211736393928</v>
      </c>
      <c r="F292">
        <f t="shared" si="18"/>
        <v>1.0806113161363377E-2</v>
      </c>
      <c r="G292" s="4">
        <f t="shared" si="19"/>
        <v>-9.2594161055854895E-3</v>
      </c>
    </row>
    <row r="293" spans="1:7" x14ac:dyDescent="0.3">
      <c r="A293" s="1">
        <v>41362</v>
      </c>
      <c r="B293">
        <v>1.0614E-2</v>
      </c>
      <c r="C293">
        <f t="shared" si="16"/>
        <v>94.215187488223094</v>
      </c>
      <c r="D293">
        <v>-1.83</v>
      </c>
      <c r="E293">
        <f t="shared" si="17"/>
        <v>94.196887488223098</v>
      </c>
      <c r="F293">
        <f t="shared" si="18"/>
        <v>1.0616062023546419E-2</v>
      </c>
      <c r="G293" s="4">
        <f t="shared" si="19"/>
        <v>-1.7778192629914872E-2</v>
      </c>
    </row>
    <row r="294" spans="1:7" x14ac:dyDescent="0.3">
      <c r="A294" s="1">
        <v>41394</v>
      </c>
      <c r="B294">
        <v>1.0263E-2</v>
      </c>
      <c r="C294">
        <f t="shared" si="16"/>
        <v>97.437396472766252</v>
      </c>
      <c r="D294">
        <v>-1.45</v>
      </c>
      <c r="E294">
        <f t="shared" si="17"/>
        <v>97.422896472766254</v>
      </c>
      <c r="F294">
        <f t="shared" si="18"/>
        <v>1.026452750026316E-2</v>
      </c>
      <c r="G294" s="4">
        <f t="shared" si="19"/>
        <v>-3.3257343708366451E-2</v>
      </c>
    </row>
    <row r="295" spans="1:7" x14ac:dyDescent="0.3">
      <c r="A295" s="1">
        <v>41425</v>
      </c>
      <c r="B295">
        <v>9.9489999999999995E-3</v>
      </c>
      <c r="C295">
        <f t="shared" si="16"/>
        <v>100.51261433309881</v>
      </c>
      <c r="D295">
        <v>-1.22</v>
      </c>
      <c r="E295">
        <f t="shared" si="17"/>
        <v>100.5004143330988</v>
      </c>
      <c r="F295">
        <f t="shared" si="18"/>
        <v>9.9502077343243348E-3</v>
      </c>
      <c r="G295" s="4">
        <f t="shared" si="19"/>
        <v>-3.0739602992448586E-2</v>
      </c>
    </row>
    <row r="296" spans="1:7" x14ac:dyDescent="0.3">
      <c r="A296" s="1">
        <v>41453</v>
      </c>
      <c r="B296">
        <v>1.0085999999999999E-2</v>
      </c>
      <c r="C296">
        <f t="shared" si="16"/>
        <v>99.147332936744007</v>
      </c>
      <c r="D296">
        <v>-1.1399999999999999</v>
      </c>
      <c r="E296">
        <f t="shared" si="17"/>
        <v>99.135932936744013</v>
      </c>
      <c r="F296">
        <f t="shared" si="18"/>
        <v>1.0087159825671618E-2</v>
      </c>
      <c r="G296" s="4">
        <f t="shared" si="19"/>
        <v>1.3647178963634529E-2</v>
      </c>
    </row>
    <row r="297" spans="1:7" x14ac:dyDescent="0.3">
      <c r="A297" s="1">
        <v>41486</v>
      </c>
      <c r="B297">
        <v>1.0215999999999999E-2</v>
      </c>
      <c r="C297">
        <f t="shared" si="16"/>
        <v>97.885669537979652</v>
      </c>
      <c r="D297">
        <v>-1.62</v>
      </c>
      <c r="E297">
        <f t="shared" si="17"/>
        <v>97.869469537979654</v>
      </c>
      <c r="F297">
        <f t="shared" si="18"/>
        <v>1.0217691019689605E-2</v>
      </c>
      <c r="G297" s="4">
        <f t="shared" si="19"/>
        <v>1.2772690881776832E-2</v>
      </c>
    </row>
    <row r="298" spans="1:7" x14ac:dyDescent="0.3">
      <c r="A298" s="1">
        <v>41516</v>
      </c>
      <c r="B298">
        <v>1.0187999999999999E-2</v>
      </c>
      <c r="C298">
        <f t="shared" si="16"/>
        <v>98.154691794267777</v>
      </c>
      <c r="D298">
        <v>-1.32</v>
      </c>
      <c r="E298">
        <f t="shared" si="17"/>
        <v>98.141491794267779</v>
      </c>
      <c r="F298">
        <f t="shared" si="18"/>
        <v>1.0189370282818624E-2</v>
      </c>
      <c r="G298" s="4">
        <f t="shared" si="19"/>
        <v>-2.9058443470634425E-3</v>
      </c>
    </row>
    <row r="299" spans="1:7" x14ac:dyDescent="0.3">
      <c r="A299" s="1">
        <v>41547</v>
      </c>
      <c r="B299">
        <v>1.018E-2</v>
      </c>
      <c r="C299">
        <f t="shared" si="16"/>
        <v>98.231827111984288</v>
      </c>
      <c r="D299">
        <v>-1.87</v>
      </c>
      <c r="E299">
        <f t="shared" si="17"/>
        <v>98.213127111984292</v>
      </c>
      <c r="F299">
        <f t="shared" si="18"/>
        <v>1.0181938294865439E-2</v>
      </c>
      <c r="G299" s="4">
        <f t="shared" si="19"/>
        <v>-9.1961353435398381E-4</v>
      </c>
    </row>
    <row r="300" spans="1:7" x14ac:dyDescent="0.3">
      <c r="A300" s="1">
        <v>41578</v>
      </c>
      <c r="B300">
        <v>1.0167000000000001E-2</v>
      </c>
      <c r="C300">
        <f t="shared" si="16"/>
        <v>98.357430903904785</v>
      </c>
      <c r="D300">
        <v>-1.44</v>
      </c>
      <c r="E300">
        <f t="shared" si="17"/>
        <v>98.34303090390479</v>
      </c>
      <c r="F300">
        <f t="shared" si="18"/>
        <v>1.0168488715556704E-2</v>
      </c>
      <c r="G300" s="4">
        <f t="shared" si="19"/>
        <v>-1.4671366524556058E-3</v>
      </c>
    </row>
    <row r="301" spans="1:7" x14ac:dyDescent="0.3">
      <c r="A301" s="1">
        <v>41607</v>
      </c>
      <c r="B301">
        <v>9.7619999999999998E-3</v>
      </c>
      <c r="C301">
        <f t="shared" si="16"/>
        <v>102.43802499487811</v>
      </c>
      <c r="D301">
        <v>-3.09</v>
      </c>
      <c r="E301">
        <f t="shared" si="17"/>
        <v>102.4071249948781</v>
      </c>
      <c r="F301">
        <f t="shared" si="18"/>
        <v>9.7649455548138378E-3</v>
      </c>
      <c r="G301" s="4">
        <f t="shared" si="19"/>
        <v>-3.9975332316081517E-2</v>
      </c>
    </row>
    <row r="302" spans="1:7" x14ac:dyDescent="0.3">
      <c r="A302" s="1">
        <v>41639</v>
      </c>
      <c r="B302">
        <v>9.4970000000000002E-3</v>
      </c>
      <c r="C302">
        <f t="shared" si="16"/>
        <v>105.29640939243971</v>
      </c>
      <c r="D302">
        <v>-1.65</v>
      </c>
      <c r="E302">
        <f t="shared" si="17"/>
        <v>105.27990939243972</v>
      </c>
      <c r="F302">
        <f t="shared" si="18"/>
        <v>9.4984884178843272E-3</v>
      </c>
      <c r="G302" s="4">
        <f t="shared" si="19"/>
        <v>-2.7439533923642626E-2</v>
      </c>
    </row>
    <row r="303" spans="1:7" x14ac:dyDescent="0.3">
      <c r="A303" s="1">
        <v>41670</v>
      </c>
      <c r="B303">
        <v>9.7999999999999997E-3</v>
      </c>
      <c r="C303">
        <f t="shared" si="16"/>
        <v>102.04081632653062</v>
      </c>
      <c r="D303">
        <v>-1.39</v>
      </c>
      <c r="E303">
        <f t="shared" si="17"/>
        <v>102.02691632653061</v>
      </c>
      <c r="F303">
        <f t="shared" si="18"/>
        <v>9.8013351378724804E-3</v>
      </c>
      <c r="G303" s="4">
        <f t="shared" si="19"/>
        <v>3.1743112045909141E-2</v>
      </c>
    </row>
    <row r="304" spans="1:7" x14ac:dyDescent="0.3">
      <c r="A304" s="1">
        <v>41698</v>
      </c>
      <c r="B304">
        <v>9.8250000000000004E-3</v>
      </c>
      <c r="C304">
        <f t="shared" si="16"/>
        <v>101.78117048346056</v>
      </c>
      <c r="D304">
        <v>-1.58</v>
      </c>
      <c r="E304">
        <f t="shared" si="17"/>
        <v>101.76537048346056</v>
      </c>
      <c r="F304">
        <f t="shared" si="18"/>
        <v>9.8265254206736791E-3</v>
      </c>
      <c r="G304" s="4">
        <f t="shared" si="19"/>
        <v>2.414452908163371E-3</v>
      </c>
    </row>
    <row r="305" spans="1:7" x14ac:dyDescent="0.3">
      <c r="A305" s="1">
        <v>41729</v>
      </c>
      <c r="B305">
        <v>9.6869999999999994E-3</v>
      </c>
      <c r="C305">
        <f t="shared" si="16"/>
        <v>103.23113451016827</v>
      </c>
      <c r="D305">
        <v>-1.71</v>
      </c>
      <c r="E305">
        <f t="shared" si="17"/>
        <v>103.21403451016828</v>
      </c>
      <c r="F305">
        <f t="shared" si="18"/>
        <v>9.6886048951170846E-3</v>
      </c>
      <c r="G305" s="4">
        <f t="shared" si="19"/>
        <v>-1.4198856126717695E-2</v>
      </c>
    </row>
    <row r="306" spans="1:7" x14ac:dyDescent="0.3">
      <c r="A306" s="1">
        <v>41759</v>
      </c>
      <c r="B306">
        <v>9.7809999999999998E-3</v>
      </c>
      <c r="C306">
        <f t="shared" si="16"/>
        <v>102.23903486351089</v>
      </c>
      <c r="D306">
        <v>-1.93</v>
      </c>
      <c r="E306">
        <f t="shared" si="17"/>
        <v>102.21973486351089</v>
      </c>
      <c r="F306">
        <f t="shared" si="18"/>
        <v>9.7828467402625539E-3</v>
      </c>
      <c r="G306" s="4">
        <f t="shared" si="19"/>
        <v>9.5364715439558243E-3</v>
      </c>
    </row>
    <row r="307" spans="1:7" x14ac:dyDescent="0.3">
      <c r="A307" s="1">
        <v>41789</v>
      </c>
      <c r="B307">
        <v>9.8250000000000004E-3</v>
      </c>
      <c r="C307">
        <f t="shared" si="16"/>
        <v>101.78117048346056</v>
      </c>
      <c r="D307">
        <v>-1.92</v>
      </c>
      <c r="E307">
        <f t="shared" si="17"/>
        <v>101.76197048346056</v>
      </c>
      <c r="F307">
        <f t="shared" si="18"/>
        <v>9.8268537376890782E-3</v>
      </c>
      <c r="G307" s="4">
        <f t="shared" si="19"/>
        <v>4.3088950339944861E-3</v>
      </c>
    </row>
    <row r="308" spans="1:7" x14ac:dyDescent="0.3">
      <c r="A308" s="1">
        <v>41820</v>
      </c>
      <c r="B308">
        <v>9.8689999999999993E-3</v>
      </c>
      <c r="C308">
        <f t="shared" si="16"/>
        <v>101.32738879319081</v>
      </c>
      <c r="D308">
        <v>-2.5</v>
      </c>
      <c r="E308">
        <f t="shared" si="17"/>
        <v>101.3023887931908</v>
      </c>
      <c r="F308">
        <f t="shared" si="18"/>
        <v>9.8714355299311229E-3</v>
      </c>
      <c r="G308" s="4">
        <f t="shared" si="19"/>
        <v>4.2888867012721389E-3</v>
      </c>
    </row>
    <row r="309" spans="1:7" x14ac:dyDescent="0.3">
      <c r="A309" s="1">
        <v>41851</v>
      </c>
      <c r="B309">
        <v>9.7280000000000005E-3</v>
      </c>
      <c r="C309">
        <f t="shared" si="16"/>
        <v>102.79605263157895</v>
      </c>
      <c r="D309">
        <v>-1.81</v>
      </c>
      <c r="E309">
        <f t="shared" si="17"/>
        <v>102.77795263157894</v>
      </c>
      <c r="F309">
        <f t="shared" si="18"/>
        <v>9.7297131767610824E-3</v>
      </c>
      <c r="G309" s="4">
        <f t="shared" si="19"/>
        <v>-1.453036181983991E-2</v>
      </c>
    </row>
    <row r="310" spans="1:7" x14ac:dyDescent="0.3">
      <c r="A310" s="1">
        <v>41880</v>
      </c>
      <c r="B310">
        <v>9.606E-3</v>
      </c>
      <c r="C310">
        <f t="shared" si="16"/>
        <v>104.10160316468874</v>
      </c>
      <c r="D310">
        <v>-2.41</v>
      </c>
      <c r="E310">
        <f t="shared" si="17"/>
        <v>104.07750316468874</v>
      </c>
      <c r="F310">
        <f t="shared" si="18"/>
        <v>9.6082243481344243E-3</v>
      </c>
      <c r="G310" s="4">
        <f t="shared" si="19"/>
        <v>-1.2714987021052686E-2</v>
      </c>
    </row>
    <row r="311" spans="1:7" x14ac:dyDescent="0.3">
      <c r="A311" s="1">
        <v>41912</v>
      </c>
      <c r="B311">
        <v>9.1199999999999996E-3</v>
      </c>
      <c r="C311">
        <f t="shared" si="16"/>
        <v>109.64912280701755</v>
      </c>
      <c r="D311">
        <v>-2.44</v>
      </c>
      <c r="E311">
        <f t="shared" si="17"/>
        <v>109.62472280701755</v>
      </c>
      <c r="F311">
        <f t="shared" si="18"/>
        <v>9.1220299070711598E-3</v>
      </c>
      <c r="G311" s="4">
        <f t="shared" si="19"/>
        <v>-5.0813171138038689E-2</v>
      </c>
    </row>
    <row r="312" spans="1:7" x14ac:dyDescent="0.3">
      <c r="A312" s="1">
        <v>41943</v>
      </c>
      <c r="B312">
        <v>8.9009999999999992E-3</v>
      </c>
      <c r="C312">
        <f t="shared" si="16"/>
        <v>112.34692731153804</v>
      </c>
      <c r="D312">
        <v>-2.54</v>
      </c>
      <c r="E312">
        <f t="shared" si="17"/>
        <v>112.32152731153803</v>
      </c>
      <c r="F312">
        <f t="shared" si="18"/>
        <v>8.9030128412194119E-3</v>
      </c>
      <c r="G312" s="4">
        <f t="shared" si="19"/>
        <v>-2.4230342294736827E-2</v>
      </c>
    </row>
    <row r="313" spans="1:7" x14ac:dyDescent="0.3">
      <c r="A313" s="1">
        <v>41971</v>
      </c>
      <c r="B313">
        <v>8.43E-3</v>
      </c>
      <c r="C313">
        <f t="shared" si="16"/>
        <v>118.62396204033215</v>
      </c>
      <c r="D313">
        <v>-7.24</v>
      </c>
      <c r="E313">
        <f t="shared" si="17"/>
        <v>118.55156204033214</v>
      </c>
      <c r="F313">
        <f t="shared" si="18"/>
        <v>8.4351482408961623E-3</v>
      </c>
      <c r="G313" s="4">
        <f t="shared" si="19"/>
        <v>-5.3129524763734379E-2</v>
      </c>
    </row>
    <row r="314" spans="1:7" x14ac:dyDescent="0.3">
      <c r="A314" s="1">
        <v>42004</v>
      </c>
      <c r="B314">
        <v>8.3549999999999996E-3</v>
      </c>
      <c r="C314">
        <f t="shared" si="16"/>
        <v>119.6888090963495</v>
      </c>
      <c r="D314">
        <v>-3.15</v>
      </c>
      <c r="E314">
        <f t="shared" si="17"/>
        <v>119.65730909634951</v>
      </c>
      <c r="F314">
        <f t="shared" si="18"/>
        <v>8.3571994686491569E-3</v>
      </c>
      <c r="G314" s="4">
        <f t="shared" si="19"/>
        <v>-9.5016991530249267E-3</v>
      </c>
    </row>
    <row r="315" spans="1:7" x14ac:dyDescent="0.3">
      <c r="A315" s="1">
        <v>42034</v>
      </c>
      <c r="B315">
        <v>8.5079999999999999E-3</v>
      </c>
      <c r="C315">
        <f t="shared" si="16"/>
        <v>117.53643629525153</v>
      </c>
      <c r="D315">
        <v>-3.31</v>
      </c>
      <c r="E315">
        <f t="shared" si="17"/>
        <v>117.50333629525153</v>
      </c>
      <c r="F315">
        <f t="shared" si="18"/>
        <v>8.5103966536515391E-3</v>
      </c>
      <c r="G315" s="4">
        <f t="shared" si="19"/>
        <v>1.8044385791741575E-2</v>
      </c>
    </row>
    <row r="316" spans="1:7" x14ac:dyDescent="0.3">
      <c r="A316" s="1">
        <v>42062</v>
      </c>
      <c r="B316">
        <v>8.3599999999999994E-3</v>
      </c>
      <c r="C316">
        <f t="shared" si="16"/>
        <v>119.61722488038278</v>
      </c>
      <c r="D316">
        <v>-5.4</v>
      </c>
      <c r="E316">
        <f t="shared" si="17"/>
        <v>119.56322488038278</v>
      </c>
      <c r="F316">
        <f t="shared" si="18"/>
        <v>8.3637757429213845E-3</v>
      </c>
      <c r="G316" s="4">
        <f t="shared" si="19"/>
        <v>-1.7672108571697338E-2</v>
      </c>
    </row>
    <row r="317" spans="1:7" x14ac:dyDescent="0.3">
      <c r="A317" s="1">
        <v>42094</v>
      </c>
      <c r="B317">
        <v>8.3239999999999998E-3</v>
      </c>
      <c r="C317">
        <f t="shared" si="16"/>
        <v>120.13455069678039</v>
      </c>
      <c r="D317">
        <v>-5.75</v>
      </c>
      <c r="E317">
        <f t="shared" si="17"/>
        <v>120.07705069678039</v>
      </c>
      <c r="F317">
        <f t="shared" si="18"/>
        <v>8.3279860239506443E-3</v>
      </c>
      <c r="G317" s="4">
        <f t="shared" si="19"/>
        <v>-4.7557160956938132E-3</v>
      </c>
    </row>
    <row r="318" spans="1:7" x14ac:dyDescent="0.3">
      <c r="A318" s="1">
        <v>42124</v>
      </c>
      <c r="B318">
        <v>8.3770000000000008E-3</v>
      </c>
      <c r="C318">
        <f t="shared" si="16"/>
        <v>119.3744777366599</v>
      </c>
      <c r="D318">
        <v>-3.38</v>
      </c>
      <c r="E318">
        <f t="shared" si="17"/>
        <v>119.3406777366599</v>
      </c>
      <c r="F318">
        <f t="shared" si="18"/>
        <v>8.3793725573322528E-3</v>
      </c>
      <c r="G318" s="4">
        <f t="shared" si="19"/>
        <v>5.8854536869293542E-3</v>
      </c>
    </row>
    <row r="319" spans="1:7" x14ac:dyDescent="0.3">
      <c r="A319" s="1">
        <v>42153</v>
      </c>
      <c r="B319">
        <v>8.0549999999999997E-3</v>
      </c>
      <c r="C319">
        <f t="shared" si="16"/>
        <v>124.14649286157666</v>
      </c>
      <c r="D319">
        <v>-5.27</v>
      </c>
      <c r="E319">
        <f t="shared" si="17"/>
        <v>124.09379286157666</v>
      </c>
      <c r="F319">
        <f t="shared" si="18"/>
        <v>8.0584207875366784E-3</v>
      </c>
      <c r="G319" s="4">
        <f t="shared" si="19"/>
        <v>-3.871084083120465E-2</v>
      </c>
    </row>
    <row r="320" spans="1:7" x14ac:dyDescent="0.3">
      <c r="A320" s="1">
        <v>42185</v>
      </c>
      <c r="B320">
        <v>8.1630000000000001E-3</v>
      </c>
      <c r="C320">
        <f t="shared" si="16"/>
        <v>122.50398137939483</v>
      </c>
      <c r="D320">
        <v>-4.6100000000000003</v>
      </c>
      <c r="E320">
        <f t="shared" si="17"/>
        <v>122.45788137939483</v>
      </c>
      <c r="F320">
        <f t="shared" si="18"/>
        <v>8.1660730100485256E-3</v>
      </c>
      <c r="G320" s="4">
        <f t="shared" si="19"/>
        <v>1.2977631129050262E-2</v>
      </c>
    </row>
    <row r="321" spans="1:7" x14ac:dyDescent="0.3">
      <c r="A321" s="1">
        <v>42216</v>
      </c>
      <c r="B321">
        <v>8.0730000000000003E-3</v>
      </c>
      <c r="C321">
        <f t="shared" si="16"/>
        <v>123.86968908708039</v>
      </c>
      <c r="D321">
        <v>-3.54</v>
      </c>
      <c r="E321">
        <f t="shared" si="17"/>
        <v>123.83428908708039</v>
      </c>
      <c r="F321">
        <f t="shared" si="18"/>
        <v>8.0753077953780554E-3</v>
      </c>
      <c r="G321" s="4">
        <f t="shared" si="19"/>
        <v>-1.1397523624145537E-2</v>
      </c>
    </row>
    <row r="322" spans="1:7" x14ac:dyDescent="0.3">
      <c r="A322" s="1">
        <v>42247</v>
      </c>
      <c r="B322">
        <v>8.2489999999999994E-3</v>
      </c>
      <c r="C322">
        <f t="shared" si="16"/>
        <v>121.22681537156019</v>
      </c>
      <c r="D322">
        <v>-6.26</v>
      </c>
      <c r="E322">
        <f t="shared" si="17"/>
        <v>121.16421537156019</v>
      </c>
      <c r="F322">
        <f t="shared" si="18"/>
        <v>8.2532618804439621E-3</v>
      </c>
      <c r="G322" s="4">
        <f t="shared" si="19"/>
        <v>2.1509050679326135E-2</v>
      </c>
    </row>
    <row r="323" spans="1:7" x14ac:dyDescent="0.3">
      <c r="A323" s="1">
        <v>42277</v>
      </c>
      <c r="B323">
        <v>8.3420000000000005E-3</v>
      </c>
      <c r="C323">
        <f t="shared" ref="C323:C386" si="20">1/B323</f>
        <v>119.87532965715656</v>
      </c>
      <c r="D323">
        <v>-4.41</v>
      </c>
      <c r="E323">
        <f t="shared" ref="E323:E386" si="21">C323+D323/10^2</f>
        <v>119.83122965715656</v>
      </c>
      <c r="F323">
        <f t="shared" ref="F323:F386" si="22">1/E323</f>
        <v>8.3450700027117523E-3</v>
      </c>
      <c r="G323" s="4">
        <f t="shared" si="19"/>
        <v>1.0751884629555087E-2</v>
      </c>
    </row>
    <row r="324" spans="1:7" x14ac:dyDescent="0.3">
      <c r="A324" s="1">
        <v>42307</v>
      </c>
      <c r="B324">
        <v>8.2909999999999998E-3</v>
      </c>
      <c r="C324">
        <f t="shared" si="20"/>
        <v>120.61271257990593</v>
      </c>
      <c r="D324">
        <v>-3.14</v>
      </c>
      <c r="E324">
        <f t="shared" si="21"/>
        <v>120.58131257990593</v>
      </c>
      <c r="F324">
        <f t="shared" si="22"/>
        <v>8.2931590194569114E-3</v>
      </c>
      <c r="G324" s="4">
        <f t="shared" ref="G324:G387" si="23">(B324-F323)/(F323)</f>
        <v>-6.4792749125150923E-3</v>
      </c>
    </row>
    <row r="325" spans="1:7" x14ac:dyDescent="0.3">
      <c r="A325" s="1">
        <v>42338</v>
      </c>
      <c r="B325">
        <v>8.123E-3</v>
      </c>
      <c r="C325">
        <f t="shared" si="20"/>
        <v>123.10722639418934</v>
      </c>
      <c r="D325">
        <v>-16.05</v>
      </c>
      <c r="E325">
        <f t="shared" si="21"/>
        <v>122.94672639418934</v>
      </c>
      <c r="F325">
        <f t="shared" si="22"/>
        <v>8.1336041172322057E-3</v>
      </c>
      <c r="G325" s="4">
        <f t="shared" si="23"/>
        <v>-2.0517997913424124E-2</v>
      </c>
    </row>
    <row r="326" spans="1:7" x14ac:dyDescent="0.3">
      <c r="A326" s="1">
        <v>42369</v>
      </c>
      <c r="B326">
        <v>8.3160000000000005E-3</v>
      </c>
      <c r="C326">
        <f t="shared" si="20"/>
        <v>120.25012025012025</v>
      </c>
      <c r="D326">
        <v>-7.65</v>
      </c>
      <c r="E326">
        <f t="shared" si="21"/>
        <v>120.17362025012025</v>
      </c>
      <c r="F326">
        <f t="shared" si="22"/>
        <v>8.3212937907560409E-3</v>
      </c>
      <c r="G326" s="4">
        <f t="shared" si="23"/>
        <v>2.2424976694078697E-2</v>
      </c>
    </row>
    <row r="327" spans="1:7" x14ac:dyDescent="0.3">
      <c r="A327" s="1">
        <v>42398</v>
      </c>
      <c r="B327">
        <v>8.2559999999999995E-3</v>
      </c>
      <c r="C327">
        <f t="shared" si="20"/>
        <v>121.12403100775195</v>
      </c>
      <c r="D327">
        <v>-6.24</v>
      </c>
      <c r="E327">
        <f t="shared" si="21"/>
        <v>121.06163100775196</v>
      </c>
      <c r="F327">
        <f t="shared" si="22"/>
        <v>8.2602554721567141E-3</v>
      </c>
      <c r="G327" s="4">
        <f t="shared" si="23"/>
        <v>-7.8465912150073418E-3</v>
      </c>
    </row>
    <row r="328" spans="1:7" x14ac:dyDescent="0.3">
      <c r="A328" s="1">
        <v>42429</v>
      </c>
      <c r="B328">
        <v>8.8739999999999999E-3</v>
      </c>
      <c r="C328">
        <f t="shared" si="20"/>
        <v>112.6887536623845</v>
      </c>
      <c r="D328">
        <v>-12.75</v>
      </c>
      <c r="E328">
        <f t="shared" si="21"/>
        <v>112.5612536623845</v>
      </c>
      <c r="F328">
        <f t="shared" si="22"/>
        <v>8.8840517270658125E-3</v>
      </c>
      <c r="G328" s="4">
        <f t="shared" si="23"/>
        <v>7.430091356279081E-2</v>
      </c>
    </row>
    <row r="329" spans="1:7" x14ac:dyDescent="0.3">
      <c r="A329" s="1">
        <v>42460</v>
      </c>
      <c r="B329">
        <v>8.8830000000000003E-3</v>
      </c>
      <c r="C329">
        <f t="shared" si="20"/>
        <v>112.57458065968704</v>
      </c>
      <c r="D329">
        <v>-10.35</v>
      </c>
      <c r="E329">
        <f t="shared" si="21"/>
        <v>112.47108065968705</v>
      </c>
      <c r="F329">
        <f t="shared" si="22"/>
        <v>8.8911744613335928E-3</v>
      </c>
      <c r="G329" s="4">
        <f t="shared" si="23"/>
        <v>-1.1838371703848768E-4</v>
      </c>
    </row>
    <row r="330" spans="1:7" x14ac:dyDescent="0.3">
      <c r="A330" s="1">
        <v>42489</v>
      </c>
      <c r="B330">
        <v>9.4039999999999992E-3</v>
      </c>
      <c r="C330">
        <f t="shared" si="20"/>
        <v>106.33772862611656</v>
      </c>
      <c r="D330">
        <v>-7.4</v>
      </c>
      <c r="E330">
        <f t="shared" si="21"/>
        <v>106.26372862611656</v>
      </c>
      <c r="F330">
        <f t="shared" si="22"/>
        <v>9.4105487632421443E-3</v>
      </c>
      <c r="G330" s="4">
        <f t="shared" si="23"/>
        <v>5.7678042523696849E-2</v>
      </c>
    </row>
    <row r="331" spans="1:7" x14ac:dyDescent="0.3">
      <c r="A331" s="1">
        <v>42521</v>
      </c>
      <c r="B331">
        <v>9.0310000000000008E-3</v>
      </c>
      <c r="C331">
        <f t="shared" si="20"/>
        <v>110.72970878086589</v>
      </c>
      <c r="D331">
        <v>-13.05</v>
      </c>
      <c r="E331">
        <f t="shared" si="21"/>
        <v>110.59920878086589</v>
      </c>
      <c r="F331">
        <f t="shared" si="22"/>
        <v>9.041656002994879E-3</v>
      </c>
      <c r="G331" s="4">
        <f t="shared" si="23"/>
        <v>-4.0332266777541301E-2</v>
      </c>
    </row>
    <row r="332" spans="1:7" x14ac:dyDescent="0.3">
      <c r="A332" s="1">
        <v>42551</v>
      </c>
      <c r="B332">
        <v>9.6919999999999992E-3</v>
      </c>
      <c r="C332">
        <f t="shared" si="20"/>
        <v>103.17787866281471</v>
      </c>
      <c r="D332">
        <v>-9.6</v>
      </c>
      <c r="E332">
        <f t="shared" si="21"/>
        <v>103.0818786628147</v>
      </c>
      <c r="F332">
        <f t="shared" si="22"/>
        <v>9.7010261451582914E-3</v>
      </c>
      <c r="G332" s="4">
        <f t="shared" si="23"/>
        <v>7.1927531504152112E-2</v>
      </c>
    </row>
    <row r="333" spans="1:7" x14ac:dyDescent="0.3">
      <c r="A333" s="1">
        <v>42580</v>
      </c>
      <c r="B333">
        <v>9.7979999999999994E-3</v>
      </c>
      <c r="C333">
        <f t="shared" si="20"/>
        <v>102.06164523372118</v>
      </c>
      <c r="D333">
        <v>-10.65</v>
      </c>
      <c r="E333">
        <f t="shared" si="21"/>
        <v>101.95514523372118</v>
      </c>
      <c r="F333">
        <f t="shared" si="22"/>
        <v>9.8082347654707153E-3</v>
      </c>
      <c r="G333" s="4">
        <f t="shared" si="23"/>
        <v>9.9962471382583525E-3</v>
      </c>
    </row>
    <row r="334" spans="1:7" x14ac:dyDescent="0.3">
      <c r="A334" s="1">
        <v>42613</v>
      </c>
      <c r="B334">
        <v>9.6690000000000005E-3</v>
      </c>
      <c r="C334">
        <f t="shared" si="20"/>
        <v>103.42331161443789</v>
      </c>
      <c r="D334">
        <v>-14.64</v>
      </c>
      <c r="E334">
        <f t="shared" si="21"/>
        <v>103.27691161443789</v>
      </c>
      <c r="F334">
        <f t="shared" si="22"/>
        <v>9.6827062735307633E-3</v>
      </c>
      <c r="G334" s="4">
        <f t="shared" si="23"/>
        <v>-1.4195700735149837E-2</v>
      </c>
    </row>
    <row r="335" spans="1:7" x14ac:dyDescent="0.3">
      <c r="A335" s="1">
        <v>42643</v>
      </c>
      <c r="B335">
        <v>9.868E-3</v>
      </c>
      <c r="C335">
        <f t="shared" si="20"/>
        <v>101.33765707336846</v>
      </c>
      <c r="D335">
        <v>-12.93</v>
      </c>
      <c r="E335">
        <f t="shared" si="21"/>
        <v>101.20835707336846</v>
      </c>
      <c r="F335">
        <f t="shared" si="22"/>
        <v>9.8806069865858513E-3</v>
      </c>
      <c r="G335" s="4">
        <f t="shared" si="23"/>
        <v>1.9136563811273197E-2</v>
      </c>
    </row>
    <row r="336" spans="1:7" x14ac:dyDescent="0.3">
      <c r="A336" s="1">
        <v>42674</v>
      </c>
      <c r="B336">
        <v>9.5399999999999999E-3</v>
      </c>
      <c r="C336">
        <f t="shared" si="20"/>
        <v>104.82180293501048</v>
      </c>
      <c r="D336">
        <v>-10.25</v>
      </c>
      <c r="E336">
        <f t="shared" si="21"/>
        <v>104.71930293501048</v>
      </c>
      <c r="F336">
        <f t="shared" si="22"/>
        <v>9.5493378199872758E-3</v>
      </c>
      <c r="G336" s="4">
        <f t="shared" si="23"/>
        <v>-3.4472273520064878E-2</v>
      </c>
    </row>
    <row r="337" spans="1:7" x14ac:dyDescent="0.3">
      <c r="A337" s="1">
        <v>42704</v>
      </c>
      <c r="B337">
        <v>8.7360000000000007E-3</v>
      </c>
      <c r="C337">
        <f t="shared" si="20"/>
        <v>114.46886446886445</v>
      </c>
      <c r="D337">
        <v>-23.55</v>
      </c>
      <c r="E337">
        <f t="shared" si="21"/>
        <v>114.23336446886445</v>
      </c>
      <c r="F337">
        <f t="shared" si="22"/>
        <v>8.7540098696170417E-3</v>
      </c>
      <c r="G337" s="4">
        <f t="shared" si="23"/>
        <v>-8.5172169559748462E-2</v>
      </c>
    </row>
    <row r="338" spans="1:7" x14ac:dyDescent="0.3">
      <c r="A338" s="1">
        <v>42734</v>
      </c>
      <c r="B338">
        <v>8.5470000000000008E-3</v>
      </c>
      <c r="C338">
        <f t="shared" si="20"/>
        <v>117.00011700011699</v>
      </c>
      <c r="D338">
        <v>-20.350000000000001</v>
      </c>
      <c r="E338">
        <f t="shared" si="21"/>
        <v>116.79661700011698</v>
      </c>
      <c r="F338">
        <f t="shared" si="22"/>
        <v>8.561891822594472E-3</v>
      </c>
      <c r="G338" s="4">
        <f t="shared" si="23"/>
        <v>-2.3647433884615539E-2</v>
      </c>
    </row>
    <row r="339" spans="1:7" x14ac:dyDescent="0.3">
      <c r="A339" s="1">
        <v>42766</v>
      </c>
      <c r="B339">
        <v>8.8649999999999996E-3</v>
      </c>
      <c r="C339">
        <f t="shared" si="20"/>
        <v>112.80315848843767</v>
      </c>
      <c r="D339">
        <v>-8.5500000000000007</v>
      </c>
      <c r="E339">
        <f t="shared" si="21"/>
        <v>112.71765848843768</v>
      </c>
      <c r="F339">
        <f t="shared" si="22"/>
        <v>8.8717243900393629E-3</v>
      </c>
      <c r="G339" s="4">
        <f t="shared" si="23"/>
        <v>3.5402009706036922E-2</v>
      </c>
    </row>
    <row r="340" spans="1:7" x14ac:dyDescent="0.3">
      <c r="A340" s="1">
        <v>42794</v>
      </c>
      <c r="B340">
        <v>8.8679999999999991E-3</v>
      </c>
      <c r="C340">
        <f t="shared" si="20"/>
        <v>112.76499774470005</v>
      </c>
      <c r="D340">
        <v>-15.72</v>
      </c>
      <c r="E340">
        <f t="shared" si="21"/>
        <v>112.60779774470005</v>
      </c>
      <c r="F340">
        <f t="shared" si="22"/>
        <v>8.8803796897543499E-3</v>
      </c>
      <c r="G340" s="4">
        <f t="shared" si="23"/>
        <v>-4.1980452453474129E-4</v>
      </c>
    </row>
    <row r="341" spans="1:7" x14ac:dyDescent="0.3">
      <c r="A341" s="1">
        <v>42825</v>
      </c>
      <c r="B341">
        <v>8.9770000000000006E-3</v>
      </c>
      <c r="C341">
        <f t="shared" si="20"/>
        <v>111.39578923916675</v>
      </c>
      <c r="D341">
        <v>-13.51</v>
      </c>
      <c r="E341">
        <f t="shared" si="21"/>
        <v>111.26068923916675</v>
      </c>
      <c r="F341">
        <f t="shared" si="22"/>
        <v>8.9879004600662959E-3</v>
      </c>
      <c r="G341" s="4">
        <f t="shared" si="23"/>
        <v>1.0880200354172408E-2</v>
      </c>
    </row>
    <row r="342" spans="1:7" x14ac:dyDescent="0.3">
      <c r="A342" s="1">
        <v>42853</v>
      </c>
      <c r="B342">
        <v>8.966E-3</v>
      </c>
      <c r="C342">
        <f t="shared" si="20"/>
        <v>111.5324559446799</v>
      </c>
      <c r="D342">
        <v>-12.7</v>
      </c>
      <c r="E342">
        <f t="shared" si="21"/>
        <v>111.4054559446799</v>
      </c>
      <c r="F342">
        <f t="shared" si="22"/>
        <v>8.9762210613505804E-3</v>
      </c>
      <c r="G342" s="4">
        <f t="shared" si="23"/>
        <v>-2.4366602816309258E-3</v>
      </c>
    </row>
    <row r="343" spans="1:7" x14ac:dyDescent="0.3">
      <c r="A343" s="1">
        <v>42886</v>
      </c>
      <c r="B343">
        <v>9.0279999999999996E-3</v>
      </c>
      <c r="C343">
        <f t="shared" si="20"/>
        <v>110.76650420912716</v>
      </c>
      <c r="D343">
        <v>-15.55</v>
      </c>
      <c r="E343">
        <f t="shared" si="21"/>
        <v>110.61100420912716</v>
      </c>
      <c r="F343">
        <f t="shared" si="22"/>
        <v>9.0406918113621476E-3</v>
      </c>
      <c r="G343" s="4">
        <f t="shared" si="23"/>
        <v>5.7684562685701539E-3</v>
      </c>
    </row>
    <row r="344" spans="1:7" x14ac:dyDescent="0.3">
      <c r="A344" s="1">
        <v>42916</v>
      </c>
      <c r="B344">
        <v>8.9009999999999992E-3</v>
      </c>
      <c r="C344">
        <f t="shared" si="20"/>
        <v>112.34692731153804</v>
      </c>
      <c r="D344">
        <v>-15.44</v>
      </c>
      <c r="E344">
        <f t="shared" si="21"/>
        <v>112.19252731153804</v>
      </c>
      <c r="F344">
        <f t="shared" si="22"/>
        <v>8.9132496072860858E-3</v>
      </c>
      <c r="G344" s="4">
        <f t="shared" si="23"/>
        <v>-1.5451451534559197E-2</v>
      </c>
    </row>
    <row r="345" spans="1:7" x14ac:dyDescent="0.3">
      <c r="A345" s="1">
        <v>42947</v>
      </c>
      <c r="B345">
        <v>9.0699999999999999E-3</v>
      </c>
      <c r="C345">
        <f t="shared" si="20"/>
        <v>110.25358324145535</v>
      </c>
      <c r="D345">
        <v>-15.77</v>
      </c>
      <c r="E345">
        <f t="shared" si="21"/>
        <v>110.09588324145534</v>
      </c>
      <c r="F345">
        <f t="shared" si="22"/>
        <v>9.082991757347213E-3</v>
      </c>
      <c r="G345" s="4">
        <f t="shared" si="23"/>
        <v>1.7586222715650125E-2</v>
      </c>
    </row>
    <row r="346" spans="1:7" x14ac:dyDescent="0.3">
      <c r="A346" s="1">
        <v>42978</v>
      </c>
      <c r="B346">
        <v>9.0930000000000004E-3</v>
      </c>
      <c r="C346">
        <f t="shared" si="20"/>
        <v>109.97470581766193</v>
      </c>
      <c r="D346">
        <v>-15.63</v>
      </c>
      <c r="E346">
        <f t="shared" si="21"/>
        <v>109.81840581766193</v>
      </c>
      <c r="F346">
        <f t="shared" si="22"/>
        <v>9.1059416912348916E-3</v>
      </c>
      <c r="G346" s="4">
        <f t="shared" si="23"/>
        <v>1.101866314553428E-3</v>
      </c>
    </row>
    <row r="347" spans="1:7" x14ac:dyDescent="0.3">
      <c r="A347" s="1">
        <v>43007</v>
      </c>
      <c r="B347">
        <v>8.8870000000000008E-3</v>
      </c>
      <c r="C347">
        <f t="shared" si="20"/>
        <v>112.52391133115786</v>
      </c>
      <c r="D347">
        <v>-17.100000000000001</v>
      </c>
      <c r="E347">
        <f t="shared" si="21"/>
        <v>112.35291133115786</v>
      </c>
      <c r="F347">
        <f t="shared" si="22"/>
        <v>8.9005259245354216E-3</v>
      </c>
      <c r="G347" s="4">
        <f t="shared" si="23"/>
        <v>-2.4043827498438468E-2</v>
      </c>
    </row>
    <row r="348" spans="1:7" x14ac:dyDescent="0.3">
      <c r="A348" s="1">
        <v>43039</v>
      </c>
      <c r="B348">
        <v>8.8000000000000005E-3</v>
      </c>
      <c r="C348">
        <f t="shared" si="20"/>
        <v>113.63636363636363</v>
      </c>
      <c r="D348">
        <v>-14.86</v>
      </c>
      <c r="E348">
        <f t="shared" si="21"/>
        <v>113.48776363636362</v>
      </c>
      <c r="F348">
        <f t="shared" si="22"/>
        <v>8.8115226519414926E-3</v>
      </c>
      <c r="G348" s="4">
        <f t="shared" si="23"/>
        <v>-1.1294380285810828E-2</v>
      </c>
    </row>
    <row r="349" spans="1:7" x14ac:dyDescent="0.3">
      <c r="A349" s="1">
        <v>43069</v>
      </c>
      <c r="B349">
        <v>8.8859999999999998E-3</v>
      </c>
      <c r="C349">
        <f t="shared" si="20"/>
        <v>112.53657438667567</v>
      </c>
      <c r="D349">
        <v>-21.29</v>
      </c>
      <c r="E349">
        <f t="shared" si="21"/>
        <v>112.32367438667566</v>
      </c>
      <c r="F349">
        <f t="shared" si="22"/>
        <v>8.9028426594867927E-3</v>
      </c>
      <c r="G349" s="4">
        <f t="shared" si="23"/>
        <v>8.452267672727054E-3</v>
      </c>
    </row>
    <row r="350" spans="1:7" x14ac:dyDescent="0.3">
      <c r="A350" s="1">
        <v>43098</v>
      </c>
      <c r="B350">
        <v>8.8739999999999999E-3</v>
      </c>
      <c r="C350">
        <f t="shared" si="20"/>
        <v>112.6887536623845</v>
      </c>
      <c r="D350">
        <v>-16.98</v>
      </c>
      <c r="E350">
        <f t="shared" si="21"/>
        <v>112.5189536623845</v>
      </c>
      <c r="F350">
        <f t="shared" si="22"/>
        <v>8.8873915678288392E-3</v>
      </c>
      <c r="G350" s="4">
        <f t="shared" si="23"/>
        <v>-3.2397134926402658E-3</v>
      </c>
    </row>
    <row r="351" spans="1:7" x14ac:dyDescent="0.3">
      <c r="A351" s="1">
        <v>43131</v>
      </c>
      <c r="B351">
        <v>9.1590000000000005E-3</v>
      </c>
      <c r="C351">
        <f t="shared" si="20"/>
        <v>109.18222513374822</v>
      </c>
      <c r="D351">
        <v>-16.260000000000002</v>
      </c>
      <c r="E351">
        <f t="shared" si="21"/>
        <v>109.01962513374822</v>
      </c>
      <c r="F351">
        <f t="shared" si="22"/>
        <v>9.1726604157111435E-3</v>
      </c>
      <c r="G351" s="4">
        <f t="shared" si="23"/>
        <v>3.0561096593779803E-2</v>
      </c>
    </row>
    <row r="352" spans="1:7" x14ac:dyDescent="0.3">
      <c r="A352" s="1">
        <v>43159</v>
      </c>
      <c r="B352">
        <v>9.3740000000000004E-3</v>
      </c>
      <c r="C352">
        <f t="shared" si="20"/>
        <v>106.67804565820354</v>
      </c>
      <c r="D352">
        <v>-24.45</v>
      </c>
      <c r="E352">
        <f t="shared" si="21"/>
        <v>106.43354565820354</v>
      </c>
      <c r="F352">
        <f t="shared" si="22"/>
        <v>9.395534028447762E-3</v>
      </c>
      <c r="G352" s="4">
        <f t="shared" si="23"/>
        <v>2.1949966003755882E-2</v>
      </c>
    </row>
    <row r="353" spans="1:7" x14ac:dyDescent="0.3">
      <c r="A353" s="1">
        <v>43189</v>
      </c>
      <c r="B353">
        <v>9.4090000000000007E-3</v>
      </c>
      <c r="C353">
        <f t="shared" si="20"/>
        <v>106.28122010840684</v>
      </c>
      <c r="D353">
        <v>-22.93</v>
      </c>
      <c r="E353">
        <f t="shared" si="21"/>
        <v>106.05192010840685</v>
      </c>
      <c r="F353">
        <f t="shared" si="22"/>
        <v>9.4293436552378741E-3</v>
      </c>
      <c r="G353" s="4">
        <f t="shared" si="23"/>
        <v>1.4332310980372639E-3</v>
      </c>
    </row>
    <row r="354" spans="1:7" x14ac:dyDescent="0.3">
      <c r="A354" s="1">
        <v>43220</v>
      </c>
      <c r="B354">
        <v>9.1459999999999996E-3</v>
      </c>
      <c r="C354">
        <f t="shared" si="20"/>
        <v>109.33741526350317</v>
      </c>
      <c r="D354">
        <v>-22.65</v>
      </c>
      <c r="E354">
        <f t="shared" si="21"/>
        <v>109.11091526350317</v>
      </c>
      <c r="F354">
        <f t="shared" si="22"/>
        <v>9.1649859006772798E-3</v>
      </c>
      <c r="G354" s="4">
        <f t="shared" si="23"/>
        <v>-3.0049138688511039E-2</v>
      </c>
    </row>
    <row r="355" spans="1:7" x14ac:dyDescent="0.3">
      <c r="A355" s="1">
        <v>43251</v>
      </c>
      <c r="B355">
        <v>9.1900000000000003E-3</v>
      </c>
      <c r="C355">
        <f t="shared" si="20"/>
        <v>108.8139281828074</v>
      </c>
      <c r="D355">
        <v>-23.72</v>
      </c>
      <c r="E355">
        <f t="shared" si="21"/>
        <v>108.5767281828074</v>
      </c>
      <c r="F355">
        <f t="shared" si="22"/>
        <v>9.2100767515883308E-3</v>
      </c>
      <c r="G355" s="4">
        <f t="shared" si="23"/>
        <v>2.7293112715942058E-3</v>
      </c>
    </row>
    <row r="356" spans="1:7" x14ac:dyDescent="0.3">
      <c r="A356" s="1">
        <v>43280</v>
      </c>
      <c r="B356">
        <v>9.0340000000000004E-3</v>
      </c>
      <c r="C356">
        <f t="shared" si="20"/>
        <v>110.69293779056896</v>
      </c>
      <c r="D356">
        <v>-22.65</v>
      </c>
      <c r="E356">
        <f t="shared" si="21"/>
        <v>110.46643779056896</v>
      </c>
      <c r="F356">
        <f t="shared" si="22"/>
        <v>9.0525232821925452E-3</v>
      </c>
      <c r="G356" s="4">
        <f t="shared" si="23"/>
        <v>-1.9117837596517858E-2</v>
      </c>
    </row>
    <row r="357" spans="1:7" x14ac:dyDescent="0.3">
      <c r="A357" s="1">
        <v>43312</v>
      </c>
      <c r="B357">
        <v>8.9390000000000008E-3</v>
      </c>
      <c r="C357">
        <f t="shared" si="20"/>
        <v>111.86933661483387</v>
      </c>
      <c r="D357">
        <v>-23.77</v>
      </c>
      <c r="E357">
        <f t="shared" si="21"/>
        <v>111.63163661483387</v>
      </c>
      <c r="F357">
        <f t="shared" si="22"/>
        <v>8.958034033401582E-3</v>
      </c>
      <c r="G357" s="4">
        <f t="shared" si="23"/>
        <v>-1.2540512590103916E-2</v>
      </c>
    </row>
    <row r="358" spans="1:7" x14ac:dyDescent="0.3">
      <c r="A358" s="1">
        <v>43343</v>
      </c>
      <c r="B358">
        <v>9.0050000000000009E-3</v>
      </c>
      <c r="C358">
        <f t="shared" si="20"/>
        <v>111.04941699056079</v>
      </c>
      <c r="D358">
        <v>-23.37</v>
      </c>
      <c r="E358">
        <f t="shared" si="21"/>
        <v>110.81571699056079</v>
      </c>
      <c r="F358">
        <f t="shared" si="22"/>
        <v>9.0239907041812437E-3</v>
      </c>
      <c r="G358" s="4">
        <f t="shared" si="23"/>
        <v>5.2428877165791206E-3</v>
      </c>
    </row>
    <row r="359" spans="1:7" x14ac:dyDescent="0.3">
      <c r="A359" s="1">
        <v>43371</v>
      </c>
      <c r="B359">
        <v>8.796E-3</v>
      </c>
      <c r="C359">
        <f t="shared" si="20"/>
        <v>113.68804001819008</v>
      </c>
      <c r="D359">
        <v>-25.35</v>
      </c>
      <c r="E359">
        <f t="shared" si="21"/>
        <v>113.43454001819008</v>
      </c>
      <c r="F359">
        <f t="shared" si="22"/>
        <v>8.8156570286232264E-3</v>
      </c>
      <c r="G359" s="4">
        <f t="shared" si="23"/>
        <v>-2.526495335102736E-2</v>
      </c>
    </row>
    <row r="360" spans="1:7" x14ac:dyDescent="0.3">
      <c r="A360" s="1">
        <v>43404</v>
      </c>
      <c r="B360">
        <v>8.8529999999999998E-3</v>
      </c>
      <c r="C360">
        <f t="shared" si="20"/>
        <v>112.95606009262397</v>
      </c>
      <c r="D360">
        <v>-24.61</v>
      </c>
      <c r="E360">
        <f t="shared" si="21"/>
        <v>112.70996009262397</v>
      </c>
      <c r="F360">
        <f t="shared" si="22"/>
        <v>8.8723303528650838E-3</v>
      </c>
      <c r="G360" s="4">
        <f t="shared" si="23"/>
        <v>4.2359827810367285E-3</v>
      </c>
    </row>
    <row r="361" spans="1:7" x14ac:dyDescent="0.3">
      <c r="A361" s="1">
        <v>43434</v>
      </c>
      <c r="B361">
        <v>8.8120000000000004E-3</v>
      </c>
      <c r="C361">
        <f t="shared" si="20"/>
        <v>113.48161597821152</v>
      </c>
      <c r="D361">
        <v>-37.4</v>
      </c>
      <c r="E361">
        <f t="shared" si="21"/>
        <v>113.10761597821153</v>
      </c>
      <c r="F361">
        <f t="shared" si="22"/>
        <v>8.8411376311974856E-3</v>
      </c>
      <c r="G361" s="4">
        <f t="shared" si="23"/>
        <v>-6.7998316637974772E-3</v>
      </c>
    </row>
    <row r="362" spans="1:7" x14ac:dyDescent="0.3">
      <c r="A362" s="1">
        <v>43465</v>
      </c>
      <c r="B362">
        <v>9.1229999999999992E-3</v>
      </c>
      <c r="C362">
        <f t="shared" si="20"/>
        <v>109.6130658774526</v>
      </c>
      <c r="D362">
        <v>-26.95</v>
      </c>
      <c r="E362">
        <f t="shared" si="21"/>
        <v>109.3435658774526</v>
      </c>
      <c r="F362">
        <f t="shared" si="22"/>
        <v>9.1454855342906552E-3</v>
      </c>
      <c r="G362" s="4">
        <f t="shared" si="23"/>
        <v>3.1880780569223742E-2</v>
      </c>
    </row>
    <row r="363" spans="1:7" x14ac:dyDescent="0.3">
      <c r="A363" s="1">
        <v>43496</v>
      </c>
      <c r="B363">
        <v>9.1859999999999997E-3</v>
      </c>
      <c r="C363">
        <f t="shared" si="20"/>
        <v>108.86131069018072</v>
      </c>
      <c r="D363">
        <v>-23.6</v>
      </c>
      <c r="E363">
        <f t="shared" si="21"/>
        <v>108.62531069018071</v>
      </c>
      <c r="F363">
        <f t="shared" si="22"/>
        <v>9.2059575585673875E-3</v>
      </c>
      <c r="G363" s="4">
        <f t="shared" si="23"/>
        <v>4.4299961502795079E-3</v>
      </c>
    </row>
    <row r="364" spans="1:7" x14ac:dyDescent="0.3">
      <c r="A364" s="1">
        <v>43524</v>
      </c>
      <c r="B364">
        <v>8.9779999999999999E-3</v>
      </c>
      <c r="C364">
        <f t="shared" si="20"/>
        <v>111.38338159946537</v>
      </c>
      <c r="D364">
        <v>-27.6</v>
      </c>
      <c r="E364">
        <f t="shared" si="21"/>
        <v>111.10738159946537</v>
      </c>
      <c r="F364">
        <f t="shared" si="22"/>
        <v>9.0003021005834946E-3</v>
      </c>
      <c r="G364" s="4">
        <f t="shared" si="23"/>
        <v>-2.4761960623557549E-2</v>
      </c>
    </row>
    <row r="365" spans="1:7" x14ac:dyDescent="0.3">
      <c r="A365" s="1">
        <v>43553</v>
      </c>
      <c r="B365">
        <v>9.0209999999999995E-3</v>
      </c>
      <c r="C365">
        <f t="shared" si="20"/>
        <v>110.85245538188671</v>
      </c>
      <c r="D365">
        <v>-30.03</v>
      </c>
      <c r="E365">
        <f t="shared" si="21"/>
        <v>110.55215538188671</v>
      </c>
      <c r="F365">
        <f t="shared" si="22"/>
        <v>9.0455043282118026E-3</v>
      </c>
      <c r="G365" s="4">
        <f t="shared" si="23"/>
        <v>2.2996894087769604E-3</v>
      </c>
    </row>
    <row r="366" spans="1:7" x14ac:dyDescent="0.3">
      <c r="A366" s="1">
        <v>43585</v>
      </c>
      <c r="B366">
        <v>8.9739999999999993E-3</v>
      </c>
      <c r="C366">
        <f t="shared" si="20"/>
        <v>111.43302874972143</v>
      </c>
      <c r="D366">
        <v>-29.18</v>
      </c>
      <c r="E366">
        <f t="shared" si="21"/>
        <v>111.14122874972144</v>
      </c>
      <c r="F366">
        <f t="shared" si="22"/>
        <v>8.9975611323489749E-3</v>
      </c>
      <c r="G366" s="4">
        <f t="shared" si="23"/>
        <v>-7.9049576029486968E-3</v>
      </c>
    </row>
    <row r="367" spans="1:7" x14ac:dyDescent="0.3">
      <c r="A367" s="1">
        <v>43616</v>
      </c>
      <c r="B367">
        <v>9.2350000000000002E-3</v>
      </c>
      <c r="C367">
        <f t="shared" si="20"/>
        <v>108.28370330265295</v>
      </c>
      <c r="D367">
        <v>-27.3</v>
      </c>
      <c r="E367">
        <f t="shared" si="21"/>
        <v>108.01070330265296</v>
      </c>
      <c r="F367">
        <f t="shared" si="22"/>
        <v>9.2583417145052326E-3</v>
      </c>
      <c r="G367" s="4">
        <f t="shared" si="23"/>
        <v>2.6389247503677427E-2</v>
      </c>
    </row>
    <row r="368" spans="1:7" x14ac:dyDescent="0.3">
      <c r="A368" s="1">
        <v>43644</v>
      </c>
      <c r="B368">
        <v>9.2689999999999995E-3</v>
      </c>
      <c r="C368">
        <f t="shared" si="20"/>
        <v>107.88650339842486</v>
      </c>
      <c r="D368">
        <v>-25.83</v>
      </c>
      <c r="E368">
        <f t="shared" si="21"/>
        <v>107.62820339842486</v>
      </c>
      <c r="F368">
        <f t="shared" si="22"/>
        <v>9.2912449378917631E-3</v>
      </c>
      <c r="G368" s="4">
        <f t="shared" si="23"/>
        <v>1.1512089122902385E-3</v>
      </c>
    </row>
    <row r="369" spans="1:7" x14ac:dyDescent="0.3">
      <c r="A369" s="1">
        <v>43677</v>
      </c>
      <c r="B369">
        <v>9.1929999999999998E-3</v>
      </c>
      <c r="C369">
        <f t="shared" si="20"/>
        <v>108.77841836179702</v>
      </c>
      <c r="D369">
        <v>-25</v>
      </c>
      <c r="E369">
        <f t="shared" si="21"/>
        <v>108.52841836179702</v>
      </c>
      <c r="F369">
        <f t="shared" si="22"/>
        <v>9.2141764810976818E-3</v>
      </c>
      <c r="G369" s="4">
        <f t="shared" si="23"/>
        <v>-1.057392615828032E-2</v>
      </c>
    </row>
    <row r="370" spans="1:7" x14ac:dyDescent="0.3">
      <c r="A370" s="1">
        <v>43707</v>
      </c>
      <c r="B370">
        <v>9.4109999999999992E-3</v>
      </c>
      <c r="C370">
        <f t="shared" si="20"/>
        <v>106.25863351397302</v>
      </c>
      <c r="D370">
        <v>-23.85</v>
      </c>
      <c r="E370">
        <f t="shared" si="21"/>
        <v>106.02013351397302</v>
      </c>
      <c r="F370">
        <f t="shared" si="22"/>
        <v>9.4321707288569298E-3</v>
      </c>
      <c r="G370" s="4">
        <f t="shared" si="23"/>
        <v>2.1360945202871771E-2</v>
      </c>
    </row>
    <row r="371" spans="1:7" x14ac:dyDescent="0.3">
      <c r="A371" s="1">
        <v>43738</v>
      </c>
      <c r="B371">
        <v>9.2530000000000008E-3</v>
      </c>
      <c r="C371">
        <f t="shared" si="20"/>
        <v>108.07305738679347</v>
      </c>
      <c r="D371">
        <v>-23.93</v>
      </c>
      <c r="E371">
        <f t="shared" si="21"/>
        <v>107.83375738679347</v>
      </c>
      <c r="F371">
        <f t="shared" si="22"/>
        <v>9.2735338564996651E-3</v>
      </c>
      <c r="G371" s="4">
        <f t="shared" si="23"/>
        <v>-1.8995704595207472E-2</v>
      </c>
    </row>
    <row r="372" spans="1:7" x14ac:dyDescent="0.3">
      <c r="A372" s="1">
        <v>43769</v>
      </c>
      <c r="B372">
        <v>9.2569999999999996E-3</v>
      </c>
      <c r="C372">
        <f t="shared" si="20"/>
        <v>108.02635843145728</v>
      </c>
      <c r="D372">
        <v>-18.48</v>
      </c>
      <c r="E372">
        <f t="shared" si="21"/>
        <v>107.84155843145729</v>
      </c>
      <c r="F372">
        <f t="shared" si="22"/>
        <v>9.2728630274347083E-3</v>
      </c>
      <c r="G372" s="4">
        <f t="shared" si="23"/>
        <v>-1.7829078704529836E-3</v>
      </c>
    </row>
    <row r="373" spans="1:7" x14ac:dyDescent="0.3">
      <c r="A373" s="1">
        <v>43798</v>
      </c>
      <c r="B373">
        <v>9.1330000000000005E-3</v>
      </c>
      <c r="C373">
        <f t="shared" si="20"/>
        <v>109.49304719150334</v>
      </c>
      <c r="D373">
        <v>-31.15</v>
      </c>
      <c r="E373">
        <f t="shared" si="21"/>
        <v>109.18154719150334</v>
      </c>
      <c r="F373">
        <f t="shared" si="22"/>
        <v>9.1590568710847257E-3</v>
      </c>
      <c r="G373" s="4">
        <f t="shared" si="23"/>
        <v>-1.5083046845500551E-2</v>
      </c>
    </row>
    <row r="374" spans="1:7" x14ac:dyDescent="0.3">
      <c r="A374" s="1">
        <v>43830</v>
      </c>
      <c r="B374">
        <v>9.2049999999999996E-3</v>
      </c>
      <c r="C374">
        <f t="shared" si="20"/>
        <v>108.63661053775122</v>
      </c>
      <c r="D374">
        <v>-18.420000000000002</v>
      </c>
      <c r="E374">
        <f t="shared" si="21"/>
        <v>108.45241053775122</v>
      </c>
      <c r="F374">
        <f t="shared" si="22"/>
        <v>9.2206341476560334E-3</v>
      </c>
      <c r="G374" s="4">
        <f t="shared" si="23"/>
        <v>5.0161418977883072E-3</v>
      </c>
    </row>
    <row r="375" spans="1:7" x14ac:dyDescent="0.3">
      <c r="A375" s="1">
        <v>43861</v>
      </c>
      <c r="B375">
        <v>9.2280000000000001E-3</v>
      </c>
      <c r="C375">
        <f t="shared" si="20"/>
        <v>108.3658430862592</v>
      </c>
      <c r="D375">
        <v>-16.559999999999999</v>
      </c>
      <c r="E375">
        <f t="shared" si="21"/>
        <v>108.20024308625921</v>
      </c>
      <c r="F375">
        <f t="shared" si="22"/>
        <v>9.2421234137411486E-3</v>
      </c>
      <c r="G375" s="4">
        <f t="shared" si="23"/>
        <v>7.9884444236833765E-4</v>
      </c>
    </row>
    <row r="376" spans="1:7" x14ac:dyDescent="0.3">
      <c r="A376" s="1">
        <v>43889</v>
      </c>
      <c r="B376">
        <v>9.2499999999999995E-3</v>
      </c>
      <c r="C376">
        <f t="shared" si="20"/>
        <v>108.10810810810811</v>
      </c>
      <c r="D376">
        <v>-18.329999999999998</v>
      </c>
      <c r="E376">
        <f t="shared" si="21"/>
        <v>107.92480810810811</v>
      </c>
      <c r="F376">
        <f t="shared" si="22"/>
        <v>9.2657102433603734E-3</v>
      </c>
      <c r="G376" s="4">
        <f t="shared" si="23"/>
        <v>8.5224854789755675E-4</v>
      </c>
    </row>
    <row r="377" spans="1:7" x14ac:dyDescent="0.3">
      <c r="A377" s="1">
        <v>43921</v>
      </c>
      <c r="B377">
        <v>9.299E-3</v>
      </c>
      <c r="C377">
        <f t="shared" si="20"/>
        <v>107.53844499408538</v>
      </c>
      <c r="D377">
        <v>-17.29</v>
      </c>
      <c r="E377">
        <f t="shared" si="21"/>
        <v>107.36554499408538</v>
      </c>
      <c r="F377">
        <f t="shared" si="22"/>
        <v>9.3139749819654769E-3</v>
      </c>
      <c r="G377" s="4">
        <f t="shared" si="23"/>
        <v>3.5927905972973117E-3</v>
      </c>
    </row>
    <row r="378" spans="1:7" x14ac:dyDescent="0.3">
      <c r="A378" s="1">
        <v>43951</v>
      </c>
      <c r="B378">
        <v>9.3290000000000005E-3</v>
      </c>
      <c r="C378">
        <f t="shared" si="20"/>
        <v>107.19262514738985</v>
      </c>
      <c r="D378">
        <v>-4.41</v>
      </c>
      <c r="E378">
        <f t="shared" si="21"/>
        <v>107.14852514738985</v>
      </c>
      <c r="F378">
        <f t="shared" si="22"/>
        <v>9.3328396132791765E-3</v>
      </c>
      <c r="G378" s="4">
        <f t="shared" si="23"/>
        <v>1.6131692498225917E-3</v>
      </c>
    </row>
    <row r="379" spans="1:7" x14ac:dyDescent="0.3">
      <c r="A379" s="1">
        <v>43980</v>
      </c>
      <c r="B379">
        <v>9.2750000000000003E-3</v>
      </c>
      <c r="C379">
        <f t="shared" si="20"/>
        <v>107.81671159029649</v>
      </c>
      <c r="D379">
        <v>-4.75</v>
      </c>
      <c r="E379">
        <f t="shared" si="21"/>
        <v>107.76921159029649</v>
      </c>
      <c r="F379">
        <f t="shared" si="22"/>
        <v>9.2790880182150245E-3</v>
      </c>
      <c r="G379" s="4">
        <f t="shared" si="23"/>
        <v>-6.1974292579591158E-3</v>
      </c>
    </row>
    <row r="380" spans="1:7" x14ac:dyDescent="0.3">
      <c r="A380" s="1">
        <v>44012</v>
      </c>
      <c r="B380">
        <v>9.2650000000000007E-3</v>
      </c>
      <c r="C380">
        <f t="shared" si="20"/>
        <v>107.93308148947652</v>
      </c>
      <c r="D380">
        <v>-4.24</v>
      </c>
      <c r="E380">
        <f t="shared" si="21"/>
        <v>107.89068148947652</v>
      </c>
      <c r="F380">
        <f t="shared" si="22"/>
        <v>9.2686410558778277E-3</v>
      </c>
      <c r="G380" s="4">
        <f t="shared" si="23"/>
        <v>-1.5182546159028599E-3</v>
      </c>
    </row>
    <row r="381" spans="1:7" x14ac:dyDescent="0.3">
      <c r="A381" s="1">
        <v>44043</v>
      </c>
      <c r="B381">
        <v>9.4470000000000005E-3</v>
      </c>
      <c r="C381">
        <f t="shared" si="20"/>
        <v>105.85371017254154</v>
      </c>
      <c r="D381">
        <v>-3.57</v>
      </c>
      <c r="E381">
        <f t="shared" si="21"/>
        <v>105.81801017254153</v>
      </c>
      <c r="F381">
        <f t="shared" si="22"/>
        <v>9.4501871502729092E-3</v>
      </c>
      <c r="G381" s="4">
        <f t="shared" si="23"/>
        <v>1.9243268031084684E-2</v>
      </c>
    </row>
    <row r="382" spans="1:7" x14ac:dyDescent="0.3">
      <c r="A382" s="1">
        <v>44074</v>
      </c>
      <c r="B382">
        <v>9.4420000000000007E-3</v>
      </c>
      <c r="C382">
        <f t="shared" si="20"/>
        <v>105.90976488032196</v>
      </c>
      <c r="D382">
        <v>-4.3899999999999997</v>
      </c>
      <c r="E382">
        <f t="shared" si="21"/>
        <v>105.86586488032196</v>
      </c>
      <c r="F382">
        <f t="shared" si="22"/>
        <v>9.4459153678144378E-3</v>
      </c>
      <c r="G382" s="4">
        <f t="shared" si="23"/>
        <v>-8.6634795086275545E-4</v>
      </c>
    </row>
    <row r="383" spans="1:7" x14ac:dyDescent="0.3">
      <c r="A383" s="1">
        <v>44104</v>
      </c>
      <c r="B383">
        <v>9.4830000000000001E-3</v>
      </c>
      <c r="C383">
        <f t="shared" si="20"/>
        <v>105.45186122535063</v>
      </c>
      <c r="D383">
        <v>-3.58</v>
      </c>
      <c r="E383">
        <f t="shared" si="21"/>
        <v>105.41606122535063</v>
      </c>
      <c r="F383">
        <f t="shared" si="22"/>
        <v>9.4862204902749509E-3</v>
      </c>
      <c r="G383" s="4">
        <f t="shared" si="23"/>
        <v>3.9259966600931782E-3</v>
      </c>
    </row>
    <row r="384" spans="1:7" x14ac:dyDescent="0.3">
      <c r="A384" s="1">
        <v>44134</v>
      </c>
      <c r="B384">
        <v>9.5549999999999993E-3</v>
      </c>
      <c r="C384">
        <f t="shared" si="20"/>
        <v>104.65724751439038</v>
      </c>
      <c r="D384">
        <v>-3.62</v>
      </c>
      <c r="E384">
        <f t="shared" si="21"/>
        <v>104.62104751439038</v>
      </c>
      <c r="F384">
        <f t="shared" si="22"/>
        <v>9.5583061320663257E-3</v>
      </c>
      <c r="G384" s="4">
        <f t="shared" si="23"/>
        <v>7.2504650082252957E-3</v>
      </c>
    </row>
    <row r="385" spans="1:7" x14ac:dyDescent="0.3">
      <c r="A385" s="1">
        <v>44165</v>
      </c>
      <c r="B385">
        <v>9.5860000000000008E-3</v>
      </c>
      <c r="C385">
        <f t="shared" si="20"/>
        <v>104.31879824744418</v>
      </c>
      <c r="D385">
        <v>-8.5399999999999991</v>
      </c>
      <c r="E385">
        <f t="shared" si="21"/>
        <v>104.23339824744417</v>
      </c>
      <c r="F385">
        <f t="shared" si="22"/>
        <v>9.5938539548145289E-3</v>
      </c>
      <c r="G385" s="4">
        <f t="shared" si="23"/>
        <v>2.8973614729462739E-3</v>
      </c>
    </row>
    <row r="386" spans="1:7" x14ac:dyDescent="0.3">
      <c r="A386" s="1">
        <v>44196</v>
      </c>
      <c r="B386">
        <v>9.6790000000000001E-3</v>
      </c>
      <c r="C386">
        <f t="shared" si="20"/>
        <v>103.31645831180907</v>
      </c>
      <c r="D386">
        <v>-3.91</v>
      </c>
      <c r="E386">
        <f t="shared" si="21"/>
        <v>103.27735831180907</v>
      </c>
      <c r="F386">
        <f t="shared" si="22"/>
        <v>9.6826643936888616E-3</v>
      </c>
      <c r="G386" s="4">
        <f t="shared" si="23"/>
        <v>8.8750616370120924E-3</v>
      </c>
    </row>
    <row r="387" spans="1:7" x14ac:dyDescent="0.3">
      <c r="A387" s="1">
        <v>44225</v>
      </c>
      <c r="B387">
        <v>9.5490000000000002E-3</v>
      </c>
      <c r="C387">
        <f t="shared" ref="C387:C444" si="24">1/B387</f>
        <v>104.72300764477956</v>
      </c>
      <c r="D387">
        <v>-2.62</v>
      </c>
      <c r="E387">
        <f t="shared" ref="E387:E444" si="25">C387+D387/10^2</f>
        <v>104.69680764477955</v>
      </c>
      <c r="F387">
        <f t="shared" ref="F387:F444" si="26">1/E387</f>
        <v>9.5513896029461465E-3</v>
      </c>
      <c r="G387" s="4">
        <f t="shared" si="23"/>
        <v>-1.3804505480535247E-2</v>
      </c>
    </row>
    <row r="388" spans="1:7" x14ac:dyDescent="0.3">
      <c r="A388" s="1">
        <v>44253</v>
      </c>
      <c r="B388">
        <v>9.3849999999999992E-3</v>
      </c>
      <c r="C388">
        <f t="shared" si="24"/>
        <v>106.55301012253597</v>
      </c>
      <c r="D388">
        <v>-3.95</v>
      </c>
      <c r="E388">
        <f t="shared" si="25"/>
        <v>106.51351012253596</v>
      </c>
      <c r="F388">
        <f t="shared" si="26"/>
        <v>9.3884803800905019E-3</v>
      </c>
      <c r="G388" s="4">
        <f t="shared" ref="G388:G444" si="27">(B388-F387)/(F387)</f>
        <v>-1.7420460253744028E-2</v>
      </c>
    </row>
    <row r="389" spans="1:7" x14ac:dyDescent="0.3">
      <c r="A389" s="1">
        <v>44286</v>
      </c>
      <c r="B389">
        <v>9.0320000000000001E-3</v>
      </c>
      <c r="C389">
        <f t="shared" si="24"/>
        <v>110.71744906997343</v>
      </c>
      <c r="D389">
        <v>-3.6</v>
      </c>
      <c r="E389">
        <f t="shared" si="25"/>
        <v>110.68144906997343</v>
      </c>
      <c r="F389">
        <f t="shared" si="26"/>
        <v>9.0349377280721579E-3</v>
      </c>
      <c r="G389" s="4">
        <f t="shared" si="27"/>
        <v>-3.7969976573255126E-2</v>
      </c>
    </row>
    <row r="390" spans="1:7" x14ac:dyDescent="0.3">
      <c r="A390" s="1">
        <v>44316</v>
      </c>
      <c r="B390">
        <v>9.1479999999999999E-3</v>
      </c>
      <c r="C390">
        <f t="shared" si="24"/>
        <v>109.31351114997814</v>
      </c>
      <c r="D390">
        <v>-2.4900000000000002</v>
      </c>
      <c r="E390">
        <f t="shared" si="25"/>
        <v>109.28861114997814</v>
      </c>
      <c r="F390">
        <f t="shared" si="26"/>
        <v>9.1500842537717616E-3</v>
      </c>
      <c r="G390" s="4">
        <f t="shared" si="27"/>
        <v>1.2513896092116924E-2</v>
      </c>
    </row>
    <row r="391" spans="1:7" x14ac:dyDescent="0.3">
      <c r="A391" s="1">
        <v>44347</v>
      </c>
      <c r="B391">
        <v>9.1260000000000004E-3</v>
      </c>
      <c r="C391">
        <f t="shared" si="24"/>
        <v>109.57703265395573</v>
      </c>
      <c r="D391">
        <v>-2.58</v>
      </c>
      <c r="E391">
        <f t="shared" si="25"/>
        <v>109.55123265395572</v>
      </c>
      <c r="F391">
        <f t="shared" si="26"/>
        <v>9.1281492300387332E-3</v>
      </c>
      <c r="G391" s="4">
        <f t="shared" si="27"/>
        <v>-2.6321346452993994E-3</v>
      </c>
    </row>
    <row r="392" spans="1:7" x14ac:dyDescent="0.3">
      <c r="A392" s="1">
        <v>44377</v>
      </c>
      <c r="B392">
        <v>8.9999999999999993E-3</v>
      </c>
      <c r="C392">
        <f t="shared" si="24"/>
        <v>111.11111111111111</v>
      </c>
      <c r="D392">
        <v>-2.83</v>
      </c>
      <c r="E392">
        <f t="shared" si="25"/>
        <v>111.08281111111111</v>
      </c>
      <c r="F392">
        <f t="shared" si="26"/>
        <v>9.0022928839975543E-3</v>
      </c>
      <c r="G392" s="4">
        <f t="shared" si="27"/>
        <v>-1.4038906114398625E-2</v>
      </c>
    </row>
    <row r="393" spans="1:7" x14ac:dyDescent="0.3">
      <c r="A393" s="1">
        <v>44407</v>
      </c>
      <c r="B393">
        <v>9.1170000000000001E-3</v>
      </c>
      <c r="C393">
        <f t="shared" si="24"/>
        <v>109.68520346605243</v>
      </c>
      <c r="D393">
        <v>-2.4900000000000002</v>
      </c>
      <c r="E393">
        <f t="shared" si="25"/>
        <v>109.66030346605243</v>
      </c>
      <c r="F393">
        <f t="shared" si="26"/>
        <v>9.1190701502077299E-3</v>
      </c>
      <c r="G393" s="4">
        <f t="shared" si="27"/>
        <v>1.2741988900000003E-2</v>
      </c>
    </row>
    <row r="394" spans="1:7" x14ac:dyDescent="0.3">
      <c r="A394" s="1">
        <v>44439</v>
      </c>
      <c r="B394">
        <v>9.0910000000000001E-3</v>
      </c>
      <c r="C394">
        <f t="shared" si="24"/>
        <v>109.99890001099989</v>
      </c>
      <c r="D394">
        <v>-3.03</v>
      </c>
      <c r="E394">
        <f t="shared" si="25"/>
        <v>109.96860001099989</v>
      </c>
      <c r="F394">
        <f t="shared" si="26"/>
        <v>9.0935048722996601E-3</v>
      </c>
      <c r="G394" s="4">
        <f t="shared" si="27"/>
        <v>-3.0781811901173209E-3</v>
      </c>
    </row>
    <row r="395" spans="1:7" x14ac:dyDescent="0.3">
      <c r="A395" s="1">
        <v>44469</v>
      </c>
      <c r="B395">
        <v>8.9870000000000002E-3</v>
      </c>
      <c r="C395">
        <f t="shared" si="24"/>
        <v>111.27183709803049</v>
      </c>
      <c r="D395">
        <v>-2.33</v>
      </c>
      <c r="E395">
        <f t="shared" si="25"/>
        <v>111.24853709803048</v>
      </c>
      <c r="F395">
        <f t="shared" si="26"/>
        <v>8.9888822458745275E-3</v>
      </c>
      <c r="G395" s="4">
        <f t="shared" si="27"/>
        <v>-1.1712191701143923E-2</v>
      </c>
    </row>
    <row r="396" spans="1:7" x14ac:dyDescent="0.3">
      <c r="A396" s="1">
        <v>44498</v>
      </c>
      <c r="B396">
        <v>8.77E-3</v>
      </c>
      <c r="C396">
        <f t="shared" si="24"/>
        <v>114.02508551881414</v>
      </c>
      <c r="D396">
        <v>-2.31</v>
      </c>
      <c r="E396">
        <f t="shared" si="25"/>
        <v>114.00198551881414</v>
      </c>
      <c r="F396">
        <f t="shared" si="26"/>
        <v>8.7717770479968232E-3</v>
      </c>
      <c r="G396" s="4">
        <f t="shared" si="27"/>
        <v>-2.4350329650272597E-2</v>
      </c>
    </row>
    <row r="397" spans="1:7" x14ac:dyDescent="0.3">
      <c r="A397" s="1">
        <v>44530</v>
      </c>
      <c r="B397">
        <v>8.8380000000000004E-3</v>
      </c>
      <c r="C397">
        <f t="shared" si="24"/>
        <v>113.14777098891152</v>
      </c>
      <c r="D397">
        <v>-8.56</v>
      </c>
      <c r="E397">
        <f t="shared" si="25"/>
        <v>113.06217098891152</v>
      </c>
      <c r="F397">
        <f t="shared" si="26"/>
        <v>8.8446912990736235E-3</v>
      </c>
      <c r="G397" s="4">
        <f t="shared" si="27"/>
        <v>7.5495480152793235E-3</v>
      </c>
    </row>
    <row r="398" spans="1:7" x14ac:dyDescent="0.3">
      <c r="A398" s="1">
        <v>44561</v>
      </c>
      <c r="B398">
        <v>8.6870000000000003E-3</v>
      </c>
      <c r="C398">
        <f t="shared" si="24"/>
        <v>115.11453896627144</v>
      </c>
      <c r="D398">
        <v>-2.78</v>
      </c>
      <c r="E398">
        <f t="shared" si="25"/>
        <v>115.08673896627144</v>
      </c>
      <c r="F398">
        <f t="shared" si="26"/>
        <v>8.6890984051000934E-3</v>
      </c>
      <c r="G398" s="4">
        <f t="shared" si="27"/>
        <v>-1.7828920619325575E-2</v>
      </c>
    </row>
    <row r="399" spans="1:7" x14ac:dyDescent="0.3">
      <c r="A399" s="1">
        <v>44592</v>
      </c>
      <c r="B399">
        <v>8.685E-3</v>
      </c>
      <c r="C399">
        <f t="shared" si="24"/>
        <v>115.14104778353483</v>
      </c>
      <c r="D399">
        <v>-2.44</v>
      </c>
      <c r="E399">
        <f t="shared" si="25"/>
        <v>115.11664778353483</v>
      </c>
      <c r="F399">
        <f t="shared" si="26"/>
        <v>8.6868408631946836E-3</v>
      </c>
      <c r="G399" s="4">
        <f t="shared" si="27"/>
        <v>-4.7167207793247896E-4</v>
      </c>
    </row>
    <row r="400" spans="1:7" x14ac:dyDescent="0.3">
      <c r="A400" s="1">
        <v>44620</v>
      </c>
      <c r="B400">
        <v>8.6969999999999999E-3</v>
      </c>
      <c r="C400">
        <f t="shared" si="24"/>
        <v>114.98217776244682</v>
      </c>
      <c r="D400">
        <v>-8.7100000000000009</v>
      </c>
      <c r="E400">
        <f t="shared" si="25"/>
        <v>114.89507776244682</v>
      </c>
      <c r="F400">
        <f t="shared" si="26"/>
        <v>8.7035930474547059E-3</v>
      </c>
      <c r="G400" s="4">
        <f t="shared" si="27"/>
        <v>1.1694857734023351E-3</v>
      </c>
    </row>
    <row r="401" spans="1:7" x14ac:dyDescent="0.3">
      <c r="A401" s="1">
        <v>44651</v>
      </c>
      <c r="B401">
        <v>8.2170000000000003E-3</v>
      </c>
      <c r="C401">
        <f t="shared" si="24"/>
        <v>121.69891687963977</v>
      </c>
      <c r="D401">
        <v>-7.11</v>
      </c>
      <c r="E401">
        <f t="shared" si="25"/>
        <v>121.62781687963977</v>
      </c>
      <c r="F401">
        <f t="shared" si="26"/>
        <v>8.2218034135199368E-3</v>
      </c>
      <c r="G401" s="4">
        <f t="shared" si="27"/>
        <v>-5.5907146025974373E-2</v>
      </c>
    </row>
    <row r="402" spans="1:7" x14ac:dyDescent="0.3">
      <c r="A402" s="1">
        <v>44680</v>
      </c>
      <c r="B402">
        <v>7.7060000000000002E-3</v>
      </c>
      <c r="C402">
        <f t="shared" si="24"/>
        <v>129.76901116013497</v>
      </c>
      <c r="D402">
        <v>-12.77</v>
      </c>
      <c r="E402">
        <f t="shared" si="25"/>
        <v>129.64131116013496</v>
      </c>
      <c r="F402">
        <f t="shared" si="26"/>
        <v>7.7135906066607461E-3</v>
      </c>
      <c r="G402" s="4">
        <f t="shared" si="27"/>
        <v>-6.2736043125495952E-2</v>
      </c>
    </row>
    <row r="403" spans="1:7" x14ac:dyDescent="0.3">
      <c r="A403" s="1">
        <v>44712</v>
      </c>
      <c r="B403">
        <v>7.77E-3</v>
      </c>
      <c r="C403">
        <f t="shared" si="24"/>
        <v>128.70012870012869</v>
      </c>
      <c r="D403">
        <v>-16.489999999999998</v>
      </c>
      <c r="E403">
        <f t="shared" si="25"/>
        <v>128.5352287001287</v>
      </c>
      <c r="F403">
        <f t="shared" si="26"/>
        <v>7.7799682632765932E-3</v>
      </c>
      <c r="G403" s="4">
        <f t="shared" si="27"/>
        <v>7.3129877142486532E-3</v>
      </c>
    </row>
    <row r="404" spans="1:7" x14ac:dyDescent="0.3">
      <c r="A404" s="1">
        <v>44742</v>
      </c>
      <c r="B404">
        <v>7.3670000000000003E-3</v>
      </c>
      <c r="C404">
        <f t="shared" si="24"/>
        <v>135.74046423238767</v>
      </c>
      <c r="D404">
        <v>-25.03</v>
      </c>
      <c r="E404">
        <f t="shared" si="25"/>
        <v>135.49016423238766</v>
      </c>
      <c r="F404">
        <f t="shared" si="26"/>
        <v>7.3806095495230007E-3</v>
      </c>
      <c r="G404" s="4">
        <f t="shared" si="27"/>
        <v>-5.3080970166151827E-2</v>
      </c>
    </row>
    <row r="405" spans="1:7" x14ac:dyDescent="0.3">
      <c r="A405" s="1">
        <v>44771</v>
      </c>
      <c r="B405">
        <v>7.5030000000000001E-3</v>
      </c>
      <c r="C405">
        <f t="shared" si="24"/>
        <v>133.28002132480341</v>
      </c>
      <c r="D405">
        <v>-29.67</v>
      </c>
      <c r="E405">
        <f t="shared" si="25"/>
        <v>132.98332132480343</v>
      </c>
      <c r="F405">
        <f t="shared" si="26"/>
        <v>7.5197399947438725E-3</v>
      </c>
      <c r="G405" s="4">
        <f t="shared" si="27"/>
        <v>1.6582702235604565E-2</v>
      </c>
    </row>
    <row r="406" spans="1:7" x14ac:dyDescent="0.3">
      <c r="A406" s="1">
        <v>44804</v>
      </c>
      <c r="B406">
        <v>7.1960000000000001E-3</v>
      </c>
      <c r="C406">
        <f t="shared" si="24"/>
        <v>138.96609227348526</v>
      </c>
      <c r="D406">
        <v>-34</v>
      </c>
      <c r="E406">
        <f t="shared" si="25"/>
        <v>138.62609227348526</v>
      </c>
      <c r="F406">
        <f t="shared" si="26"/>
        <v>7.2136492026852583E-3</v>
      </c>
      <c r="G406" s="4">
        <f t="shared" si="27"/>
        <v>-4.3052019746714541E-2</v>
      </c>
    </row>
    <row r="407" spans="1:7" x14ac:dyDescent="0.3">
      <c r="A407" s="1">
        <v>44834</v>
      </c>
      <c r="B407">
        <v>6.9090000000000002E-3</v>
      </c>
      <c r="C407">
        <f t="shared" si="24"/>
        <v>144.73874656245476</v>
      </c>
      <c r="D407">
        <v>-41.56</v>
      </c>
      <c r="E407">
        <f t="shared" si="25"/>
        <v>144.32314656245475</v>
      </c>
      <c r="F407">
        <f t="shared" si="26"/>
        <v>6.9288954947171804E-3</v>
      </c>
      <c r="G407" s="4">
        <f t="shared" si="27"/>
        <v>-4.2232328482490297E-2</v>
      </c>
    </row>
    <row r="408" spans="1:7" x14ac:dyDescent="0.3">
      <c r="A408" s="1">
        <v>44865</v>
      </c>
      <c r="B408">
        <v>6.7239999999999999E-3</v>
      </c>
      <c r="C408">
        <f t="shared" si="24"/>
        <v>148.720999405116</v>
      </c>
      <c r="D408">
        <v>-49.23</v>
      </c>
      <c r="E408">
        <f t="shared" si="25"/>
        <v>148.228699405116</v>
      </c>
      <c r="F408">
        <f t="shared" si="26"/>
        <v>6.7463318777894214E-3</v>
      </c>
      <c r="G408" s="4">
        <f t="shared" si="27"/>
        <v>-2.9571162514054311E-2</v>
      </c>
    </row>
    <row r="409" spans="1:7" x14ac:dyDescent="0.3">
      <c r="A409" s="1">
        <v>44895</v>
      </c>
      <c r="B409">
        <v>7.2430000000000003E-3</v>
      </c>
      <c r="C409">
        <f t="shared" si="24"/>
        <v>138.06433798149936</v>
      </c>
      <c r="D409">
        <v>-60.9</v>
      </c>
      <c r="E409">
        <f t="shared" si="25"/>
        <v>137.45533798149935</v>
      </c>
      <c r="F409">
        <f t="shared" si="26"/>
        <v>7.2750903288644484E-3</v>
      </c>
      <c r="G409" s="4">
        <f t="shared" si="27"/>
        <v>7.3620469791255333E-2</v>
      </c>
    </row>
    <row r="410" spans="1:7" x14ac:dyDescent="0.3">
      <c r="A410" s="1">
        <v>44925</v>
      </c>
      <c r="B410">
        <v>7.6270000000000001E-3</v>
      </c>
      <c r="C410">
        <f t="shared" si="24"/>
        <v>131.11315064901009</v>
      </c>
      <c r="D410">
        <v>-54.88</v>
      </c>
      <c r="E410">
        <f t="shared" si="25"/>
        <v>130.56435064901009</v>
      </c>
      <c r="F410">
        <f t="shared" si="26"/>
        <v>7.6590585027934022E-3</v>
      </c>
      <c r="G410" s="4">
        <f t="shared" si="27"/>
        <v>4.8371862784895546E-2</v>
      </c>
    </row>
    <row r="411" spans="1:7" x14ac:dyDescent="0.3">
      <c r="A411" s="1">
        <v>44957</v>
      </c>
      <c r="B411">
        <v>7.6870000000000003E-3</v>
      </c>
      <c r="C411">
        <f t="shared" si="24"/>
        <v>130.08976193573565</v>
      </c>
      <c r="D411">
        <v>-48.97</v>
      </c>
      <c r="E411">
        <f t="shared" si="25"/>
        <v>129.60006193573565</v>
      </c>
      <c r="F411">
        <f t="shared" si="26"/>
        <v>7.7160456952240246E-3</v>
      </c>
      <c r="G411" s="4">
        <f t="shared" si="27"/>
        <v>3.6481634389405999E-3</v>
      </c>
    </row>
    <row r="412" spans="1:7" x14ac:dyDescent="0.3">
      <c r="A412" s="1">
        <v>44985</v>
      </c>
      <c r="B412">
        <v>7.3439999999999998E-3</v>
      </c>
      <c r="C412">
        <f t="shared" si="24"/>
        <v>136.16557734204792</v>
      </c>
      <c r="D412">
        <v>-60.91</v>
      </c>
      <c r="E412">
        <f t="shared" si="25"/>
        <v>135.55647734204791</v>
      </c>
      <c r="F412">
        <f t="shared" si="26"/>
        <v>7.3769990162603069E-3</v>
      </c>
      <c r="G412" s="4">
        <f t="shared" si="27"/>
        <v>-4.8217145143957432E-2</v>
      </c>
    </row>
    <row r="413" spans="1:7" x14ac:dyDescent="0.3">
      <c r="A413" s="1">
        <v>45016</v>
      </c>
      <c r="B413">
        <v>7.5269999999999998E-3</v>
      </c>
      <c r="C413">
        <f t="shared" si="24"/>
        <v>132.85505513484787</v>
      </c>
      <c r="D413">
        <v>-64.97</v>
      </c>
      <c r="E413">
        <f t="shared" si="25"/>
        <v>132.20535513484788</v>
      </c>
      <c r="F413">
        <f t="shared" si="26"/>
        <v>7.5639901196136268E-3</v>
      </c>
      <c r="G413" s="4">
        <f t="shared" si="27"/>
        <v>2.0333604953594587E-2</v>
      </c>
    </row>
    <row r="414" spans="1:7" x14ac:dyDescent="0.3">
      <c r="A414" s="1">
        <v>45044</v>
      </c>
      <c r="B414">
        <v>7.3369999999999998E-3</v>
      </c>
      <c r="C414">
        <f t="shared" si="24"/>
        <v>136.2954886193267</v>
      </c>
      <c r="D414">
        <v>-63.19</v>
      </c>
      <c r="E414">
        <f t="shared" si="25"/>
        <v>135.6635886193267</v>
      </c>
      <c r="F414">
        <f t="shared" si="26"/>
        <v>7.3711746104992799E-3</v>
      </c>
      <c r="G414" s="4">
        <f t="shared" si="27"/>
        <v>-3.0009309375621154E-2</v>
      </c>
    </row>
    <row r="415" spans="1:7" x14ac:dyDescent="0.3">
      <c r="A415" s="1">
        <v>45077</v>
      </c>
      <c r="B415">
        <v>7.1770000000000002E-3</v>
      </c>
      <c r="C415">
        <f t="shared" si="24"/>
        <v>139.33398355858995</v>
      </c>
      <c r="D415">
        <v>-66.459999999999994</v>
      </c>
      <c r="E415">
        <f t="shared" si="25"/>
        <v>138.66938355858994</v>
      </c>
      <c r="F415">
        <f t="shared" si="26"/>
        <v>7.2113971688457434E-3</v>
      </c>
      <c r="G415" s="4">
        <f t="shared" si="27"/>
        <v>-2.6342424479092272E-2</v>
      </c>
    </row>
    <row r="416" spans="1:7" x14ac:dyDescent="0.3">
      <c r="A416" s="1">
        <v>45107</v>
      </c>
      <c r="B416">
        <v>6.9300000000000004E-3</v>
      </c>
      <c r="C416">
        <f t="shared" si="24"/>
        <v>144.3001443001443</v>
      </c>
      <c r="D416">
        <v>-71.7</v>
      </c>
      <c r="E416">
        <f t="shared" si="25"/>
        <v>143.58314430014428</v>
      </c>
      <c r="F416">
        <f t="shared" si="26"/>
        <v>6.9646058029598059E-3</v>
      </c>
      <c r="G416" s="4">
        <f t="shared" si="27"/>
        <v>-3.9021171938971637E-2</v>
      </c>
    </row>
    <row r="417" spans="1:7" x14ac:dyDescent="0.3">
      <c r="A417" s="1">
        <v>45138</v>
      </c>
      <c r="B417">
        <v>7.0280000000000004E-3</v>
      </c>
      <c r="C417">
        <f t="shared" si="24"/>
        <v>142.28799089356858</v>
      </c>
      <c r="D417">
        <v>-74.489999999999995</v>
      </c>
      <c r="E417">
        <f t="shared" si="25"/>
        <v>141.54309089356857</v>
      </c>
      <c r="F417">
        <f t="shared" si="26"/>
        <v>7.0649863139694794E-3</v>
      </c>
      <c r="G417" s="4">
        <f t="shared" si="27"/>
        <v>9.1023381414140295E-3</v>
      </c>
    </row>
    <row r="418" spans="1:7" x14ac:dyDescent="0.3">
      <c r="A418" s="1">
        <v>45169</v>
      </c>
      <c r="B418">
        <v>6.8710000000000004E-3</v>
      </c>
      <c r="C418">
        <f t="shared" si="24"/>
        <v>145.53922282055012</v>
      </c>
      <c r="D418">
        <v>-69.77</v>
      </c>
      <c r="E418">
        <f t="shared" si="25"/>
        <v>144.84152282055013</v>
      </c>
      <c r="F418">
        <f t="shared" si="26"/>
        <v>6.904097530367307E-3</v>
      </c>
      <c r="G418" s="4">
        <f t="shared" si="27"/>
        <v>-2.7457422470290302E-2</v>
      </c>
    </row>
    <row r="419" spans="1:7" x14ac:dyDescent="0.3">
      <c r="A419" s="1">
        <v>45198</v>
      </c>
      <c r="B419">
        <v>6.6950000000000004E-3</v>
      </c>
      <c r="C419">
        <f t="shared" si="24"/>
        <v>149.36519790888721</v>
      </c>
      <c r="D419">
        <v>-80.89</v>
      </c>
      <c r="E419">
        <f t="shared" si="25"/>
        <v>148.55629790888722</v>
      </c>
      <c r="F419">
        <f t="shared" si="26"/>
        <v>6.7314547688400363E-3</v>
      </c>
      <c r="G419" s="4">
        <f t="shared" si="27"/>
        <v>-3.028600471641691E-2</v>
      </c>
    </row>
    <row r="420" spans="1:7" x14ac:dyDescent="0.3">
      <c r="A420" s="1">
        <v>45230</v>
      </c>
      <c r="B420">
        <v>6.5929999999999999E-3</v>
      </c>
      <c r="C420">
        <f t="shared" si="24"/>
        <v>151.67602002123465</v>
      </c>
      <c r="D420">
        <v>-76.239999999999995</v>
      </c>
      <c r="E420">
        <f t="shared" si="25"/>
        <v>150.91362002123464</v>
      </c>
      <c r="F420">
        <f t="shared" si="26"/>
        <v>6.626307154114339E-3</v>
      </c>
      <c r="G420" s="4">
        <f t="shared" si="27"/>
        <v>-2.0568327886706567E-2</v>
      </c>
    </row>
    <row r="421" spans="1:7" x14ac:dyDescent="0.3">
      <c r="A421" s="1">
        <v>45260</v>
      </c>
      <c r="B421">
        <v>6.7479999999999997E-3</v>
      </c>
      <c r="C421">
        <f t="shared" si="24"/>
        <v>148.19205690574987</v>
      </c>
      <c r="D421">
        <v>-75.42</v>
      </c>
      <c r="E421">
        <f t="shared" si="25"/>
        <v>147.43785690574987</v>
      </c>
      <c r="F421">
        <f t="shared" si="26"/>
        <v>6.7825185538287714E-3</v>
      </c>
      <c r="G421" s="4">
        <f t="shared" si="27"/>
        <v>1.8365107903291253E-2</v>
      </c>
    </row>
    <row r="422" spans="1:7" x14ac:dyDescent="0.3">
      <c r="A422" s="1">
        <v>45289</v>
      </c>
      <c r="B422">
        <v>7.0899999999999999E-3</v>
      </c>
      <c r="C422">
        <f t="shared" si="24"/>
        <v>141.04372355430183</v>
      </c>
      <c r="D422">
        <v>-68.37</v>
      </c>
      <c r="E422">
        <f t="shared" si="25"/>
        <v>140.36002355430185</v>
      </c>
      <c r="F422">
        <f t="shared" si="26"/>
        <v>7.1245357095079467E-3</v>
      </c>
      <c r="G422" s="4">
        <f t="shared" si="27"/>
        <v>4.5334405461766619E-2</v>
      </c>
    </row>
    <row r="423" spans="1:7" x14ac:dyDescent="0.3">
      <c r="A423" s="1">
        <v>45322</v>
      </c>
      <c r="B423">
        <v>6.8060000000000004E-3</v>
      </c>
      <c r="C423">
        <f t="shared" si="24"/>
        <v>146.92918013517485</v>
      </c>
      <c r="D423">
        <v>-71.040000000000006</v>
      </c>
      <c r="E423">
        <f t="shared" si="25"/>
        <v>146.21878013517485</v>
      </c>
      <c r="F423">
        <f t="shared" si="26"/>
        <v>6.8390667674530599E-3</v>
      </c>
      <c r="G423" s="4">
        <f t="shared" si="27"/>
        <v>-4.4709679689421591E-2</v>
      </c>
    </row>
    <row r="424" spans="1:7" x14ac:dyDescent="0.3">
      <c r="A424" s="1">
        <v>45351</v>
      </c>
      <c r="B424">
        <v>6.6680000000000003E-3</v>
      </c>
      <c r="C424">
        <f t="shared" si="24"/>
        <v>149.97000599880025</v>
      </c>
      <c r="D424">
        <v>-72.849999999999994</v>
      </c>
      <c r="E424">
        <f t="shared" si="25"/>
        <v>149.24150599880025</v>
      </c>
      <c r="F424">
        <f t="shared" si="26"/>
        <v>6.7005488406692909E-3</v>
      </c>
      <c r="G424" s="4">
        <f t="shared" si="27"/>
        <v>-2.5013174058653997E-2</v>
      </c>
    </row>
    <row r="425" spans="1:7" x14ac:dyDescent="0.3">
      <c r="A425" s="1">
        <v>45380</v>
      </c>
      <c r="B425">
        <v>6.607E-3</v>
      </c>
      <c r="C425">
        <f t="shared" si="24"/>
        <v>151.35462388375964</v>
      </c>
      <c r="D425">
        <v>-69.099999999999994</v>
      </c>
      <c r="E425">
        <f t="shared" si="25"/>
        <v>150.66362388375964</v>
      </c>
      <c r="F425">
        <f t="shared" si="26"/>
        <v>6.6373021849754684E-3</v>
      </c>
      <c r="G425" s="4">
        <f t="shared" si="27"/>
        <v>-1.3961369865926778E-2</v>
      </c>
    </row>
    <row r="426" spans="1:7" x14ac:dyDescent="0.3">
      <c r="A426" s="1">
        <v>45412</v>
      </c>
      <c r="B426">
        <v>6.3369999999999998E-3</v>
      </c>
      <c r="C426">
        <f t="shared" si="24"/>
        <v>157.80337699226763</v>
      </c>
      <c r="D426">
        <v>-75.819999999999993</v>
      </c>
      <c r="E426">
        <f t="shared" si="25"/>
        <v>157.04517699226764</v>
      </c>
      <c r="F426">
        <f t="shared" si="26"/>
        <v>6.3675944664587604E-3</v>
      </c>
      <c r="G426" s="4">
        <f t="shared" si="27"/>
        <v>-4.5244615448615223E-2</v>
      </c>
    </row>
    <row r="427" spans="1:7" x14ac:dyDescent="0.3">
      <c r="A427" s="1">
        <v>45443</v>
      </c>
      <c r="B427">
        <v>6.3569999999999998E-3</v>
      </c>
      <c r="C427">
        <f t="shared" si="24"/>
        <v>157.30690577316344</v>
      </c>
      <c r="D427">
        <v>-73.989999999999995</v>
      </c>
      <c r="E427">
        <f t="shared" si="25"/>
        <v>156.56700577316343</v>
      </c>
      <c r="F427">
        <f t="shared" si="26"/>
        <v>6.3870417337405982E-3</v>
      </c>
      <c r="G427" s="4">
        <f t="shared" si="27"/>
        <v>-1.6638098601546951E-3</v>
      </c>
    </row>
    <row r="428" spans="1:7" x14ac:dyDescent="0.3">
      <c r="A428" s="1">
        <v>45471</v>
      </c>
      <c r="B428">
        <v>6.2160000000000002E-3</v>
      </c>
      <c r="C428">
        <f t="shared" si="24"/>
        <v>160.87516087516087</v>
      </c>
      <c r="D428">
        <v>-75.64</v>
      </c>
      <c r="E428">
        <f t="shared" si="25"/>
        <v>160.11876087516086</v>
      </c>
      <c r="F428">
        <f t="shared" si="26"/>
        <v>6.2453643441549361E-3</v>
      </c>
      <c r="G428" s="4">
        <f t="shared" si="27"/>
        <v>-2.6779492114016097E-2</v>
      </c>
    </row>
    <row r="429" spans="1:7" x14ac:dyDescent="0.3">
      <c r="A429" s="1">
        <v>45504</v>
      </c>
      <c r="B429">
        <v>6.6670000000000002E-3</v>
      </c>
      <c r="C429">
        <f t="shared" si="24"/>
        <v>149.99250037498123</v>
      </c>
      <c r="D429">
        <v>-71.12</v>
      </c>
      <c r="E429">
        <f t="shared" si="25"/>
        <v>149.28130037498124</v>
      </c>
      <c r="F429">
        <f t="shared" si="26"/>
        <v>6.6987626547202472E-3</v>
      </c>
      <c r="G429" s="4">
        <f t="shared" si="27"/>
        <v>6.7511778754697438E-2</v>
      </c>
    </row>
    <row r="430" spans="1:7" x14ac:dyDescent="0.3">
      <c r="A430" s="1">
        <v>45534</v>
      </c>
      <c r="B430">
        <v>6.8409999999999999E-3</v>
      </c>
      <c r="C430">
        <f t="shared" si="24"/>
        <v>146.177459435755</v>
      </c>
      <c r="D430">
        <v>-63.55</v>
      </c>
      <c r="E430">
        <f t="shared" si="25"/>
        <v>145.54195943575499</v>
      </c>
      <c r="F430">
        <f t="shared" si="26"/>
        <v>6.8708708050712972E-3</v>
      </c>
      <c r="G430" s="4">
        <f t="shared" si="27"/>
        <v>2.1233375865246672E-2</v>
      </c>
    </row>
    <row r="431" spans="1:7" x14ac:dyDescent="0.3">
      <c r="A431" s="1">
        <v>45565</v>
      </c>
      <c r="B431">
        <v>6.9620000000000003E-3</v>
      </c>
      <c r="C431">
        <f t="shared" si="24"/>
        <v>143.63688595231255</v>
      </c>
      <c r="D431">
        <v>-66.31</v>
      </c>
      <c r="E431">
        <f t="shared" si="25"/>
        <v>142.97378595231254</v>
      </c>
      <c r="F431">
        <f t="shared" si="26"/>
        <v>6.9942891512542018E-3</v>
      </c>
      <c r="G431" s="4">
        <f t="shared" si="27"/>
        <v>1.3263121591726313E-2</v>
      </c>
    </row>
    <row r="432" spans="1:7" x14ac:dyDescent="0.3">
      <c r="A432" s="1">
        <v>45596</v>
      </c>
      <c r="B432">
        <v>6.5779999999999996E-3</v>
      </c>
      <c r="C432">
        <f t="shared" si="24"/>
        <v>152.02189115232594</v>
      </c>
      <c r="D432">
        <v>-58.57</v>
      </c>
      <c r="E432">
        <f t="shared" si="25"/>
        <v>151.43619115232593</v>
      </c>
      <c r="F432">
        <f t="shared" si="26"/>
        <v>6.6034413068017843E-3</v>
      </c>
      <c r="G432" s="4">
        <f t="shared" si="27"/>
        <v>-5.9518436005688152E-2</v>
      </c>
    </row>
    <row r="433" spans="1:9" x14ac:dyDescent="0.3">
      <c r="A433" s="1">
        <v>45625</v>
      </c>
      <c r="B433">
        <v>6.6769999999999998E-3</v>
      </c>
      <c r="C433">
        <f t="shared" si="24"/>
        <v>149.76785981728321</v>
      </c>
      <c r="D433">
        <v>-69.45</v>
      </c>
      <c r="E433">
        <f t="shared" si="25"/>
        <v>149.0733598172832</v>
      </c>
      <c r="F433">
        <f t="shared" si="26"/>
        <v>6.7081066746310924E-3</v>
      </c>
      <c r="G433" s="4">
        <f t="shared" si="27"/>
        <v>1.1139448324080254E-2</v>
      </c>
    </row>
    <row r="434" spans="1:9" x14ac:dyDescent="0.3">
      <c r="A434" s="1">
        <v>45657</v>
      </c>
      <c r="B434">
        <v>6.3610000000000003E-3</v>
      </c>
      <c r="C434">
        <f t="shared" si="24"/>
        <v>157.20798616569721</v>
      </c>
      <c r="D434">
        <v>-57.69</v>
      </c>
      <c r="E434">
        <f t="shared" si="25"/>
        <v>156.63108616569721</v>
      </c>
      <c r="F434">
        <f t="shared" si="26"/>
        <v>6.38442868832639E-3</v>
      </c>
      <c r="G434" s="4">
        <f t="shared" si="27"/>
        <v>-5.1744358202261448E-2</v>
      </c>
    </row>
    <row r="435" spans="1:9" x14ac:dyDescent="0.3">
      <c r="A435" s="1">
        <v>45688</v>
      </c>
      <c r="B435">
        <v>6.4440000000000001E-3</v>
      </c>
      <c r="C435">
        <f t="shared" si="24"/>
        <v>155.18311607697083</v>
      </c>
      <c r="D435">
        <v>-49.72</v>
      </c>
      <c r="E435">
        <f t="shared" si="25"/>
        <v>154.68591607697084</v>
      </c>
      <c r="F435">
        <f t="shared" si="26"/>
        <v>6.4647126600873321E-3</v>
      </c>
      <c r="G435" s="4">
        <f t="shared" si="27"/>
        <v>9.3307192517528299E-3</v>
      </c>
    </row>
    <row r="436" spans="1:9" x14ac:dyDescent="0.3">
      <c r="A436" s="1">
        <v>45716</v>
      </c>
      <c r="B436">
        <v>6.6389999999999999E-3</v>
      </c>
      <c r="C436">
        <f t="shared" si="24"/>
        <v>150.62509414068384</v>
      </c>
      <c r="D436">
        <v>-53.3</v>
      </c>
      <c r="E436">
        <f t="shared" si="25"/>
        <v>150.09209414068386</v>
      </c>
      <c r="F436">
        <f t="shared" si="26"/>
        <v>6.6625761051923435E-3</v>
      </c>
      <c r="G436" s="4">
        <f t="shared" si="27"/>
        <v>2.6959796835009431E-2</v>
      </c>
    </row>
    <row r="437" spans="1:9" x14ac:dyDescent="0.3">
      <c r="A437" s="1">
        <v>45747</v>
      </c>
      <c r="B437">
        <v>6.6680000000000003E-3</v>
      </c>
      <c r="C437">
        <f t="shared" si="24"/>
        <v>149.97000599880025</v>
      </c>
      <c r="D437">
        <v>-50.49</v>
      </c>
      <c r="E437">
        <f t="shared" si="25"/>
        <v>149.46510599880025</v>
      </c>
      <c r="F437">
        <f t="shared" si="26"/>
        <v>6.690524810573693E-3</v>
      </c>
      <c r="G437" s="4">
        <f t="shared" si="27"/>
        <v>8.1408373007999825E-4</v>
      </c>
    </row>
    <row r="438" spans="1:9" x14ac:dyDescent="0.3">
      <c r="A438" s="1">
        <v>45777</v>
      </c>
      <c r="B438">
        <v>6.9899999999999997E-3</v>
      </c>
      <c r="C438">
        <f t="shared" si="24"/>
        <v>143.06151645207439</v>
      </c>
      <c r="D438">
        <v>-49.82</v>
      </c>
      <c r="E438">
        <f t="shared" si="25"/>
        <v>142.56331645207439</v>
      </c>
      <c r="F438">
        <f t="shared" si="26"/>
        <v>7.014427167427539E-3</v>
      </c>
      <c r="G438" s="4">
        <f t="shared" si="27"/>
        <v>4.4761090931613713E-2</v>
      </c>
    </row>
    <row r="439" spans="1:9" x14ac:dyDescent="0.3">
      <c r="A439" s="1">
        <v>45807</v>
      </c>
      <c r="B439">
        <v>6.9430000000000004E-3</v>
      </c>
      <c r="C439">
        <f t="shared" si="24"/>
        <v>144.02995823131209</v>
      </c>
      <c r="D439">
        <v>-48.81</v>
      </c>
      <c r="E439">
        <f t="shared" si="25"/>
        <v>143.54185823131209</v>
      </c>
      <c r="F439">
        <f t="shared" si="26"/>
        <v>6.9666089900309019E-3</v>
      </c>
      <c r="G439" s="4">
        <f t="shared" si="27"/>
        <v>-1.0182893873247488E-2</v>
      </c>
    </row>
    <row r="440" spans="1:9" x14ac:dyDescent="0.3">
      <c r="A440" s="1">
        <v>45838</v>
      </c>
      <c r="B440">
        <v>6.9430000000000004E-3</v>
      </c>
      <c r="C440">
        <f t="shared" si="24"/>
        <v>144.02995823131209</v>
      </c>
      <c r="D440">
        <v>-53.06</v>
      </c>
      <c r="E440">
        <f t="shared" si="25"/>
        <v>143.4993582313121</v>
      </c>
      <c r="F440">
        <f t="shared" si="26"/>
        <v>6.9686722806666613E-3</v>
      </c>
      <c r="G440" s="4">
        <f t="shared" si="27"/>
        <v>-3.3888783000001225E-3</v>
      </c>
    </row>
    <row r="441" spans="1:9" x14ac:dyDescent="0.3">
      <c r="A441" s="1">
        <v>45869</v>
      </c>
      <c r="B441">
        <v>6.6340000000000001E-3</v>
      </c>
      <c r="C441">
        <f t="shared" si="24"/>
        <v>150.73861923424781</v>
      </c>
      <c r="D441">
        <v>-51.87</v>
      </c>
      <c r="E441">
        <f t="shared" si="25"/>
        <v>150.21991923424781</v>
      </c>
      <c r="F441">
        <f t="shared" si="26"/>
        <v>6.6569067877119154E-3</v>
      </c>
      <c r="G441" s="4">
        <f t="shared" si="27"/>
        <v>-4.8025257493475443E-2</v>
      </c>
    </row>
    <row r="442" spans="1:9" x14ac:dyDescent="0.3">
      <c r="A442" s="1">
        <v>45898</v>
      </c>
      <c r="B442">
        <v>6.7999999999999996E-3</v>
      </c>
      <c r="C442">
        <f t="shared" si="24"/>
        <v>147.05882352941177</v>
      </c>
      <c r="D442">
        <v>-48.78</v>
      </c>
      <c r="E442">
        <f t="shared" si="25"/>
        <v>146.57102352941178</v>
      </c>
      <c r="F442">
        <f t="shared" si="26"/>
        <v>6.8226309397323289E-3</v>
      </c>
      <c r="G442" s="4">
        <f t="shared" si="27"/>
        <v>2.1495450792885087E-2</v>
      </c>
    </row>
    <row r="443" spans="1:9" x14ac:dyDescent="0.3">
      <c r="A443" s="1">
        <v>45930</v>
      </c>
      <c r="B443">
        <v>6.7609999999999996E-3</v>
      </c>
      <c r="C443">
        <f t="shared" si="24"/>
        <v>147.9071143321994</v>
      </c>
      <c r="D443">
        <v>-51.26</v>
      </c>
      <c r="E443">
        <f t="shared" si="25"/>
        <v>147.39451433219941</v>
      </c>
      <c r="F443">
        <f t="shared" si="26"/>
        <v>6.7845130093932048E-3</v>
      </c>
      <c r="G443" s="4">
        <f t="shared" si="27"/>
        <v>-9.0333099176469964E-3</v>
      </c>
    </row>
    <row r="444" spans="1:9" x14ac:dyDescent="0.3">
      <c r="A444" s="1">
        <v>45961</v>
      </c>
      <c r="B444">
        <v>6.4939999999999998E-3</v>
      </c>
      <c r="C444">
        <f t="shared" si="24"/>
        <v>153.98829688943641</v>
      </c>
      <c r="D444">
        <v>-46.84</v>
      </c>
      <c r="E444">
        <f t="shared" si="25"/>
        <v>153.51989688943641</v>
      </c>
      <c r="F444">
        <f t="shared" si="26"/>
        <v>6.51381365061879E-3</v>
      </c>
      <c r="G444" s="4">
        <f t="shared" si="27"/>
        <v>-4.2820023926697134E-2</v>
      </c>
      <c r="I444" s="4"/>
    </row>
    <row r="445" spans="1:9" x14ac:dyDescent="0.3">
      <c r="A445" s="1"/>
      <c r="I445" s="5"/>
    </row>
    <row r="446" spans="1:9" x14ac:dyDescent="0.3">
      <c r="A446" s="1"/>
      <c r="I446" s="4"/>
    </row>
    <row r="447" spans="1:9" x14ac:dyDescent="0.3">
      <c r="A447" s="1"/>
    </row>
    <row r="448" spans="1:9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499984740745262"/>
  </sheetPr>
  <dimension ref="A1:J551"/>
  <sheetViews>
    <sheetView topLeftCell="A477" zoomScale="145" zoomScaleNormal="145" workbookViewId="0">
      <selection activeCell="I12" sqref="I12"/>
    </sheetView>
  </sheetViews>
  <sheetFormatPr defaultColWidth="8.77734375" defaultRowHeight="14.4" x14ac:dyDescent="0.3"/>
  <cols>
    <col min="1" max="1" width="10.44140625" customWidth="1"/>
    <col min="2" max="2" width="9.77734375" bestFit="1" customWidth="1"/>
    <col min="3" max="4" width="12.77734375" bestFit="1" customWidth="1"/>
    <col min="5" max="5" width="11" bestFit="1" customWidth="1"/>
  </cols>
  <sheetData>
    <row r="1" spans="1:10" x14ac:dyDescent="0.3">
      <c r="A1" t="s">
        <v>0</v>
      </c>
      <c r="B1" t="s">
        <v>29</v>
      </c>
      <c r="C1" t="s">
        <v>30</v>
      </c>
      <c r="D1" t="s">
        <v>31</v>
      </c>
      <c r="E1" t="s">
        <v>32</v>
      </c>
      <c r="G1" s="3"/>
    </row>
    <row r="2" spans="1:10" x14ac:dyDescent="0.3">
      <c r="A2" s="1">
        <v>30680</v>
      </c>
      <c r="B2">
        <v>0.90200000000000002</v>
      </c>
      <c r="C2">
        <v>37</v>
      </c>
      <c r="D2">
        <f>B2+C2/10^4</f>
        <v>0.90570000000000006</v>
      </c>
    </row>
    <row r="3" spans="1:10" x14ac:dyDescent="0.3">
      <c r="A3" s="1">
        <v>30712</v>
      </c>
      <c r="B3">
        <v>0.91779999999999995</v>
      </c>
      <c r="C3">
        <v>-8</v>
      </c>
      <c r="D3">
        <f t="shared" ref="D3:D66" si="0">B3+C3/10^4</f>
        <v>0.91699999999999993</v>
      </c>
      <c r="E3" s="4">
        <f>(B3-D2)/D2</f>
        <v>1.3359832174008929E-2</v>
      </c>
    </row>
    <row r="4" spans="1:10" x14ac:dyDescent="0.3">
      <c r="A4" s="1">
        <v>30741</v>
      </c>
      <c r="B4">
        <v>0.94289999999999996</v>
      </c>
      <c r="C4">
        <v>-13</v>
      </c>
      <c r="D4">
        <f t="shared" si="0"/>
        <v>0.94159999999999999</v>
      </c>
      <c r="E4" s="4">
        <f t="shared" ref="E4:E67" si="1">(B4-D3)/D3</f>
        <v>2.8244274809160346E-2</v>
      </c>
    </row>
    <row r="5" spans="1:10" x14ac:dyDescent="0.3">
      <c r="A5" s="1">
        <v>30771</v>
      </c>
      <c r="B5">
        <v>0.93500000000000005</v>
      </c>
      <c r="C5">
        <v>-25</v>
      </c>
      <c r="D5">
        <f t="shared" si="0"/>
        <v>0.93250000000000011</v>
      </c>
      <c r="E5" s="4">
        <f t="shared" si="1"/>
        <v>-7.0093457943924591E-3</v>
      </c>
    </row>
    <row r="6" spans="1:10" x14ac:dyDescent="0.3">
      <c r="A6" s="1">
        <v>30802</v>
      </c>
      <c r="B6">
        <v>0.92010000000000003</v>
      </c>
      <c r="C6">
        <v>-27</v>
      </c>
      <c r="D6">
        <f t="shared" si="0"/>
        <v>0.91739999999999999</v>
      </c>
      <c r="E6" s="4">
        <f t="shared" si="1"/>
        <v>-1.3297587131367373E-2</v>
      </c>
      <c r="J6" s="2"/>
    </row>
    <row r="7" spans="1:10" x14ac:dyDescent="0.3">
      <c r="A7" s="1">
        <v>30833</v>
      </c>
      <c r="B7">
        <v>0.8992</v>
      </c>
      <c r="C7">
        <v>-22</v>
      </c>
      <c r="D7">
        <f t="shared" si="0"/>
        <v>0.89700000000000002</v>
      </c>
      <c r="E7" s="4">
        <f t="shared" si="1"/>
        <v>-1.9838674514933503E-2</v>
      </c>
    </row>
    <row r="8" spans="1:10" x14ac:dyDescent="0.3">
      <c r="A8" s="1">
        <v>30862</v>
      </c>
      <c r="B8">
        <v>0.86129999999999995</v>
      </c>
      <c r="C8">
        <v>-3</v>
      </c>
      <c r="D8">
        <f t="shared" si="0"/>
        <v>0.86099999999999999</v>
      </c>
      <c r="E8" s="4">
        <f t="shared" si="1"/>
        <v>-3.9799331103679003E-2</v>
      </c>
    </row>
    <row r="9" spans="1:10" x14ac:dyDescent="0.3">
      <c r="A9" s="1">
        <v>30894</v>
      </c>
      <c r="B9">
        <v>0.83</v>
      </c>
      <c r="C9">
        <v>-3</v>
      </c>
      <c r="D9">
        <f t="shared" si="0"/>
        <v>0.82969999999999999</v>
      </c>
      <c r="E9" s="4">
        <f t="shared" si="1"/>
        <v>-3.6004645760743352E-2</v>
      </c>
    </row>
    <row r="10" spans="1:10" x14ac:dyDescent="0.3">
      <c r="A10" s="1">
        <v>30925</v>
      </c>
      <c r="B10">
        <v>0.8488</v>
      </c>
      <c r="C10">
        <v>6</v>
      </c>
      <c r="D10">
        <f t="shared" si="0"/>
        <v>0.84940000000000004</v>
      </c>
      <c r="E10" s="4">
        <f t="shared" si="1"/>
        <v>2.30203688080029E-2</v>
      </c>
    </row>
    <row r="11" spans="1:10" x14ac:dyDescent="0.3">
      <c r="A11" s="1">
        <v>30953</v>
      </c>
      <c r="B11">
        <v>0.83299999999999996</v>
      </c>
      <c r="C11">
        <v>6</v>
      </c>
      <c r="D11">
        <f t="shared" si="0"/>
        <v>0.83360000000000001</v>
      </c>
      <c r="E11" s="4">
        <f t="shared" si="1"/>
        <v>-1.9307746644690465E-2</v>
      </c>
    </row>
    <row r="12" spans="1:10" x14ac:dyDescent="0.3">
      <c r="A12" s="1">
        <v>30986</v>
      </c>
      <c r="B12">
        <v>0.84870000000000001</v>
      </c>
      <c r="C12">
        <v>-3</v>
      </c>
      <c r="D12">
        <f t="shared" si="0"/>
        <v>0.84840000000000004</v>
      </c>
      <c r="E12" s="4">
        <f t="shared" si="1"/>
        <v>1.8114203454894437E-2</v>
      </c>
    </row>
    <row r="13" spans="1:10" x14ac:dyDescent="0.3">
      <c r="A13" s="1">
        <v>31016</v>
      </c>
      <c r="B13">
        <v>0.85960000000000003</v>
      </c>
      <c r="C13">
        <v>-15</v>
      </c>
      <c r="D13">
        <f t="shared" si="0"/>
        <v>0.85810000000000008</v>
      </c>
      <c r="E13" s="4">
        <f t="shared" si="1"/>
        <v>1.3201320132013186E-2</v>
      </c>
    </row>
    <row r="14" spans="1:10" x14ac:dyDescent="0.3">
      <c r="A14" s="1">
        <v>31047</v>
      </c>
      <c r="B14">
        <v>0.82779999999999998</v>
      </c>
      <c r="C14">
        <v>-20</v>
      </c>
      <c r="D14">
        <f t="shared" si="0"/>
        <v>0.82579999999999998</v>
      </c>
      <c r="E14" s="4">
        <f t="shared" si="1"/>
        <v>-3.5310569863652372E-2</v>
      </c>
    </row>
    <row r="15" spans="1:10" x14ac:dyDescent="0.3">
      <c r="A15" s="1">
        <v>31078</v>
      </c>
      <c r="B15">
        <v>0.81499999999999995</v>
      </c>
      <c r="C15">
        <v>-23</v>
      </c>
      <c r="D15">
        <f t="shared" si="0"/>
        <v>0.81269999999999998</v>
      </c>
      <c r="E15" s="4">
        <f t="shared" si="1"/>
        <v>-1.3078227173649834E-2</v>
      </c>
    </row>
    <row r="16" spans="1:10" x14ac:dyDescent="0.3">
      <c r="A16" s="1">
        <v>31106</v>
      </c>
      <c r="B16">
        <v>0.71379999999999999</v>
      </c>
      <c r="C16">
        <v>-25</v>
      </c>
      <c r="D16">
        <f t="shared" si="0"/>
        <v>0.71130000000000004</v>
      </c>
      <c r="E16" s="4">
        <f t="shared" si="1"/>
        <v>-0.12169312169312169</v>
      </c>
    </row>
    <row r="17" spans="1:5" x14ac:dyDescent="0.3">
      <c r="A17" s="1">
        <v>31135</v>
      </c>
      <c r="B17">
        <v>0.70509999999999995</v>
      </c>
      <c r="C17">
        <v>-35</v>
      </c>
      <c r="D17">
        <f t="shared" si="0"/>
        <v>0.7016</v>
      </c>
      <c r="E17" s="4">
        <f t="shared" si="1"/>
        <v>-8.7164346970337332E-3</v>
      </c>
    </row>
    <row r="18" spans="1:5" x14ac:dyDescent="0.3">
      <c r="A18" s="1">
        <v>31167</v>
      </c>
      <c r="B18">
        <v>0.65229999999999999</v>
      </c>
      <c r="C18">
        <v>-43</v>
      </c>
      <c r="D18">
        <f t="shared" si="0"/>
        <v>0.64800000000000002</v>
      </c>
      <c r="E18" s="4">
        <f t="shared" si="1"/>
        <v>-7.0267958950969225E-2</v>
      </c>
    </row>
    <row r="19" spans="1:5" x14ac:dyDescent="0.3">
      <c r="A19" s="1">
        <v>31198</v>
      </c>
      <c r="B19">
        <v>0.65800000000000003</v>
      </c>
      <c r="C19">
        <v>-41</v>
      </c>
      <c r="D19">
        <f t="shared" si="0"/>
        <v>0.65390000000000004</v>
      </c>
      <c r="E19" s="4">
        <f t="shared" si="1"/>
        <v>1.5432098765432112E-2</v>
      </c>
    </row>
    <row r="20" spans="1:5" x14ac:dyDescent="0.3">
      <c r="A20" s="1">
        <v>31226</v>
      </c>
      <c r="B20">
        <v>0.66549999999999998</v>
      </c>
      <c r="C20">
        <v>-56</v>
      </c>
      <c r="D20">
        <f t="shared" si="0"/>
        <v>0.65989999999999993</v>
      </c>
      <c r="E20" s="4">
        <f t="shared" si="1"/>
        <v>1.7739715552836738E-2</v>
      </c>
    </row>
    <row r="21" spans="1:5" x14ac:dyDescent="0.3">
      <c r="A21" s="1">
        <v>31259</v>
      </c>
      <c r="B21">
        <v>0.72709999999999997</v>
      </c>
      <c r="C21">
        <v>-44</v>
      </c>
      <c r="D21">
        <f t="shared" si="0"/>
        <v>0.72270000000000001</v>
      </c>
      <c r="E21" s="4">
        <f t="shared" si="1"/>
        <v>0.10183361115320509</v>
      </c>
    </row>
    <row r="22" spans="1:5" x14ac:dyDescent="0.3">
      <c r="A22" s="1">
        <v>31289</v>
      </c>
      <c r="B22">
        <v>0.70340000000000003</v>
      </c>
      <c r="C22">
        <v>-54</v>
      </c>
      <c r="D22">
        <f t="shared" si="0"/>
        <v>0.69800000000000006</v>
      </c>
      <c r="E22" s="4">
        <f t="shared" si="1"/>
        <v>-2.6705410267054079E-2</v>
      </c>
    </row>
    <row r="23" spans="1:5" x14ac:dyDescent="0.3">
      <c r="A23" s="1">
        <v>31320</v>
      </c>
      <c r="B23">
        <v>0.7077</v>
      </c>
      <c r="C23">
        <v>-50</v>
      </c>
      <c r="D23">
        <f t="shared" si="0"/>
        <v>0.70269999999999999</v>
      </c>
      <c r="E23" s="4">
        <f t="shared" si="1"/>
        <v>1.3896848137535717E-2</v>
      </c>
    </row>
    <row r="24" spans="1:5" x14ac:dyDescent="0.3">
      <c r="A24" s="1">
        <v>31351</v>
      </c>
      <c r="B24">
        <v>0.70020000000000004</v>
      </c>
      <c r="C24">
        <v>-46</v>
      </c>
      <c r="D24">
        <f t="shared" si="0"/>
        <v>0.6956</v>
      </c>
      <c r="E24" s="4">
        <f t="shared" si="1"/>
        <v>-3.5577059911768134E-3</v>
      </c>
    </row>
    <row r="25" spans="1:5" x14ac:dyDescent="0.3">
      <c r="A25" s="1">
        <v>31380</v>
      </c>
      <c r="B25">
        <v>0.68500000000000005</v>
      </c>
      <c r="C25">
        <v>-63</v>
      </c>
      <c r="D25">
        <f t="shared" si="0"/>
        <v>0.67870000000000008</v>
      </c>
      <c r="E25" s="4">
        <f t="shared" si="1"/>
        <v>-1.5238642898217284E-2</v>
      </c>
    </row>
    <row r="26" spans="1:5" x14ac:dyDescent="0.3">
      <c r="A26" s="1">
        <v>31412</v>
      </c>
      <c r="B26">
        <v>0.68089999999999995</v>
      </c>
      <c r="C26">
        <v>-62</v>
      </c>
      <c r="D26">
        <f t="shared" si="0"/>
        <v>0.67469999999999997</v>
      </c>
      <c r="E26" s="4">
        <f t="shared" si="1"/>
        <v>3.2414910858993198E-3</v>
      </c>
    </row>
    <row r="27" spans="1:5" x14ac:dyDescent="0.3">
      <c r="A27" s="1">
        <v>31443</v>
      </c>
      <c r="B27">
        <v>0.71550000000000002</v>
      </c>
      <c r="C27">
        <v>-55</v>
      </c>
      <c r="D27">
        <f t="shared" si="0"/>
        <v>0.71000000000000008</v>
      </c>
      <c r="E27" s="4">
        <f t="shared" si="1"/>
        <v>6.0471320586927613E-2</v>
      </c>
    </row>
    <row r="28" spans="1:5" x14ac:dyDescent="0.3">
      <c r="A28" s="1">
        <v>31471</v>
      </c>
      <c r="B28">
        <v>0.70120000000000005</v>
      </c>
      <c r="C28">
        <v>-56</v>
      </c>
      <c r="D28">
        <f t="shared" si="0"/>
        <v>0.6956</v>
      </c>
      <c r="E28" s="4">
        <f t="shared" si="1"/>
        <v>-1.239436619718314E-2</v>
      </c>
    </row>
    <row r="29" spans="1:5" x14ac:dyDescent="0.3">
      <c r="A29" s="1">
        <v>31502</v>
      </c>
      <c r="B29">
        <v>0.71189999999999998</v>
      </c>
      <c r="C29">
        <v>-50</v>
      </c>
      <c r="D29">
        <f t="shared" si="0"/>
        <v>0.70689999999999997</v>
      </c>
      <c r="E29" s="4">
        <f t="shared" si="1"/>
        <v>2.3433007475560642E-2</v>
      </c>
    </row>
    <row r="30" spans="1:5" x14ac:dyDescent="0.3">
      <c r="A30" s="1">
        <v>31532</v>
      </c>
      <c r="B30">
        <v>0.73909999999999998</v>
      </c>
      <c r="C30">
        <v>-61</v>
      </c>
      <c r="D30">
        <f t="shared" si="0"/>
        <v>0.73299999999999998</v>
      </c>
      <c r="E30" s="4">
        <f t="shared" si="1"/>
        <v>4.5550997312208241E-2</v>
      </c>
    </row>
    <row r="31" spans="1:5" x14ac:dyDescent="0.3">
      <c r="A31" s="1">
        <v>31562</v>
      </c>
      <c r="B31">
        <v>0.71660000000000001</v>
      </c>
      <c r="C31">
        <v>-46</v>
      </c>
      <c r="D31">
        <f t="shared" si="0"/>
        <v>0.71199999999999997</v>
      </c>
      <c r="E31" s="4">
        <f t="shared" si="1"/>
        <v>-2.237380627557977E-2</v>
      </c>
    </row>
    <row r="32" spans="1:5" x14ac:dyDescent="0.3">
      <c r="A32" s="1">
        <v>31593</v>
      </c>
      <c r="B32">
        <v>0.67720000000000002</v>
      </c>
      <c r="C32">
        <v>-44</v>
      </c>
      <c r="D32">
        <f t="shared" si="0"/>
        <v>0.67280000000000006</v>
      </c>
      <c r="E32" s="4">
        <f t="shared" si="1"/>
        <v>-4.8876404494381943E-2</v>
      </c>
    </row>
    <row r="33" spans="1:5" x14ac:dyDescent="0.3">
      <c r="A33" s="1">
        <v>31624</v>
      </c>
      <c r="B33">
        <v>0.59799999999999998</v>
      </c>
      <c r="C33">
        <v>-44</v>
      </c>
      <c r="D33">
        <f t="shared" si="0"/>
        <v>0.59360000000000002</v>
      </c>
      <c r="E33" s="4">
        <f t="shared" si="1"/>
        <v>-0.11117717003567194</v>
      </c>
    </row>
    <row r="34" spans="1:5" x14ac:dyDescent="0.3">
      <c r="A34" s="1">
        <v>31653</v>
      </c>
      <c r="B34">
        <v>0.60850000000000004</v>
      </c>
      <c r="C34">
        <v>-61</v>
      </c>
      <c r="D34">
        <f t="shared" si="0"/>
        <v>0.60240000000000005</v>
      </c>
      <c r="E34" s="4">
        <f t="shared" si="1"/>
        <v>2.5101078167115945E-2</v>
      </c>
    </row>
    <row r="35" spans="1:5" x14ac:dyDescent="0.3">
      <c r="A35" s="1">
        <v>31685</v>
      </c>
      <c r="B35">
        <v>0.62739999999999996</v>
      </c>
      <c r="C35">
        <v>-62</v>
      </c>
      <c r="D35">
        <f t="shared" si="0"/>
        <v>0.62119999999999997</v>
      </c>
      <c r="E35" s="4">
        <f t="shared" si="1"/>
        <v>4.1500664010624022E-2</v>
      </c>
    </row>
    <row r="36" spans="1:5" x14ac:dyDescent="0.3">
      <c r="A36" s="1">
        <v>31716</v>
      </c>
      <c r="B36">
        <v>0.64200000000000002</v>
      </c>
      <c r="C36">
        <v>-52</v>
      </c>
      <c r="D36">
        <f t="shared" si="0"/>
        <v>0.63680000000000003</v>
      </c>
      <c r="E36" s="4">
        <f t="shared" si="1"/>
        <v>3.3483580167417967E-2</v>
      </c>
    </row>
    <row r="37" spans="1:5" x14ac:dyDescent="0.3">
      <c r="A37" s="1">
        <v>31744</v>
      </c>
      <c r="B37">
        <v>0.64880000000000004</v>
      </c>
      <c r="C37">
        <v>-57</v>
      </c>
      <c r="D37">
        <f t="shared" si="0"/>
        <v>0.6431</v>
      </c>
      <c r="E37" s="4">
        <f t="shared" si="1"/>
        <v>1.8844221105527654E-2</v>
      </c>
    </row>
    <row r="38" spans="1:5" x14ac:dyDescent="0.3">
      <c r="A38" s="1">
        <v>31777</v>
      </c>
      <c r="B38">
        <v>0.66479999999999995</v>
      </c>
      <c r="C38">
        <v>-41</v>
      </c>
      <c r="D38">
        <f t="shared" si="0"/>
        <v>0.66069999999999995</v>
      </c>
      <c r="E38" s="4">
        <f t="shared" si="1"/>
        <v>3.3742808272430327E-2</v>
      </c>
    </row>
    <row r="39" spans="1:5" x14ac:dyDescent="0.3">
      <c r="A39" s="1">
        <v>31807</v>
      </c>
      <c r="B39">
        <v>0.66080000000000005</v>
      </c>
      <c r="C39">
        <v>-56</v>
      </c>
      <c r="D39">
        <f t="shared" si="0"/>
        <v>0.6552</v>
      </c>
      <c r="E39" s="4">
        <f t="shared" si="1"/>
        <v>1.5135462388391103E-4</v>
      </c>
    </row>
    <row r="40" spans="1:5" x14ac:dyDescent="0.3">
      <c r="A40" s="1">
        <v>31835</v>
      </c>
      <c r="B40">
        <v>0.67479999999999996</v>
      </c>
      <c r="C40">
        <v>-55</v>
      </c>
      <c r="D40">
        <f t="shared" si="0"/>
        <v>0.66930000000000001</v>
      </c>
      <c r="E40" s="4">
        <f t="shared" si="1"/>
        <v>2.9914529914529839E-2</v>
      </c>
    </row>
    <row r="41" spans="1:5" x14ac:dyDescent="0.3">
      <c r="A41" s="1">
        <v>31867</v>
      </c>
      <c r="B41">
        <v>0.70530000000000004</v>
      </c>
      <c r="C41">
        <v>-58</v>
      </c>
      <c r="D41">
        <f t="shared" si="0"/>
        <v>0.69950000000000001</v>
      </c>
      <c r="E41" s="4">
        <f t="shared" si="1"/>
        <v>5.3787539220080727E-2</v>
      </c>
    </row>
    <row r="42" spans="1:5" x14ac:dyDescent="0.3">
      <c r="A42" s="1">
        <v>31897</v>
      </c>
      <c r="B42">
        <v>0.70479999999999998</v>
      </c>
      <c r="C42">
        <v>-45</v>
      </c>
      <c r="D42">
        <f t="shared" si="0"/>
        <v>0.70030000000000003</v>
      </c>
      <c r="E42" s="4">
        <f t="shared" si="1"/>
        <v>7.5768406004288365E-3</v>
      </c>
    </row>
    <row r="43" spans="1:5" x14ac:dyDescent="0.3">
      <c r="A43" s="1">
        <v>31926</v>
      </c>
      <c r="B43">
        <v>0.7137</v>
      </c>
      <c r="C43">
        <v>-39</v>
      </c>
      <c r="D43">
        <f t="shared" si="0"/>
        <v>0.70979999999999999</v>
      </c>
      <c r="E43" s="4">
        <f t="shared" si="1"/>
        <v>1.9134656575753202E-2</v>
      </c>
    </row>
    <row r="44" spans="1:5" x14ac:dyDescent="0.3">
      <c r="A44" s="1">
        <v>31958</v>
      </c>
      <c r="B44">
        <v>0.72030000000000005</v>
      </c>
      <c r="C44">
        <v>-36</v>
      </c>
      <c r="D44">
        <f t="shared" si="0"/>
        <v>0.7167</v>
      </c>
      <c r="E44" s="4">
        <f t="shared" si="1"/>
        <v>1.4792899408284115E-2</v>
      </c>
    </row>
    <row r="45" spans="1:5" x14ac:dyDescent="0.3">
      <c r="A45" s="1">
        <v>31989</v>
      </c>
      <c r="B45">
        <v>0.69779999999999998</v>
      </c>
      <c r="C45">
        <v>-35</v>
      </c>
      <c r="D45">
        <f t="shared" si="0"/>
        <v>0.69430000000000003</v>
      </c>
      <c r="E45" s="4">
        <f t="shared" si="1"/>
        <v>-2.6370866471326953E-2</v>
      </c>
    </row>
    <row r="46" spans="1:5" x14ac:dyDescent="0.3">
      <c r="A46" s="1">
        <v>32020</v>
      </c>
      <c r="B46">
        <v>0.71240000000000003</v>
      </c>
      <c r="C46">
        <v>-30</v>
      </c>
      <c r="D46">
        <f t="shared" si="0"/>
        <v>0.70940000000000003</v>
      </c>
      <c r="E46" s="4">
        <f t="shared" si="1"/>
        <v>2.6069422439867498E-2</v>
      </c>
    </row>
    <row r="47" spans="1:5" x14ac:dyDescent="0.3">
      <c r="A47" s="1">
        <v>32050</v>
      </c>
      <c r="B47">
        <v>0.71940000000000004</v>
      </c>
      <c r="C47">
        <v>-18</v>
      </c>
      <c r="D47">
        <f t="shared" si="0"/>
        <v>0.71760000000000002</v>
      </c>
      <c r="E47" s="4">
        <f t="shared" si="1"/>
        <v>1.4096419509444612E-2</v>
      </c>
    </row>
    <row r="48" spans="1:5" x14ac:dyDescent="0.3">
      <c r="A48" s="1">
        <v>32080</v>
      </c>
      <c r="B48">
        <v>0.67569999999999997</v>
      </c>
      <c r="C48">
        <v>-29</v>
      </c>
      <c r="D48">
        <f t="shared" si="0"/>
        <v>0.67279999999999995</v>
      </c>
      <c r="E48" s="4">
        <f t="shared" si="1"/>
        <v>-5.8389074693422582E-2</v>
      </c>
    </row>
    <row r="49" spans="1:5" x14ac:dyDescent="0.3">
      <c r="A49" s="1">
        <v>32111</v>
      </c>
      <c r="B49">
        <v>0.70520000000000005</v>
      </c>
      <c r="C49">
        <v>-22</v>
      </c>
      <c r="D49">
        <f t="shared" si="0"/>
        <v>0.70300000000000007</v>
      </c>
      <c r="E49" s="4">
        <f t="shared" si="1"/>
        <v>4.815695600475639E-2</v>
      </c>
    </row>
    <row r="50" spans="1:5" x14ac:dyDescent="0.3">
      <c r="A50" s="1">
        <v>32142</v>
      </c>
      <c r="B50">
        <v>0.72250000000000003</v>
      </c>
      <c r="C50">
        <v>-20</v>
      </c>
      <c r="D50">
        <f t="shared" si="0"/>
        <v>0.72050000000000003</v>
      </c>
      <c r="E50" s="4">
        <f t="shared" si="1"/>
        <v>2.7738264580369786E-2</v>
      </c>
    </row>
    <row r="51" spans="1:5" x14ac:dyDescent="0.3">
      <c r="A51" s="1">
        <v>32171</v>
      </c>
      <c r="B51">
        <v>0.71379999999999999</v>
      </c>
      <c r="C51">
        <v>-20</v>
      </c>
      <c r="D51">
        <f t="shared" si="0"/>
        <v>0.71179999999999999</v>
      </c>
      <c r="E51" s="4">
        <f t="shared" si="1"/>
        <v>-9.2990978487162233E-3</v>
      </c>
    </row>
    <row r="52" spans="1:5" x14ac:dyDescent="0.3">
      <c r="A52" s="1">
        <v>32202</v>
      </c>
      <c r="B52">
        <v>0.7198</v>
      </c>
      <c r="C52">
        <v>-27</v>
      </c>
      <c r="D52">
        <f t="shared" si="0"/>
        <v>0.71709999999999996</v>
      </c>
      <c r="E52" s="4">
        <f t="shared" si="1"/>
        <v>1.1239112110143308E-2</v>
      </c>
    </row>
    <row r="53" spans="1:5" x14ac:dyDescent="0.3">
      <c r="A53" s="1">
        <v>32233</v>
      </c>
      <c r="B53">
        <v>0.73880000000000001</v>
      </c>
      <c r="C53">
        <v>-29</v>
      </c>
      <c r="D53">
        <f t="shared" si="0"/>
        <v>0.7359</v>
      </c>
      <c r="E53" s="4">
        <f t="shared" si="1"/>
        <v>3.0260772556128926E-2</v>
      </c>
    </row>
    <row r="54" spans="1:5" x14ac:dyDescent="0.3">
      <c r="A54" s="1">
        <v>32262</v>
      </c>
      <c r="B54">
        <v>0.75849999999999995</v>
      </c>
      <c r="C54">
        <v>-26</v>
      </c>
      <c r="D54">
        <f t="shared" si="0"/>
        <v>0.75589999999999991</v>
      </c>
      <c r="E54" s="4">
        <f t="shared" si="1"/>
        <v>3.071069438782437E-2</v>
      </c>
    </row>
    <row r="55" spans="1:5" x14ac:dyDescent="0.3">
      <c r="A55" s="1">
        <v>32294</v>
      </c>
      <c r="B55">
        <v>0.80510000000000004</v>
      </c>
      <c r="C55">
        <v>-36</v>
      </c>
      <c r="D55">
        <f t="shared" si="0"/>
        <v>0.80149999999999999</v>
      </c>
      <c r="E55" s="4">
        <f t="shared" si="1"/>
        <v>6.5087974599814968E-2</v>
      </c>
    </row>
    <row r="56" spans="1:5" x14ac:dyDescent="0.3">
      <c r="A56" s="1">
        <v>32324</v>
      </c>
      <c r="B56">
        <v>0.79400000000000004</v>
      </c>
      <c r="C56">
        <v>-33</v>
      </c>
      <c r="D56">
        <f t="shared" si="0"/>
        <v>0.79070000000000007</v>
      </c>
      <c r="E56" s="4">
        <f t="shared" si="1"/>
        <v>-9.3574547723018729E-3</v>
      </c>
    </row>
    <row r="57" spans="1:5" x14ac:dyDescent="0.3">
      <c r="A57" s="1">
        <v>32353</v>
      </c>
      <c r="B57">
        <v>0.80449999999999999</v>
      </c>
      <c r="C57">
        <v>-34</v>
      </c>
      <c r="D57">
        <f t="shared" si="0"/>
        <v>0.80110000000000003</v>
      </c>
      <c r="E57" s="4">
        <f t="shared" si="1"/>
        <v>1.7452889844441537E-2</v>
      </c>
    </row>
    <row r="58" spans="1:5" x14ac:dyDescent="0.3">
      <c r="A58" s="1">
        <v>32386</v>
      </c>
      <c r="B58">
        <v>0.80689999999999995</v>
      </c>
      <c r="C58">
        <v>-33</v>
      </c>
      <c r="D58">
        <f t="shared" si="0"/>
        <v>0.80359999999999998</v>
      </c>
      <c r="E58" s="4">
        <f t="shared" si="1"/>
        <v>7.2400449382098563E-3</v>
      </c>
    </row>
    <row r="59" spans="1:5" x14ac:dyDescent="0.3">
      <c r="A59" s="1">
        <v>32416</v>
      </c>
      <c r="B59">
        <v>0.78290000000000004</v>
      </c>
      <c r="C59">
        <v>-34</v>
      </c>
      <c r="D59">
        <f t="shared" si="0"/>
        <v>0.77950000000000008</v>
      </c>
      <c r="E59" s="4">
        <f t="shared" si="1"/>
        <v>-2.5759084121453387E-2</v>
      </c>
    </row>
    <row r="60" spans="1:5" x14ac:dyDescent="0.3">
      <c r="A60" s="1">
        <v>32447</v>
      </c>
      <c r="B60">
        <v>0.8256</v>
      </c>
      <c r="C60">
        <v>-37</v>
      </c>
      <c r="D60">
        <f t="shared" si="0"/>
        <v>0.82189999999999996</v>
      </c>
      <c r="E60" s="4">
        <f t="shared" si="1"/>
        <v>5.9140474663245561E-2</v>
      </c>
    </row>
    <row r="61" spans="1:5" x14ac:dyDescent="0.3">
      <c r="A61" s="1">
        <v>32477</v>
      </c>
      <c r="B61">
        <v>0.87809999999999999</v>
      </c>
      <c r="C61">
        <v>-36</v>
      </c>
      <c r="D61">
        <f t="shared" si="0"/>
        <v>0.87449999999999994</v>
      </c>
      <c r="E61" s="4">
        <f t="shared" si="1"/>
        <v>6.8378148193210891E-2</v>
      </c>
    </row>
    <row r="62" spans="1:5" x14ac:dyDescent="0.3">
      <c r="A62" s="1">
        <v>32507</v>
      </c>
      <c r="B62">
        <v>0.85550000000000004</v>
      </c>
      <c r="C62">
        <v>-36</v>
      </c>
      <c r="D62">
        <f t="shared" si="0"/>
        <v>0.85189999999999999</v>
      </c>
      <c r="E62" s="4">
        <f t="shared" si="1"/>
        <v>-2.1726700971983884E-2</v>
      </c>
    </row>
    <row r="63" spans="1:5" x14ac:dyDescent="0.3">
      <c r="A63" s="1">
        <v>32539</v>
      </c>
      <c r="B63">
        <v>0.88900000000000001</v>
      </c>
      <c r="C63">
        <v>-30</v>
      </c>
      <c r="D63">
        <f t="shared" si="0"/>
        <v>0.88600000000000001</v>
      </c>
      <c r="E63" s="4">
        <f t="shared" si="1"/>
        <v>4.3549712407559601E-2</v>
      </c>
    </row>
    <row r="64" spans="1:5" x14ac:dyDescent="0.3">
      <c r="A64" s="1">
        <v>32567</v>
      </c>
      <c r="B64">
        <v>0.80149999999999999</v>
      </c>
      <c r="C64">
        <v>-42</v>
      </c>
      <c r="D64">
        <f t="shared" si="0"/>
        <v>0.79730000000000001</v>
      </c>
      <c r="E64" s="4">
        <f t="shared" si="1"/>
        <v>-9.537246049661402E-2</v>
      </c>
    </row>
    <row r="65" spans="1:5" x14ac:dyDescent="0.3">
      <c r="A65" s="1">
        <v>32598</v>
      </c>
      <c r="B65">
        <v>0.81950000000000001</v>
      </c>
      <c r="C65">
        <v>-44</v>
      </c>
      <c r="D65">
        <f t="shared" si="0"/>
        <v>0.81510000000000005</v>
      </c>
      <c r="E65" s="4">
        <f t="shared" si="1"/>
        <v>2.7843973410259622E-2</v>
      </c>
    </row>
    <row r="66" spans="1:5" x14ac:dyDescent="0.3">
      <c r="A66" s="1">
        <v>32626</v>
      </c>
      <c r="B66">
        <v>0.79420000000000002</v>
      </c>
      <c r="C66">
        <v>-45</v>
      </c>
      <c r="D66">
        <f t="shared" si="0"/>
        <v>0.78970000000000007</v>
      </c>
      <c r="E66" s="4">
        <f t="shared" si="1"/>
        <v>-2.5641025641025675E-2</v>
      </c>
    </row>
    <row r="67" spans="1:5" x14ac:dyDescent="0.3">
      <c r="A67" s="1">
        <v>32659</v>
      </c>
      <c r="B67">
        <v>0.75249999999999995</v>
      </c>
      <c r="C67">
        <v>-49</v>
      </c>
      <c r="D67">
        <f t="shared" ref="D67:D130" si="2">B67+C67/10^4</f>
        <v>0.74759999999999993</v>
      </c>
      <c r="E67" s="4">
        <f t="shared" si="1"/>
        <v>-4.7106496137773991E-2</v>
      </c>
    </row>
    <row r="68" spans="1:5" x14ac:dyDescent="0.3">
      <c r="A68" s="1">
        <v>32689</v>
      </c>
      <c r="B68">
        <v>0.75600000000000001</v>
      </c>
      <c r="C68">
        <v>-58</v>
      </c>
      <c r="D68">
        <f t="shared" si="2"/>
        <v>0.75019999999999998</v>
      </c>
      <c r="E68" s="4">
        <f t="shared" ref="E68:E131" si="3">(B68-D67)/D67</f>
        <v>1.1235955056179876E-2</v>
      </c>
    </row>
    <row r="69" spans="1:5" x14ac:dyDescent="0.3">
      <c r="A69" s="1">
        <v>32720</v>
      </c>
      <c r="B69">
        <v>0.76049999999999995</v>
      </c>
      <c r="C69">
        <v>-63</v>
      </c>
      <c r="D69">
        <f t="shared" si="2"/>
        <v>0.75419999999999998</v>
      </c>
      <c r="E69" s="4">
        <f t="shared" si="3"/>
        <v>1.3729672087443317E-2</v>
      </c>
    </row>
    <row r="70" spans="1:5" x14ac:dyDescent="0.3">
      <c r="A70" s="1">
        <v>32751</v>
      </c>
      <c r="B70">
        <v>0.76500000000000001</v>
      </c>
      <c r="C70">
        <v>-58</v>
      </c>
      <c r="D70">
        <f t="shared" si="2"/>
        <v>0.75919999999999999</v>
      </c>
      <c r="E70" s="4">
        <f t="shared" si="3"/>
        <v>1.4319809069212453E-2</v>
      </c>
    </row>
    <row r="71" spans="1:5" x14ac:dyDescent="0.3">
      <c r="A71" s="1">
        <v>32780</v>
      </c>
      <c r="B71">
        <v>0.77849999999999997</v>
      </c>
      <c r="C71">
        <v>-54.92</v>
      </c>
      <c r="D71">
        <f t="shared" si="2"/>
        <v>0.77300799999999992</v>
      </c>
      <c r="E71" s="4">
        <f t="shared" si="3"/>
        <v>2.5421496311907248E-2</v>
      </c>
    </row>
    <row r="72" spans="1:5" x14ac:dyDescent="0.3">
      <c r="A72" s="1">
        <v>32812</v>
      </c>
      <c r="B72">
        <v>0.78249999999999997</v>
      </c>
      <c r="C72">
        <v>-64.33</v>
      </c>
      <c r="D72">
        <f t="shared" si="2"/>
        <v>0.77606699999999995</v>
      </c>
      <c r="E72" s="4">
        <f t="shared" si="3"/>
        <v>1.2279303707076843E-2</v>
      </c>
    </row>
    <row r="73" spans="1:5" x14ac:dyDescent="0.3">
      <c r="A73" s="1">
        <v>32842</v>
      </c>
      <c r="B73">
        <v>0.78649999999999998</v>
      </c>
      <c r="C73">
        <v>-57</v>
      </c>
      <c r="D73">
        <f t="shared" si="2"/>
        <v>0.78079999999999994</v>
      </c>
      <c r="E73" s="4">
        <f t="shared" si="3"/>
        <v>1.3443426920613847E-2</v>
      </c>
    </row>
    <row r="74" spans="1:5" x14ac:dyDescent="0.3">
      <c r="A74" s="1">
        <v>32871</v>
      </c>
      <c r="B74">
        <v>0.78900000000000003</v>
      </c>
      <c r="C74">
        <v>-61</v>
      </c>
      <c r="D74">
        <f t="shared" si="2"/>
        <v>0.78290000000000004</v>
      </c>
      <c r="E74" s="4">
        <f t="shared" si="3"/>
        <v>1.0502049180327993E-2</v>
      </c>
    </row>
    <row r="75" spans="1:5" x14ac:dyDescent="0.3">
      <c r="A75" s="1">
        <v>32904</v>
      </c>
      <c r="B75">
        <v>0.77359999999999995</v>
      </c>
      <c r="C75">
        <v>-65</v>
      </c>
      <c r="D75">
        <f t="shared" si="2"/>
        <v>0.7671</v>
      </c>
      <c r="E75" s="4">
        <f t="shared" si="3"/>
        <v>-1.187891173840859E-2</v>
      </c>
    </row>
    <row r="76" spans="1:5" x14ac:dyDescent="0.3">
      <c r="A76" s="1">
        <v>32932</v>
      </c>
      <c r="B76">
        <v>0.76060000000000005</v>
      </c>
      <c r="C76">
        <v>-48</v>
      </c>
      <c r="D76">
        <f t="shared" si="2"/>
        <v>0.75580000000000003</v>
      </c>
      <c r="E76" s="4">
        <f t="shared" si="3"/>
        <v>-8.4734715160995309E-3</v>
      </c>
    </row>
    <row r="77" spans="1:5" x14ac:dyDescent="0.3">
      <c r="A77" s="1">
        <v>32962</v>
      </c>
      <c r="B77">
        <v>0.75549999999999995</v>
      </c>
      <c r="C77">
        <v>-41</v>
      </c>
      <c r="D77">
        <f t="shared" si="2"/>
        <v>0.75139999999999996</v>
      </c>
      <c r="E77" s="4">
        <f t="shared" si="3"/>
        <v>-3.9693040486911613E-4</v>
      </c>
    </row>
    <row r="78" spans="1:5" x14ac:dyDescent="0.3">
      <c r="A78" s="1">
        <v>32993</v>
      </c>
      <c r="B78">
        <v>0.75329999999999997</v>
      </c>
      <c r="C78">
        <v>-65</v>
      </c>
      <c r="D78">
        <f t="shared" si="2"/>
        <v>0.74680000000000002</v>
      </c>
      <c r="E78" s="4">
        <f t="shared" si="3"/>
        <v>2.5286132552568711E-3</v>
      </c>
    </row>
    <row r="79" spans="1:5" x14ac:dyDescent="0.3">
      <c r="A79" s="1">
        <v>33024</v>
      </c>
      <c r="B79">
        <v>0.76880000000000004</v>
      </c>
      <c r="C79">
        <v>-51.02</v>
      </c>
      <c r="D79">
        <f t="shared" si="2"/>
        <v>0.76369799999999999</v>
      </c>
      <c r="E79" s="4">
        <f t="shared" si="3"/>
        <v>2.9459025174076083E-2</v>
      </c>
    </row>
    <row r="80" spans="1:5" x14ac:dyDescent="0.3">
      <c r="A80" s="1">
        <v>33053</v>
      </c>
      <c r="B80">
        <v>0.79500000000000004</v>
      </c>
      <c r="C80">
        <v>-62</v>
      </c>
      <c r="D80">
        <f t="shared" si="2"/>
        <v>0.78880000000000006</v>
      </c>
      <c r="E80" s="4">
        <f t="shared" si="3"/>
        <v>4.0987406016514454E-2</v>
      </c>
    </row>
    <row r="81" spans="1:5" x14ac:dyDescent="0.3">
      <c r="A81" s="1">
        <v>33085</v>
      </c>
      <c r="B81">
        <v>0.79679999999999995</v>
      </c>
      <c r="C81">
        <v>-29</v>
      </c>
      <c r="D81">
        <f t="shared" si="2"/>
        <v>0.79389999999999994</v>
      </c>
      <c r="E81" s="4">
        <f t="shared" si="3"/>
        <v>1.0141987829614472E-2</v>
      </c>
    </row>
    <row r="82" spans="1:5" x14ac:dyDescent="0.3">
      <c r="A82" s="1">
        <v>33116</v>
      </c>
      <c r="B82">
        <v>0.8145</v>
      </c>
      <c r="C82">
        <v>-38</v>
      </c>
      <c r="D82">
        <f t="shared" si="2"/>
        <v>0.81069999999999998</v>
      </c>
      <c r="E82" s="4">
        <f t="shared" si="3"/>
        <v>2.5947852374354534E-2</v>
      </c>
    </row>
    <row r="83" spans="1:5" x14ac:dyDescent="0.3">
      <c r="A83" s="1">
        <v>33144</v>
      </c>
      <c r="B83">
        <v>0.82650000000000001</v>
      </c>
      <c r="C83">
        <v>-36</v>
      </c>
      <c r="D83">
        <f t="shared" si="2"/>
        <v>0.82289999999999996</v>
      </c>
      <c r="E83" s="4">
        <f t="shared" si="3"/>
        <v>1.9489330208461868E-2</v>
      </c>
    </row>
    <row r="84" spans="1:5" x14ac:dyDescent="0.3">
      <c r="A84" s="1">
        <v>33177</v>
      </c>
      <c r="B84">
        <v>0.7863</v>
      </c>
      <c r="C84">
        <v>-31</v>
      </c>
      <c r="D84">
        <f t="shared" si="2"/>
        <v>0.78320000000000001</v>
      </c>
      <c r="E84" s="4">
        <f t="shared" si="3"/>
        <v>-4.4476850164053915E-2</v>
      </c>
    </row>
    <row r="85" spans="1:5" x14ac:dyDescent="0.3">
      <c r="A85" s="1">
        <v>33207</v>
      </c>
      <c r="B85">
        <v>0.77290000000000003</v>
      </c>
      <c r="C85">
        <v>-23.21</v>
      </c>
      <c r="D85">
        <f t="shared" si="2"/>
        <v>0.77057900000000001</v>
      </c>
      <c r="E85" s="4">
        <f t="shared" si="3"/>
        <v>-1.315117466802857E-2</v>
      </c>
    </row>
    <row r="86" spans="1:5" x14ac:dyDescent="0.3">
      <c r="A86" s="1">
        <v>33238</v>
      </c>
      <c r="B86">
        <v>0.77149999999999996</v>
      </c>
      <c r="C86">
        <v>-27</v>
      </c>
      <c r="D86">
        <f t="shared" si="2"/>
        <v>0.76879999999999993</v>
      </c>
      <c r="E86" s="4">
        <f t="shared" si="3"/>
        <v>1.195205163909151E-3</v>
      </c>
    </row>
    <row r="87" spans="1:5" x14ac:dyDescent="0.3">
      <c r="A87" s="1">
        <v>33269</v>
      </c>
      <c r="B87">
        <v>0.78469999999999995</v>
      </c>
      <c r="C87">
        <v>-75</v>
      </c>
      <c r="D87">
        <f t="shared" si="2"/>
        <v>0.7772</v>
      </c>
      <c r="E87" s="4">
        <f t="shared" si="3"/>
        <v>2.0681581685744053E-2</v>
      </c>
    </row>
    <row r="88" spans="1:5" x14ac:dyDescent="0.3">
      <c r="A88" s="1">
        <v>33297</v>
      </c>
      <c r="B88">
        <v>0.78769999999999996</v>
      </c>
      <c r="C88">
        <v>-31</v>
      </c>
      <c r="D88">
        <f t="shared" si="2"/>
        <v>0.78459999999999996</v>
      </c>
      <c r="E88" s="4">
        <f t="shared" si="3"/>
        <v>1.3510036026762678E-2</v>
      </c>
    </row>
    <row r="89" spans="1:5" x14ac:dyDescent="0.3">
      <c r="A89" s="1">
        <v>33326</v>
      </c>
      <c r="B89">
        <v>0.77749999999999997</v>
      </c>
      <c r="C89">
        <v>-35</v>
      </c>
      <c r="D89">
        <f t="shared" si="2"/>
        <v>0.77400000000000002</v>
      </c>
      <c r="E89" s="4">
        <f t="shared" si="3"/>
        <v>-9.0491970430792712E-3</v>
      </c>
    </row>
    <row r="90" spans="1:5" x14ac:dyDescent="0.3">
      <c r="A90" s="1">
        <v>33358</v>
      </c>
      <c r="B90">
        <v>0.78380000000000005</v>
      </c>
      <c r="C90">
        <v>-28</v>
      </c>
      <c r="D90">
        <f t="shared" si="2"/>
        <v>0.78100000000000003</v>
      </c>
      <c r="E90" s="4">
        <f t="shared" si="3"/>
        <v>1.2661498708010376E-2</v>
      </c>
    </row>
    <row r="91" spans="1:5" x14ac:dyDescent="0.3">
      <c r="A91" s="1">
        <v>33389</v>
      </c>
      <c r="B91">
        <v>0.75970000000000004</v>
      </c>
      <c r="C91">
        <v>-23.7</v>
      </c>
      <c r="D91">
        <f t="shared" si="2"/>
        <v>0.75733000000000006</v>
      </c>
      <c r="E91" s="4">
        <f t="shared" si="3"/>
        <v>-2.7272727272727254E-2</v>
      </c>
    </row>
    <row r="92" spans="1:5" x14ac:dyDescent="0.3">
      <c r="A92" s="1">
        <v>33417</v>
      </c>
      <c r="B92">
        <v>0.76729999999999998</v>
      </c>
      <c r="C92">
        <v>-28.16</v>
      </c>
      <c r="D92">
        <f t="shared" si="2"/>
        <v>0.76448399999999994</v>
      </c>
      <c r="E92" s="4">
        <f t="shared" si="3"/>
        <v>1.3164670619148749E-2</v>
      </c>
    </row>
    <row r="93" spans="1:5" x14ac:dyDescent="0.3">
      <c r="A93" s="1">
        <v>33450</v>
      </c>
      <c r="B93">
        <v>0.77790000000000004</v>
      </c>
      <c r="C93">
        <v>-28</v>
      </c>
      <c r="D93">
        <f t="shared" si="2"/>
        <v>0.77510000000000001</v>
      </c>
      <c r="E93" s="4">
        <f t="shared" si="3"/>
        <v>1.7549091936522015E-2</v>
      </c>
    </row>
    <row r="94" spans="1:5" x14ac:dyDescent="0.3">
      <c r="A94" s="1">
        <v>33480</v>
      </c>
      <c r="B94">
        <v>0.78480000000000005</v>
      </c>
      <c r="C94">
        <v>-25</v>
      </c>
      <c r="D94">
        <f t="shared" si="2"/>
        <v>0.78230000000000011</v>
      </c>
      <c r="E94" s="4">
        <f t="shared" si="3"/>
        <v>1.2514514256225058E-2</v>
      </c>
    </row>
    <row r="95" spans="1:5" x14ac:dyDescent="0.3">
      <c r="A95" s="1">
        <v>33511</v>
      </c>
      <c r="B95">
        <v>0.79749999999999999</v>
      </c>
      <c r="C95">
        <v>-13.98</v>
      </c>
      <c r="D95">
        <f t="shared" si="2"/>
        <v>0.79610199999999998</v>
      </c>
      <c r="E95" s="4">
        <f t="shared" si="3"/>
        <v>1.9429886232902822E-2</v>
      </c>
    </row>
    <row r="96" spans="1:5" x14ac:dyDescent="0.3">
      <c r="A96" s="1">
        <v>33542</v>
      </c>
      <c r="B96">
        <v>0.78339999999999999</v>
      </c>
      <c r="C96">
        <v>-23</v>
      </c>
      <c r="D96">
        <f t="shared" si="2"/>
        <v>0.78110000000000002</v>
      </c>
      <c r="E96" s="4">
        <f t="shared" si="3"/>
        <v>-1.5955241916236852E-2</v>
      </c>
    </row>
    <row r="97" spans="1:5" x14ac:dyDescent="0.3">
      <c r="A97" s="1">
        <v>33571</v>
      </c>
      <c r="B97">
        <v>0.78480000000000005</v>
      </c>
      <c r="C97">
        <v>-24.71</v>
      </c>
      <c r="D97">
        <f t="shared" si="2"/>
        <v>0.78232900000000005</v>
      </c>
      <c r="E97" s="4">
        <f t="shared" si="3"/>
        <v>4.7369094866214784E-3</v>
      </c>
    </row>
    <row r="98" spans="1:5" x14ac:dyDescent="0.3">
      <c r="A98" s="1">
        <v>33603</v>
      </c>
      <c r="B98">
        <v>0.76219999999999999</v>
      </c>
      <c r="C98">
        <v>-20</v>
      </c>
      <c r="D98">
        <f t="shared" si="2"/>
        <v>0.76019999999999999</v>
      </c>
      <c r="E98" s="4">
        <f t="shared" si="3"/>
        <v>-2.5729584356453693E-2</v>
      </c>
    </row>
    <row r="99" spans="1:5" x14ac:dyDescent="0.3">
      <c r="A99" s="1">
        <v>33634</v>
      </c>
      <c r="B99">
        <v>0.75090000000000001</v>
      </c>
      <c r="C99">
        <v>-31.26</v>
      </c>
      <c r="D99">
        <f t="shared" si="2"/>
        <v>0.74777400000000005</v>
      </c>
      <c r="E99" s="4">
        <f t="shared" si="3"/>
        <v>-1.2233622730860268E-2</v>
      </c>
    </row>
    <row r="100" spans="1:5" x14ac:dyDescent="0.3">
      <c r="A100" s="1">
        <v>33662</v>
      </c>
      <c r="B100">
        <v>0.755</v>
      </c>
      <c r="C100">
        <v>-31.84</v>
      </c>
      <c r="D100">
        <f t="shared" si="2"/>
        <v>0.75181600000000004</v>
      </c>
      <c r="E100" s="4">
        <f t="shared" si="3"/>
        <v>9.6633474819931616E-3</v>
      </c>
    </row>
    <row r="101" spans="1:5" x14ac:dyDescent="0.3">
      <c r="A101" s="1">
        <v>33694</v>
      </c>
      <c r="B101">
        <v>0.77049999999999996</v>
      </c>
      <c r="C101">
        <v>-18</v>
      </c>
      <c r="D101">
        <f t="shared" si="2"/>
        <v>0.76869999999999994</v>
      </c>
      <c r="E101" s="4">
        <f t="shared" si="3"/>
        <v>2.4851825446651737E-2</v>
      </c>
    </row>
    <row r="102" spans="1:5" x14ac:dyDescent="0.3">
      <c r="A102" s="1">
        <v>33724</v>
      </c>
      <c r="B102">
        <v>0.75660000000000005</v>
      </c>
      <c r="C102">
        <v>-2</v>
      </c>
      <c r="D102">
        <f t="shared" si="2"/>
        <v>0.75640000000000007</v>
      </c>
      <c r="E102" s="4">
        <f t="shared" si="3"/>
        <v>-1.5740861194223871E-2</v>
      </c>
    </row>
    <row r="103" spans="1:5" x14ac:dyDescent="0.3">
      <c r="A103" s="1">
        <v>33753</v>
      </c>
      <c r="B103">
        <v>0.75780000000000003</v>
      </c>
      <c r="C103">
        <v>-14</v>
      </c>
      <c r="D103">
        <f t="shared" si="2"/>
        <v>0.75640000000000007</v>
      </c>
      <c r="E103" s="4">
        <f t="shared" si="3"/>
        <v>1.8508725542040676E-3</v>
      </c>
    </row>
    <row r="104" spans="1:5" x14ac:dyDescent="0.3">
      <c r="A104" s="1">
        <v>33785</v>
      </c>
      <c r="B104">
        <v>0.74719999999999998</v>
      </c>
      <c r="C104">
        <v>-17.2</v>
      </c>
      <c r="D104">
        <f t="shared" si="2"/>
        <v>0.74547999999999992</v>
      </c>
      <c r="E104" s="4">
        <f t="shared" si="3"/>
        <v>-1.216287678477009E-2</v>
      </c>
    </row>
    <row r="105" spans="1:5" x14ac:dyDescent="0.3">
      <c r="A105" s="1">
        <v>33816</v>
      </c>
      <c r="B105">
        <v>0.74409999999999998</v>
      </c>
      <c r="C105">
        <v>-11.7</v>
      </c>
      <c r="D105">
        <f t="shared" si="2"/>
        <v>0.74292999999999998</v>
      </c>
      <c r="E105" s="4">
        <f t="shared" si="3"/>
        <v>-1.8511563019798479E-3</v>
      </c>
    </row>
    <row r="106" spans="1:5" x14ac:dyDescent="0.3">
      <c r="A106" s="1">
        <v>33847</v>
      </c>
      <c r="B106">
        <v>0.71540000000000004</v>
      </c>
      <c r="C106">
        <v>-14</v>
      </c>
      <c r="D106">
        <f t="shared" si="2"/>
        <v>0.71400000000000008</v>
      </c>
      <c r="E106" s="4">
        <f t="shared" si="3"/>
        <v>-3.7055981048012526E-2</v>
      </c>
    </row>
    <row r="107" spans="1:5" x14ac:dyDescent="0.3">
      <c r="A107" s="1">
        <v>33877</v>
      </c>
      <c r="B107">
        <v>0.71319999999999995</v>
      </c>
      <c r="C107">
        <v>-18.190000000000001</v>
      </c>
      <c r="D107">
        <f t="shared" si="2"/>
        <v>0.71138099999999993</v>
      </c>
      <c r="E107" s="4">
        <f t="shared" si="3"/>
        <v>-1.1204481792718962E-3</v>
      </c>
    </row>
    <row r="108" spans="1:5" x14ac:dyDescent="0.3">
      <c r="A108" s="1">
        <v>33907</v>
      </c>
      <c r="B108">
        <v>0.69579999999999997</v>
      </c>
      <c r="C108">
        <v>-12.54</v>
      </c>
      <c r="D108">
        <f t="shared" si="2"/>
        <v>0.694546</v>
      </c>
      <c r="E108" s="4">
        <f t="shared" si="3"/>
        <v>-2.1902468578722172E-2</v>
      </c>
    </row>
    <row r="109" spans="1:5" x14ac:dyDescent="0.3">
      <c r="A109" s="1">
        <v>33938</v>
      </c>
      <c r="B109">
        <v>0.6825</v>
      </c>
      <c r="C109">
        <v>-5</v>
      </c>
      <c r="D109">
        <f t="shared" si="2"/>
        <v>0.68200000000000005</v>
      </c>
      <c r="E109" s="4">
        <f t="shared" si="3"/>
        <v>-1.7343703656777235E-2</v>
      </c>
    </row>
    <row r="110" spans="1:5" x14ac:dyDescent="0.3">
      <c r="A110" s="1">
        <v>33969</v>
      </c>
      <c r="B110">
        <v>0.6895</v>
      </c>
      <c r="C110">
        <v>-20</v>
      </c>
      <c r="D110">
        <f t="shared" si="2"/>
        <v>0.6875</v>
      </c>
      <c r="E110" s="4">
        <f t="shared" si="3"/>
        <v>1.099706744868028E-2</v>
      </c>
    </row>
    <row r="111" spans="1:5" x14ac:dyDescent="0.3">
      <c r="A111" s="1">
        <v>33998</v>
      </c>
      <c r="B111">
        <v>0.68020000000000003</v>
      </c>
      <c r="C111">
        <v>-12</v>
      </c>
      <c r="D111">
        <f t="shared" si="2"/>
        <v>0.67900000000000005</v>
      </c>
      <c r="E111" s="4">
        <f t="shared" si="3"/>
        <v>-1.0618181818181778E-2</v>
      </c>
    </row>
    <row r="112" spans="1:5" x14ac:dyDescent="0.3">
      <c r="A112" s="1">
        <v>34026</v>
      </c>
      <c r="B112">
        <v>0.69520000000000004</v>
      </c>
      <c r="C112">
        <v>-3</v>
      </c>
      <c r="D112">
        <f t="shared" si="2"/>
        <v>0.69490000000000007</v>
      </c>
      <c r="E112" s="4">
        <f t="shared" si="3"/>
        <v>2.3858615611192919E-2</v>
      </c>
    </row>
    <row r="113" spans="1:5" x14ac:dyDescent="0.3">
      <c r="A113" s="1">
        <v>34059</v>
      </c>
      <c r="B113">
        <v>0.70550000000000002</v>
      </c>
      <c r="C113">
        <v>-11</v>
      </c>
      <c r="D113">
        <f t="shared" si="2"/>
        <v>0.70440000000000003</v>
      </c>
      <c r="E113" s="4">
        <f t="shared" si="3"/>
        <v>1.5253993380342411E-2</v>
      </c>
    </row>
    <row r="114" spans="1:5" x14ac:dyDescent="0.3">
      <c r="A114" s="1">
        <v>34089</v>
      </c>
      <c r="B114">
        <v>0.70730000000000004</v>
      </c>
      <c r="C114">
        <v>-11</v>
      </c>
      <c r="D114">
        <f t="shared" si="2"/>
        <v>0.70620000000000005</v>
      </c>
      <c r="E114" s="4">
        <f t="shared" si="3"/>
        <v>4.1169789892106954E-3</v>
      </c>
    </row>
    <row r="115" spans="1:5" x14ac:dyDescent="0.3">
      <c r="A115" s="1">
        <v>34120</v>
      </c>
      <c r="B115">
        <v>0.67849999999999999</v>
      </c>
      <c r="C115">
        <v>-9</v>
      </c>
      <c r="D115">
        <f t="shared" si="2"/>
        <v>0.67759999999999998</v>
      </c>
      <c r="E115" s="4">
        <f t="shared" si="3"/>
        <v>-3.9224015859529955E-2</v>
      </c>
    </row>
    <row r="116" spans="1:5" x14ac:dyDescent="0.3">
      <c r="A116" s="1">
        <v>34150</v>
      </c>
      <c r="B116">
        <v>0.66549999999999998</v>
      </c>
      <c r="C116">
        <v>-11</v>
      </c>
      <c r="D116">
        <f t="shared" si="2"/>
        <v>0.66439999999999999</v>
      </c>
      <c r="E116" s="4">
        <f t="shared" si="3"/>
        <v>-1.7857142857142856E-2</v>
      </c>
    </row>
    <row r="117" spans="1:5" x14ac:dyDescent="0.3">
      <c r="A117" s="1">
        <v>34180</v>
      </c>
      <c r="B117">
        <v>0.69</v>
      </c>
      <c r="C117">
        <v>-8</v>
      </c>
      <c r="D117">
        <f t="shared" si="2"/>
        <v>0.68919999999999992</v>
      </c>
      <c r="E117" s="4">
        <f t="shared" si="3"/>
        <v>3.8531005418422574E-2</v>
      </c>
    </row>
    <row r="118" spans="1:5" x14ac:dyDescent="0.3">
      <c r="A118" s="1">
        <v>34212</v>
      </c>
      <c r="B118">
        <v>0.67349999999999999</v>
      </c>
      <c r="C118">
        <v>-7.5</v>
      </c>
      <c r="D118">
        <f t="shared" si="2"/>
        <v>0.67274999999999996</v>
      </c>
      <c r="E118" s="4">
        <f t="shared" si="3"/>
        <v>-2.2780034822983079E-2</v>
      </c>
    </row>
    <row r="119" spans="1:5" x14ac:dyDescent="0.3">
      <c r="A119" s="1">
        <v>34242</v>
      </c>
      <c r="B119">
        <v>0.64600000000000002</v>
      </c>
      <c r="C119">
        <v>-6.5</v>
      </c>
      <c r="D119">
        <f t="shared" si="2"/>
        <v>0.64534999999999998</v>
      </c>
      <c r="E119" s="4">
        <f t="shared" si="3"/>
        <v>-3.9762170196952717E-2</v>
      </c>
    </row>
    <row r="120" spans="1:5" x14ac:dyDescent="0.3">
      <c r="A120" s="1">
        <v>34271</v>
      </c>
      <c r="B120">
        <v>0.66649999999999998</v>
      </c>
      <c r="C120">
        <v>-7</v>
      </c>
      <c r="D120">
        <f t="shared" si="2"/>
        <v>0.66579999999999995</v>
      </c>
      <c r="E120" s="4">
        <f t="shared" si="3"/>
        <v>3.2772913922677623E-2</v>
      </c>
    </row>
    <row r="121" spans="1:5" x14ac:dyDescent="0.3">
      <c r="A121" s="1">
        <v>34303</v>
      </c>
      <c r="B121">
        <v>0.65939999999999999</v>
      </c>
      <c r="C121">
        <v>-6.25</v>
      </c>
      <c r="D121">
        <f t="shared" si="2"/>
        <v>0.658775</v>
      </c>
      <c r="E121" s="4">
        <f t="shared" si="3"/>
        <v>-9.6124962451185972E-3</v>
      </c>
    </row>
    <row r="122" spans="1:5" x14ac:dyDescent="0.3">
      <c r="A122" s="1">
        <v>34334</v>
      </c>
      <c r="B122">
        <v>0.67930000000000001</v>
      </c>
      <c r="C122">
        <v>-8</v>
      </c>
      <c r="D122">
        <f t="shared" si="2"/>
        <v>0.67849999999999999</v>
      </c>
      <c r="E122" s="4">
        <f t="shared" si="3"/>
        <v>3.115631285340217E-2</v>
      </c>
    </row>
    <row r="123" spans="1:5" x14ac:dyDescent="0.3">
      <c r="A123" s="1">
        <v>34365</v>
      </c>
      <c r="B123">
        <v>0.70860000000000001</v>
      </c>
      <c r="C123">
        <v>-8.4</v>
      </c>
      <c r="D123">
        <f t="shared" si="2"/>
        <v>0.70776000000000006</v>
      </c>
      <c r="E123" s="4">
        <f t="shared" si="3"/>
        <v>4.4362564480471649E-2</v>
      </c>
    </row>
    <row r="124" spans="1:5" x14ac:dyDescent="0.3">
      <c r="A124" s="1">
        <v>34393</v>
      </c>
      <c r="B124">
        <v>0.71350000000000002</v>
      </c>
      <c r="C124">
        <v>-6.8</v>
      </c>
      <c r="D124">
        <f t="shared" si="2"/>
        <v>0.71282000000000001</v>
      </c>
      <c r="E124" s="4">
        <f t="shared" si="3"/>
        <v>8.1100938171130982E-3</v>
      </c>
    </row>
    <row r="125" spans="1:5" x14ac:dyDescent="0.3">
      <c r="A125" s="1">
        <v>34424</v>
      </c>
      <c r="B125">
        <v>0.70450000000000002</v>
      </c>
      <c r="C125">
        <v>-6.5</v>
      </c>
      <c r="D125">
        <f t="shared" si="2"/>
        <v>0.70384999999999998</v>
      </c>
      <c r="E125" s="4">
        <f t="shared" si="3"/>
        <v>-1.1671950843130094E-2</v>
      </c>
    </row>
    <row r="126" spans="1:5" x14ac:dyDescent="0.3">
      <c r="A126" s="1">
        <v>34453</v>
      </c>
      <c r="B126">
        <v>0.71550000000000002</v>
      </c>
      <c r="C126">
        <v>-5</v>
      </c>
      <c r="D126">
        <f t="shared" si="2"/>
        <v>0.71500000000000008</v>
      </c>
      <c r="E126" s="4">
        <f t="shared" si="3"/>
        <v>1.6551822121190666E-2</v>
      </c>
    </row>
    <row r="127" spans="1:5" x14ac:dyDescent="0.3">
      <c r="A127" s="1">
        <v>34485</v>
      </c>
      <c r="B127">
        <v>0.73709999999999998</v>
      </c>
      <c r="C127">
        <v>-2</v>
      </c>
      <c r="D127">
        <f t="shared" si="2"/>
        <v>0.7369</v>
      </c>
      <c r="E127" s="4">
        <f t="shared" si="3"/>
        <v>3.0909090909090761E-2</v>
      </c>
    </row>
    <row r="128" spans="1:5" x14ac:dyDescent="0.3">
      <c r="A128" s="1">
        <v>34515</v>
      </c>
      <c r="B128">
        <v>0.72850000000000004</v>
      </c>
      <c r="C128">
        <v>-4.2</v>
      </c>
      <c r="D128">
        <f t="shared" si="2"/>
        <v>0.72808000000000006</v>
      </c>
      <c r="E128" s="4">
        <f t="shared" si="3"/>
        <v>-1.1399104356086258E-2</v>
      </c>
    </row>
    <row r="129" spans="1:5" x14ac:dyDescent="0.3">
      <c r="A129" s="1">
        <v>34544</v>
      </c>
      <c r="B129">
        <v>0.73950000000000005</v>
      </c>
      <c r="C129">
        <v>-3</v>
      </c>
      <c r="D129">
        <f t="shared" si="2"/>
        <v>0.73920000000000008</v>
      </c>
      <c r="E129" s="4">
        <f t="shared" si="3"/>
        <v>1.5685089550598816E-2</v>
      </c>
    </row>
    <row r="130" spans="1:5" x14ac:dyDescent="0.3">
      <c r="A130" s="1">
        <v>34577</v>
      </c>
      <c r="B130">
        <v>0.7429</v>
      </c>
      <c r="C130">
        <v>-4.8499999999999996</v>
      </c>
      <c r="D130">
        <f t="shared" si="2"/>
        <v>0.74241500000000005</v>
      </c>
      <c r="E130" s="4">
        <f t="shared" si="3"/>
        <v>5.0054112554111544E-3</v>
      </c>
    </row>
    <row r="131" spans="1:5" x14ac:dyDescent="0.3">
      <c r="A131" s="1">
        <v>34607</v>
      </c>
      <c r="B131">
        <v>0.74019999999999997</v>
      </c>
      <c r="C131">
        <v>-4.55</v>
      </c>
      <c r="D131">
        <f t="shared" ref="D131:D194" si="4">B131+C131/10^4</f>
        <v>0.73974499999999999</v>
      </c>
      <c r="E131" s="4">
        <f t="shared" si="3"/>
        <v>-2.983506529367103E-3</v>
      </c>
    </row>
    <row r="132" spans="1:5" x14ac:dyDescent="0.3">
      <c r="A132" s="1">
        <v>34638</v>
      </c>
      <c r="B132">
        <v>0.74260000000000004</v>
      </c>
      <c r="C132">
        <v>-10.45</v>
      </c>
      <c r="D132">
        <f t="shared" si="4"/>
        <v>0.74155500000000008</v>
      </c>
      <c r="E132" s="4">
        <f t="shared" ref="E132:E195" si="5">(B132-D131)/D131</f>
        <v>3.8594380495982428E-3</v>
      </c>
    </row>
    <row r="133" spans="1:5" x14ac:dyDescent="0.3">
      <c r="A133" s="1">
        <v>34668</v>
      </c>
      <c r="B133">
        <v>0.76880000000000004</v>
      </c>
      <c r="C133">
        <v>-6.95</v>
      </c>
      <c r="D133">
        <f t="shared" si="4"/>
        <v>0.76810500000000004</v>
      </c>
      <c r="E133" s="4">
        <f t="shared" si="5"/>
        <v>3.6740363155800933E-2</v>
      </c>
    </row>
    <row r="134" spans="1:5" x14ac:dyDescent="0.3">
      <c r="A134" s="1">
        <v>34698</v>
      </c>
      <c r="B134">
        <v>0.77539999999999998</v>
      </c>
      <c r="C134">
        <v>-10.8</v>
      </c>
      <c r="D134">
        <f t="shared" si="4"/>
        <v>0.77432000000000001</v>
      </c>
      <c r="E134" s="4">
        <f t="shared" si="5"/>
        <v>9.4973994440863425E-3</v>
      </c>
    </row>
    <row r="135" spans="1:5" x14ac:dyDescent="0.3">
      <c r="A135" s="1">
        <v>34730</v>
      </c>
      <c r="B135">
        <v>0.75670000000000004</v>
      </c>
      <c r="C135">
        <v>-10.42</v>
      </c>
      <c r="D135">
        <f t="shared" si="4"/>
        <v>0.75565800000000005</v>
      </c>
      <c r="E135" s="4">
        <f t="shared" si="5"/>
        <v>-2.2755449943175909E-2</v>
      </c>
    </row>
    <row r="136" spans="1:5" x14ac:dyDescent="0.3">
      <c r="A136" s="1">
        <v>34758</v>
      </c>
      <c r="B136">
        <v>0.73899999999999999</v>
      </c>
      <c r="C136">
        <v>-10.4</v>
      </c>
      <c r="D136">
        <f t="shared" si="4"/>
        <v>0.73795999999999995</v>
      </c>
      <c r="E136" s="4">
        <f t="shared" si="5"/>
        <v>-2.2044363984765676E-2</v>
      </c>
    </row>
    <row r="137" spans="1:5" x14ac:dyDescent="0.3">
      <c r="A137" s="1">
        <v>34789</v>
      </c>
      <c r="B137">
        <v>0.73450000000000004</v>
      </c>
      <c r="C137">
        <v>-9.1199999999999992</v>
      </c>
      <c r="D137">
        <f t="shared" si="4"/>
        <v>0.73358800000000002</v>
      </c>
      <c r="E137" s="4">
        <f t="shared" si="5"/>
        <v>-4.6886010081846003E-3</v>
      </c>
    </row>
    <row r="138" spans="1:5" x14ac:dyDescent="0.3">
      <c r="A138" s="1">
        <v>34817</v>
      </c>
      <c r="B138">
        <v>0.72819999999999996</v>
      </c>
      <c r="C138">
        <v>-10.119999999999999</v>
      </c>
      <c r="D138">
        <f t="shared" si="4"/>
        <v>0.72718799999999995</v>
      </c>
      <c r="E138" s="4">
        <f t="shared" si="5"/>
        <v>-7.3447221055961374E-3</v>
      </c>
    </row>
    <row r="139" spans="1:5" x14ac:dyDescent="0.3">
      <c r="A139" s="1">
        <v>34850</v>
      </c>
      <c r="B139">
        <v>0.71779999999999999</v>
      </c>
      <c r="C139">
        <v>-8.83</v>
      </c>
      <c r="D139">
        <f t="shared" si="4"/>
        <v>0.71691700000000003</v>
      </c>
      <c r="E139" s="4">
        <f t="shared" si="5"/>
        <v>-1.2910004015467737E-2</v>
      </c>
    </row>
    <row r="140" spans="1:5" x14ac:dyDescent="0.3">
      <c r="A140" s="1">
        <v>34880</v>
      </c>
      <c r="B140">
        <v>0.71030000000000004</v>
      </c>
      <c r="C140">
        <v>-8.73</v>
      </c>
      <c r="D140">
        <f t="shared" si="4"/>
        <v>0.70942700000000003</v>
      </c>
      <c r="E140" s="4">
        <f t="shared" si="5"/>
        <v>-9.2297992654658545E-3</v>
      </c>
    </row>
    <row r="141" spans="1:5" x14ac:dyDescent="0.3">
      <c r="A141" s="1">
        <v>34911</v>
      </c>
      <c r="B141">
        <v>0.73860000000000003</v>
      </c>
      <c r="C141">
        <v>-10.93</v>
      </c>
      <c r="D141">
        <f t="shared" si="4"/>
        <v>0.73750700000000002</v>
      </c>
      <c r="E141" s="4">
        <f t="shared" si="5"/>
        <v>4.1121919520965514E-2</v>
      </c>
    </row>
    <row r="142" spans="1:5" x14ac:dyDescent="0.3">
      <c r="A142" s="1">
        <v>34942</v>
      </c>
      <c r="B142">
        <v>0.751</v>
      </c>
      <c r="C142">
        <v>-10.11</v>
      </c>
      <c r="D142">
        <f t="shared" si="4"/>
        <v>0.74998900000000002</v>
      </c>
      <c r="E142" s="4">
        <f t="shared" si="5"/>
        <v>1.8295419568898977E-2</v>
      </c>
    </row>
    <row r="143" spans="1:5" x14ac:dyDescent="0.3">
      <c r="A143" s="1">
        <v>34971</v>
      </c>
      <c r="B143">
        <v>0.75570000000000004</v>
      </c>
      <c r="C143">
        <v>-10.75</v>
      </c>
      <c r="D143">
        <f t="shared" si="4"/>
        <v>0.75462499999999999</v>
      </c>
      <c r="E143" s="4">
        <f t="shared" si="5"/>
        <v>7.6147783500824968E-3</v>
      </c>
    </row>
    <row r="144" spans="1:5" x14ac:dyDescent="0.3">
      <c r="A144" s="1">
        <v>35003</v>
      </c>
      <c r="B144">
        <v>0.75960000000000005</v>
      </c>
      <c r="C144">
        <v>-11.5</v>
      </c>
      <c r="D144">
        <f t="shared" si="4"/>
        <v>0.75845000000000007</v>
      </c>
      <c r="E144" s="4">
        <f t="shared" si="5"/>
        <v>6.5926784826901607E-3</v>
      </c>
    </row>
    <row r="145" spans="1:5" x14ac:dyDescent="0.3">
      <c r="A145" s="1">
        <v>35033</v>
      </c>
      <c r="B145">
        <v>0.74380000000000002</v>
      </c>
      <c r="C145">
        <v>-9.89</v>
      </c>
      <c r="D145">
        <f t="shared" si="4"/>
        <v>0.742811</v>
      </c>
      <c r="E145" s="4">
        <f t="shared" si="5"/>
        <v>-1.9315709671039686E-2</v>
      </c>
    </row>
    <row r="146" spans="1:5" x14ac:dyDescent="0.3">
      <c r="A146" s="1">
        <v>35062</v>
      </c>
      <c r="B146">
        <v>0.74280000000000002</v>
      </c>
      <c r="C146">
        <v>-11.62</v>
      </c>
      <c r="D146">
        <f t="shared" si="4"/>
        <v>0.74163800000000002</v>
      </c>
      <c r="E146" s="4">
        <f t="shared" si="5"/>
        <v>-1.480861215030909E-5</v>
      </c>
    </row>
    <row r="147" spans="1:5" x14ac:dyDescent="0.3">
      <c r="A147" s="1">
        <v>35095</v>
      </c>
      <c r="B147">
        <v>0.74639999999999995</v>
      </c>
      <c r="C147">
        <v>-13.07</v>
      </c>
      <c r="D147">
        <f t="shared" si="4"/>
        <v>0.74509300000000001</v>
      </c>
      <c r="E147" s="4">
        <f t="shared" si="5"/>
        <v>6.4209223367733756E-3</v>
      </c>
    </row>
    <row r="148" spans="1:5" x14ac:dyDescent="0.3">
      <c r="A148" s="1">
        <v>35124</v>
      </c>
      <c r="B148">
        <v>0.76470000000000005</v>
      </c>
      <c r="C148">
        <v>-14.31</v>
      </c>
      <c r="D148">
        <f t="shared" si="4"/>
        <v>0.76326900000000009</v>
      </c>
      <c r="E148" s="4">
        <f t="shared" si="5"/>
        <v>2.6314835866126835E-2</v>
      </c>
    </row>
    <row r="149" spans="1:5" x14ac:dyDescent="0.3">
      <c r="A149" s="1">
        <v>35153</v>
      </c>
      <c r="B149">
        <v>0.78290000000000004</v>
      </c>
      <c r="C149">
        <v>-13.78</v>
      </c>
      <c r="D149">
        <f t="shared" si="4"/>
        <v>0.78152200000000005</v>
      </c>
      <c r="E149" s="4">
        <f t="shared" si="5"/>
        <v>2.5719634886258908E-2</v>
      </c>
    </row>
    <row r="150" spans="1:5" x14ac:dyDescent="0.3">
      <c r="A150" s="1">
        <v>35185</v>
      </c>
      <c r="B150">
        <v>0.78749999999999998</v>
      </c>
      <c r="C150">
        <v>-14.77</v>
      </c>
      <c r="D150">
        <f t="shared" si="4"/>
        <v>0.78602300000000003</v>
      </c>
      <c r="E150" s="4">
        <f t="shared" si="5"/>
        <v>7.6491768625834297E-3</v>
      </c>
    </row>
    <row r="151" spans="1:5" x14ac:dyDescent="0.3">
      <c r="A151" s="1">
        <v>35216</v>
      </c>
      <c r="B151">
        <v>0.79869999999999997</v>
      </c>
      <c r="C151">
        <v>-14.05</v>
      </c>
      <c r="D151">
        <f t="shared" si="4"/>
        <v>0.79729499999999998</v>
      </c>
      <c r="E151" s="4">
        <f t="shared" si="5"/>
        <v>1.6128026788020118E-2</v>
      </c>
    </row>
    <row r="152" spans="1:5" x14ac:dyDescent="0.3">
      <c r="A152" s="1">
        <v>35244</v>
      </c>
      <c r="B152">
        <v>0.78810000000000002</v>
      </c>
      <c r="C152">
        <v>-13.93</v>
      </c>
      <c r="D152">
        <f t="shared" si="4"/>
        <v>0.78670700000000005</v>
      </c>
      <c r="E152" s="4">
        <f t="shared" si="5"/>
        <v>-1.1532745094350214E-2</v>
      </c>
    </row>
    <row r="153" spans="1:5" x14ac:dyDescent="0.3">
      <c r="A153" s="1">
        <v>35277</v>
      </c>
      <c r="B153">
        <v>0.77270000000000005</v>
      </c>
      <c r="C153">
        <v>-10.57</v>
      </c>
      <c r="D153">
        <f t="shared" si="4"/>
        <v>0.77164300000000008</v>
      </c>
      <c r="E153" s="4">
        <f t="shared" si="5"/>
        <v>-1.7804595611835144E-2</v>
      </c>
    </row>
    <row r="154" spans="1:5" x14ac:dyDescent="0.3">
      <c r="A154" s="1">
        <v>35307</v>
      </c>
      <c r="B154">
        <v>0.78959999999999997</v>
      </c>
      <c r="C154">
        <v>-9.81</v>
      </c>
      <c r="D154">
        <f t="shared" si="4"/>
        <v>0.78861899999999996</v>
      </c>
      <c r="E154" s="4">
        <f t="shared" si="5"/>
        <v>2.3271124081991137E-2</v>
      </c>
    </row>
    <row r="155" spans="1:5" x14ac:dyDescent="0.3">
      <c r="A155" s="1">
        <v>35338</v>
      </c>
      <c r="B155">
        <v>0.79139999999999999</v>
      </c>
      <c r="C155">
        <v>-10.050000000000001</v>
      </c>
      <c r="D155">
        <f t="shared" si="4"/>
        <v>0.79039499999999996</v>
      </c>
      <c r="E155" s="4">
        <f t="shared" si="5"/>
        <v>3.526417699801848E-3</v>
      </c>
    </row>
    <row r="156" spans="1:5" x14ac:dyDescent="0.3">
      <c r="A156" s="1">
        <v>35369</v>
      </c>
      <c r="B156">
        <v>0.79169999999999996</v>
      </c>
      <c r="C156">
        <v>-9.84</v>
      </c>
      <c r="D156">
        <f t="shared" si="4"/>
        <v>0.79071599999999997</v>
      </c>
      <c r="E156" s="4">
        <f t="shared" si="5"/>
        <v>1.6510731975784268E-3</v>
      </c>
    </row>
    <row r="157" spans="1:5" x14ac:dyDescent="0.3">
      <c r="A157" s="1">
        <v>35398</v>
      </c>
      <c r="B157">
        <v>0.81610000000000005</v>
      </c>
      <c r="C157">
        <v>-7.1</v>
      </c>
      <c r="D157">
        <f t="shared" si="4"/>
        <v>0.81539000000000006</v>
      </c>
      <c r="E157" s="4">
        <f t="shared" si="5"/>
        <v>3.2102550093839097E-2</v>
      </c>
    </row>
    <row r="158" spans="1:5" x14ac:dyDescent="0.3">
      <c r="A158" s="1">
        <v>35430</v>
      </c>
      <c r="B158">
        <v>0.79420000000000002</v>
      </c>
      <c r="C158">
        <v>-3.83</v>
      </c>
      <c r="D158">
        <f t="shared" si="4"/>
        <v>0.79381699999999999</v>
      </c>
      <c r="E158" s="4">
        <f t="shared" si="5"/>
        <v>-2.5987564233066435E-2</v>
      </c>
    </row>
    <row r="159" spans="1:5" x14ac:dyDescent="0.3">
      <c r="A159" s="1">
        <v>35461</v>
      </c>
      <c r="B159">
        <v>0.76239999999999997</v>
      </c>
      <c r="C159">
        <v>-2.67</v>
      </c>
      <c r="D159">
        <f t="shared" si="4"/>
        <v>0.76213299999999995</v>
      </c>
      <c r="E159" s="4">
        <f t="shared" si="5"/>
        <v>-3.9577131757067473E-2</v>
      </c>
    </row>
    <row r="160" spans="1:5" x14ac:dyDescent="0.3">
      <c r="A160" s="1">
        <v>35489</v>
      </c>
      <c r="B160">
        <v>0.77849999999999997</v>
      </c>
      <c r="C160">
        <v>-3.96</v>
      </c>
      <c r="D160">
        <f t="shared" si="4"/>
        <v>0.77810400000000002</v>
      </c>
      <c r="E160" s="4">
        <f t="shared" si="5"/>
        <v>2.1475254319128053E-2</v>
      </c>
    </row>
    <row r="161" spans="1:5" x14ac:dyDescent="0.3">
      <c r="A161" s="1">
        <v>35520</v>
      </c>
      <c r="B161">
        <v>0.78569999999999995</v>
      </c>
      <c r="C161">
        <v>-3.45</v>
      </c>
      <c r="D161">
        <f t="shared" si="4"/>
        <v>0.78535499999999991</v>
      </c>
      <c r="E161" s="4">
        <f t="shared" si="5"/>
        <v>9.7621911723881852E-3</v>
      </c>
    </row>
    <row r="162" spans="1:5" x14ac:dyDescent="0.3">
      <c r="A162" s="1">
        <v>35550</v>
      </c>
      <c r="B162">
        <v>0.78059999999999996</v>
      </c>
      <c r="C162">
        <v>-2.5099999999999998</v>
      </c>
      <c r="D162">
        <f t="shared" si="4"/>
        <v>0.78034899999999996</v>
      </c>
      <c r="E162" s="4">
        <f t="shared" si="5"/>
        <v>-6.0545867792271705E-3</v>
      </c>
    </row>
    <row r="163" spans="1:5" x14ac:dyDescent="0.3">
      <c r="A163" s="1">
        <v>35580</v>
      </c>
      <c r="B163">
        <v>0.76019999999999999</v>
      </c>
      <c r="C163">
        <v>1.08</v>
      </c>
      <c r="D163">
        <f t="shared" si="4"/>
        <v>0.76030799999999998</v>
      </c>
      <c r="E163" s="4">
        <f t="shared" si="5"/>
        <v>-2.5820498264238146E-2</v>
      </c>
    </row>
    <row r="164" spans="1:5" x14ac:dyDescent="0.3">
      <c r="A164" s="1">
        <v>35611</v>
      </c>
      <c r="B164">
        <v>0.754</v>
      </c>
      <c r="C164">
        <v>1.77</v>
      </c>
      <c r="D164">
        <f t="shared" si="4"/>
        <v>0.75417699999999999</v>
      </c>
      <c r="E164" s="4">
        <f t="shared" si="5"/>
        <v>-8.2966376784145111E-3</v>
      </c>
    </row>
    <row r="165" spans="1:5" x14ac:dyDescent="0.3">
      <c r="A165" s="1">
        <v>35642</v>
      </c>
      <c r="B165">
        <v>0.74780000000000002</v>
      </c>
      <c r="C165">
        <v>3.61</v>
      </c>
      <c r="D165">
        <f t="shared" si="4"/>
        <v>0.74816099999999996</v>
      </c>
      <c r="E165" s="4">
        <f t="shared" si="5"/>
        <v>-8.4555747523458891E-3</v>
      </c>
    </row>
    <row r="166" spans="1:5" x14ac:dyDescent="0.3">
      <c r="A166" s="1">
        <v>35671</v>
      </c>
      <c r="B166">
        <v>0.73229999999999995</v>
      </c>
      <c r="C166">
        <v>4.37</v>
      </c>
      <c r="D166">
        <f t="shared" si="4"/>
        <v>0.73273699999999997</v>
      </c>
      <c r="E166" s="4">
        <f t="shared" si="5"/>
        <v>-2.1199982356738742E-2</v>
      </c>
    </row>
    <row r="167" spans="1:5" x14ac:dyDescent="0.3">
      <c r="A167" s="1">
        <v>35703</v>
      </c>
      <c r="B167">
        <v>0.72509999999999997</v>
      </c>
      <c r="C167">
        <v>5.1100000000000003</v>
      </c>
      <c r="D167">
        <f t="shared" si="4"/>
        <v>0.72561100000000001</v>
      </c>
      <c r="E167" s="4">
        <f t="shared" si="5"/>
        <v>-1.0422566350545974E-2</v>
      </c>
    </row>
    <row r="168" spans="1:5" x14ac:dyDescent="0.3">
      <c r="A168" s="1">
        <v>35734</v>
      </c>
      <c r="B168">
        <v>0.70120000000000005</v>
      </c>
      <c r="C168">
        <v>4.1399999999999997</v>
      </c>
      <c r="D168">
        <f t="shared" si="4"/>
        <v>0.70161400000000007</v>
      </c>
      <c r="E168" s="4">
        <f t="shared" si="5"/>
        <v>-3.3641992748180444E-2</v>
      </c>
    </row>
    <row r="169" spans="1:5" x14ac:dyDescent="0.3">
      <c r="A169" s="1">
        <v>35762</v>
      </c>
      <c r="B169">
        <v>0.68130000000000002</v>
      </c>
      <c r="C169">
        <v>5.66</v>
      </c>
      <c r="D169">
        <f t="shared" si="4"/>
        <v>0.68186599999999997</v>
      </c>
      <c r="E169" s="4">
        <f t="shared" si="5"/>
        <v>-2.8953242096081397E-2</v>
      </c>
    </row>
    <row r="170" spans="1:5" x14ac:dyDescent="0.3">
      <c r="A170" s="1">
        <v>35795</v>
      </c>
      <c r="B170">
        <v>0.65039999999999998</v>
      </c>
      <c r="C170">
        <v>4.3600000000000003</v>
      </c>
      <c r="D170">
        <f t="shared" si="4"/>
        <v>0.65083599999999997</v>
      </c>
      <c r="E170" s="4">
        <f t="shared" si="5"/>
        <v>-4.6146896897630907E-2</v>
      </c>
    </row>
    <row r="171" spans="1:5" x14ac:dyDescent="0.3">
      <c r="A171" s="1">
        <v>35825</v>
      </c>
      <c r="B171">
        <v>0.68330000000000002</v>
      </c>
      <c r="C171">
        <v>2.83</v>
      </c>
      <c r="D171">
        <f t="shared" si="4"/>
        <v>0.68358300000000005</v>
      </c>
      <c r="E171" s="4">
        <f t="shared" si="5"/>
        <v>4.9880461437289962E-2</v>
      </c>
    </row>
    <row r="172" spans="1:5" x14ac:dyDescent="0.3">
      <c r="A172" s="1">
        <v>35853</v>
      </c>
      <c r="B172">
        <v>0.68</v>
      </c>
      <c r="C172">
        <v>3.28</v>
      </c>
      <c r="D172">
        <f t="shared" si="4"/>
        <v>0.68032800000000004</v>
      </c>
      <c r="E172" s="4">
        <f t="shared" si="5"/>
        <v>-5.2414995691817999E-3</v>
      </c>
    </row>
    <row r="173" spans="1:5" x14ac:dyDescent="0.3">
      <c r="A173" s="1">
        <v>35885</v>
      </c>
      <c r="B173">
        <v>0.66239999999999999</v>
      </c>
      <c r="C173">
        <v>3.66</v>
      </c>
      <c r="D173">
        <f t="shared" si="4"/>
        <v>0.66276599999999997</v>
      </c>
      <c r="E173" s="4">
        <f t="shared" si="5"/>
        <v>-2.6351994920097443E-2</v>
      </c>
    </row>
    <row r="174" spans="1:5" x14ac:dyDescent="0.3">
      <c r="A174" s="1">
        <v>35915</v>
      </c>
      <c r="B174">
        <v>0.64929999999999999</v>
      </c>
      <c r="C174">
        <v>3.65</v>
      </c>
      <c r="D174">
        <f t="shared" si="4"/>
        <v>0.64966499999999994</v>
      </c>
      <c r="E174" s="4">
        <f t="shared" si="5"/>
        <v>-2.0317879915384886E-2</v>
      </c>
    </row>
    <row r="175" spans="1:5" x14ac:dyDescent="0.3">
      <c r="A175" s="1">
        <v>35944</v>
      </c>
      <c r="B175">
        <v>0.623</v>
      </c>
      <c r="C175">
        <v>3.07</v>
      </c>
      <c r="D175">
        <f t="shared" si="4"/>
        <v>0.62330699999999994</v>
      </c>
      <c r="E175" s="4">
        <f t="shared" si="5"/>
        <v>-4.104423048802066E-2</v>
      </c>
    </row>
    <row r="176" spans="1:5" x14ac:dyDescent="0.3">
      <c r="A176" s="1">
        <v>35976</v>
      </c>
      <c r="B176">
        <v>0.62080000000000002</v>
      </c>
      <c r="C176">
        <v>2.41</v>
      </c>
      <c r="D176">
        <f t="shared" si="4"/>
        <v>0.62104100000000007</v>
      </c>
      <c r="E176" s="4">
        <f t="shared" si="5"/>
        <v>-4.0220950510742315E-3</v>
      </c>
    </row>
    <row r="177" spans="1:5" x14ac:dyDescent="0.3">
      <c r="A177" s="1">
        <v>36007</v>
      </c>
      <c r="B177">
        <v>0.60560000000000003</v>
      </c>
      <c r="C177">
        <v>3.07</v>
      </c>
      <c r="D177">
        <f t="shared" si="4"/>
        <v>0.60590699999999997</v>
      </c>
      <c r="E177" s="4">
        <f t="shared" si="5"/>
        <v>-2.4863092774873214E-2</v>
      </c>
    </row>
    <row r="178" spans="1:5" x14ac:dyDescent="0.3">
      <c r="A178" s="1">
        <v>36038</v>
      </c>
      <c r="B178">
        <v>0.56779999999999997</v>
      </c>
      <c r="C178">
        <v>2</v>
      </c>
      <c r="D178">
        <f t="shared" si="4"/>
        <v>0.56799999999999995</v>
      </c>
      <c r="E178" s="4">
        <f t="shared" si="5"/>
        <v>-6.2892490101616266E-2</v>
      </c>
    </row>
    <row r="179" spans="1:5" x14ac:dyDescent="0.3">
      <c r="A179" s="1">
        <v>36068</v>
      </c>
      <c r="B179">
        <v>0.59350000000000003</v>
      </c>
      <c r="C179">
        <v>2.23</v>
      </c>
      <c r="D179">
        <f t="shared" si="4"/>
        <v>0.593723</v>
      </c>
      <c r="E179" s="4">
        <f t="shared" si="5"/>
        <v>4.489436619718324E-2</v>
      </c>
    </row>
    <row r="180" spans="1:5" x14ac:dyDescent="0.3">
      <c r="A180" s="1">
        <v>36098</v>
      </c>
      <c r="B180">
        <v>0.625</v>
      </c>
      <c r="C180">
        <v>2.11</v>
      </c>
      <c r="D180">
        <f t="shared" si="4"/>
        <v>0.62521099999999996</v>
      </c>
      <c r="E180" s="4">
        <f t="shared" si="5"/>
        <v>5.2679448160168965E-2</v>
      </c>
    </row>
    <row r="181" spans="1:5" x14ac:dyDescent="0.3">
      <c r="A181" s="1">
        <v>36129</v>
      </c>
      <c r="B181">
        <v>0.62890000000000001</v>
      </c>
      <c r="C181">
        <v>3.95</v>
      </c>
      <c r="D181">
        <f t="shared" si="4"/>
        <v>0.62929500000000005</v>
      </c>
      <c r="E181" s="4">
        <f t="shared" si="5"/>
        <v>5.9004080222517736E-3</v>
      </c>
    </row>
    <row r="182" spans="1:5" x14ac:dyDescent="0.3">
      <c r="A182" s="1">
        <v>36160</v>
      </c>
      <c r="B182">
        <v>0.61029999999999995</v>
      </c>
      <c r="C182">
        <v>1.49</v>
      </c>
      <c r="D182">
        <f t="shared" si="4"/>
        <v>0.61044899999999991</v>
      </c>
      <c r="E182" s="4">
        <f t="shared" si="5"/>
        <v>-3.0184571623801386E-2</v>
      </c>
    </row>
    <row r="183" spans="1:5" x14ac:dyDescent="0.3">
      <c r="A183" s="1">
        <v>36189</v>
      </c>
      <c r="B183">
        <v>0.63029999999999997</v>
      </c>
      <c r="C183">
        <v>0.76</v>
      </c>
      <c r="D183">
        <f t="shared" si="4"/>
        <v>0.63037599999999994</v>
      </c>
      <c r="E183" s="4">
        <f t="shared" si="5"/>
        <v>3.2518687064767189E-2</v>
      </c>
    </row>
    <row r="184" spans="1:5" x14ac:dyDescent="0.3">
      <c r="A184" s="1">
        <v>36217</v>
      </c>
      <c r="B184">
        <v>0.61880000000000002</v>
      </c>
      <c r="C184">
        <v>0.96</v>
      </c>
      <c r="D184">
        <f t="shared" si="4"/>
        <v>0.618896</v>
      </c>
      <c r="E184" s="4">
        <f t="shared" si="5"/>
        <v>-1.8363643285911776E-2</v>
      </c>
    </row>
    <row r="185" spans="1:5" x14ac:dyDescent="0.3">
      <c r="A185" s="1">
        <v>36250</v>
      </c>
      <c r="B185">
        <v>0.63429999999999997</v>
      </c>
      <c r="C185">
        <v>0.63</v>
      </c>
      <c r="D185">
        <f t="shared" si="4"/>
        <v>0.63436300000000001</v>
      </c>
      <c r="E185" s="4">
        <f t="shared" si="5"/>
        <v>2.4889480623561912E-2</v>
      </c>
    </row>
    <row r="186" spans="1:5" x14ac:dyDescent="0.3">
      <c r="A186" s="1">
        <v>36280</v>
      </c>
      <c r="B186">
        <v>0.6613</v>
      </c>
      <c r="C186">
        <v>0.42</v>
      </c>
      <c r="D186">
        <f t="shared" si="4"/>
        <v>0.66134199999999999</v>
      </c>
      <c r="E186" s="4">
        <f t="shared" si="5"/>
        <v>4.2463069252147413E-2</v>
      </c>
    </row>
    <row r="187" spans="1:5" x14ac:dyDescent="0.3">
      <c r="A187" s="1">
        <v>36311</v>
      </c>
      <c r="B187">
        <v>0.64890000000000003</v>
      </c>
      <c r="C187">
        <v>0.48</v>
      </c>
      <c r="D187">
        <f t="shared" si="4"/>
        <v>0.64894800000000008</v>
      </c>
      <c r="E187" s="4">
        <f t="shared" si="5"/>
        <v>-1.8813261519758238E-2</v>
      </c>
    </row>
    <row r="188" spans="1:5" x14ac:dyDescent="0.3">
      <c r="A188" s="1">
        <v>36341</v>
      </c>
      <c r="B188">
        <v>0.66739999999999999</v>
      </c>
      <c r="C188">
        <v>1.98</v>
      </c>
      <c r="D188">
        <f t="shared" si="4"/>
        <v>0.66759800000000002</v>
      </c>
      <c r="E188" s="4">
        <f t="shared" si="5"/>
        <v>2.8433711175625643E-2</v>
      </c>
    </row>
    <row r="189" spans="1:5" x14ac:dyDescent="0.3">
      <c r="A189" s="1">
        <v>36371</v>
      </c>
      <c r="B189">
        <v>0.6522</v>
      </c>
      <c r="C189">
        <v>2.52</v>
      </c>
      <c r="D189">
        <f t="shared" si="4"/>
        <v>0.65245200000000003</v>
      </c>
      <c r="E189" s="4">
        <f t="shared" si="5"/>
        <v>-2.3064778504429347E-2</v>
      </c>
    </row>
    <row r="190" spans="1:5" x14ac:dyDescent="0.3">
      <c r="A190" s="1">
        <v>36403</v>
      </c>
      <c r="B190">
        <v>0.64070000000000005</v>
      </c>
      <c r="C190">
        <v>3.25</v>
      </c>
      <c r="D190">
        <f t="shared" si="4"/>
        <v>0.64102500000000007</v>
      </c>
      <c r="E190" s="4">
        <f t="shared" si="5"/>
        <v>-1.8012052993936694E-2</v>
      </c>
    </row>
    <row r="191" spans="1:5" x14ac:dyDescent="0.3">
      <c r="A191" s="1">
        <v>36433</v>
      </c>
      <c r="B191">
        <v>0.65200000000000002</v>
      </c>
      <c r="C191">
        <v>3.06</v>
      </c>
      <c r="D191">
        <f t="shared" si="4"/>
        <v>0.65230600000000005</v>
      </c>
      <c r="E191" s="4">
        <f t="shared" si="5"/>
        <v>1.7121017121017053E-2</v>
      </c>
    </row>
    <row r="192" spans="1:5" x14ac:dyDescent="0.3">
      <c r="A192" s="1">
        <v>36462</v>
      </c>
      <c r="B192">
        <v>0.63900000000000001</v>
      </c>
      <c r="C192">
        <v>2.4900000000000002</v>
      </c>
      <c r="D192">
        <f t="shared" si="4"/>
        <v>0.63924900000000007</v>
      </c>
      <c r="E192" s="4">
        <f t="shared" si="5"/>
        <v>-2.0398401976986322E-2</v>
      </c>
    </row>
    <row r="193" spans="1:5" x14ac:dyDescent="0.3">
      <c r="A193" s="1">
        <v>36494</v>
      </c>
      <c r="B193">
        <v>0.63560000000000005</v>
      </c>
      <c r="C193">
        <v>6.29</v>
      </c>
      <c r="D193">
        <f t="shared" si="4"/>
        <v>0.63622900000000004</v>
      </c>
      <c r="E193" s="4">
        <f t="shared" si="5"/>
        <v>-5.7082607872675798E-3</v>
      </c>
    </row>
    <row r="194" spans="1:5" x14ac:dyDescent="0.3">
      <c r="A194" s="1">
        <v>36525</v>
      </c>
      <c r="B194">
        <v>0.65669999999999995</v>
      </c>
      <c r="C194">
        <v>3.25</v>
      </c>
      <c r="D194">
        <f t="shared" si="4"/>
        <v>0.65702499999999997</v>
      </c>
      <c r="E194" s="4">
        <f t="shared" si="5"/>
        <v>3.2175521706806674E-2</v>
      </c>
    </row>
    <row r="195" spans="1:5" x14ac:dyDescent="0.3">
      <c r="A195" s="1">
        <v>36556</v>
      </c>
      <c r="B195">
        <v>0.63700000000000001</v>
      </c>
      <c r="C195">
        <v>2.95</v>
      </c>
      <c r="D195">
        <f t="shared" ref="D195:D258" si="6">B195+C195/10^4</f>
        <v>0.63729500000000006</v>
      </c>
      <c r="E195" s="4">
        <f t="shared" si="5"/>
        <v>-3.0478292302423743E-2</v>
      </c>
    </row>
    <row r="196" spans="1:5" x14ac:dyDescent="0.3">
      <c r="A196" s="1">
        <v>36585</v>
      </c>
      <c r="B196">
        <v>0.61780000000000002</v>
      </c>
      <c r="C196">
        <v>1.95</v>
      </c>
      <c r="D196">
        <f t="shared" si="6"/>
        <v>0.61799499999999996</v>
      </c>
      <c r="E196" s="4">
        <f t="shared" ref="E196:E259" si="7">(B196-D195)/D195</f>
        <v>-3.0590229014820513E-2</v>
      </c>
    </row>
    <row r="197" spans="1:5" x14ac:dyDescent="0.3">
      <c r="A197" s="1">
        <v>36616</v>
      </c>
      <c r="B197">
        <v>0.60709999999999997</v>
      </c>
      <c r="C197">
        <v>2.12</v>
      </c>
      <c r="D197">
        <f t="shared" si="6"/>
        <v>0.60731199999999996</v>
      </c>
      <c r="E197" s="4">
        <f t="shared" si="7"/>
        <v>-1.762959247243099E-2</v>
      </c>
    </row>
    <row r="198" spans="1:5" x14ac:dyDescent="0.3">
      <c r="A198" s="1">
        <v>36644</v>
      </c>
      <c r="B198">
        <v>0.58389999999999997</v>
      </c>
      <c r="C198">
        <v>1.41</v>
      </c>
      <c r="D198">
        <f t="shared" si="6"/>
        <v>0.58404099999999992</v>
      </c>
      <c r="E198" s="4">
        <f t="shared" si="7"/>
        <v>-3.855020154385224E-2</v>
      </c>
    </row>
    <row r="199" spans="1:5" x14ac:dyDescent="0.3">
      <c r="A199" s="1">
        <v>36677</v>
      </c>
      <c r="B199">
        <v>0.57250000000000001</v>
      </c>
      <c r="C199">
        <v>2.77</v>
      </c>
      <c r="D199">
        <f t="shared" si="6"/>
        <v>0.57277699999999998</v>
      </c>
      <c r="E199" s="4">
        <f t="shared" si="7"/>
        <v>-1.9760598999042728E-2</v>
      </c>
    </row>
    <row r="200" spans="1:5" x14ac:dyDescent="0.3">
      <c r="A200" s="1">
        <v>36707</v>
      </c>
      <c r="B200">
        <v>0.59740000000000004</v>
      </c>
      <c r="C200">
        <v>2.98</v>
      </c>
      <c r="D200">
        <f t="shared" si="6"/>
        <v>0.59769800000000006</v>
      </c>
      <c r="E200" s="4">
        <f t="shared" si="7"/>
        <v>4.2988807162298873E-2</v>
      </c>
    </row>
    <row r="201" spans="1:5" x14ac:dyDescent="0.3">
      <c r="A201" s="1">
        <v>36738</v>
      </c>
      <c r="B201">
        <v>0.58079999999999998</v>
      </c>
      <c r="C201">
        <v>2.77</v>
      </c>
      <c r="D201">
        <f t="shared" si="6"/>
        <v>0.58107699999999995</v>
      </c>
      <c r="E201" s="4">
        <f t="shared" si="7"/>
        <v>-2.827180281680728E-2</v>
      </c>
    </row>
    <row r="202" spans="1:5" x14ac:dyDescent="0.3">
      <c r="A202" s="1">
        <v>36769</v>
      </c>
      <c r="B202">
        <v>0.57640000000000002</v>
      </c>
      <c r="C202">
        <v>1.42</v>
      </c>
      <c r="D202">
        <f t="shared" si="6"/>
        <v>0.576542</v>
      </c>
      <c r="E202" s="4">
        <f t="shared" si="7"/>
        <v>-8.0488472267873819E-3</v>
      </c>
    </row>
    <row r="203" spans="1:5" x14ac:dyDescent="0.3">
      <c r="A203" s="1">
        <v>36798</v>
      </c>
      <c r="B203">
        <v>0.54279999999999995</v>
      </c>
      <c r="C203">
        <v>0.96</v>
      </c>
      <c r="D203">
        <f t="shared" si="6"/>
        <v>0.54289599999999993</v>
      </c>
      <c r="E203" s="4">
        <f t="shared" si="7"/>
        <v>-5.8524790908554884E-2</v>
      </c>
    </row>
    <row r="204" spans="1:5" x14ac:dyDescent="0.3">
      <c r="A204" s="1">
        <v>36830</v>
      </c>
      <c r="B204">
        <v>0.51849999999999996</v>
      </c>
      <c r="C204">
        <v>1.57</v>
      </c>
      <c r="D204">
        <f t="shared" si="6"/>
        <v>0.51865699999999992</v>
      </c>
      <c r="E204" s="4">
        <f t="shared" si="7"/>
        <v>-4.4936783472340883E-2</v>
      </c>
    </row>
    <row r="205" spans="1:5" x14ac:dyDescent="0.3">
      <c r="A205" s="1">
        <v>36860</v>
      </c>
      <c r="B205">
        <v>0.52780000000000005</v>
      </c>
      <c r="C205">
        <v>2.63</v>
      </c>
      <c r="D205">
        <f t="shared" si="6"/>
        <v>0.52806300000000006</v>
      </c>
      <c r="E205" s="4">
        <f t="shared" si="7"/>
        <v>1.7628220577376039E-2</v>
      </c>
    </row>
    <row r="206" spans="1:5" x14ac:dyDescent="0.3">
      <c r="A206" s="1">
        <v>36889</v>
      </c>
      <c r="B206">
        <v>0.55879999999999996</v>
      </c>
      <c r="C206">
        <v>1.8</v>
      </c>
      <c r="D206">
        <f t="shared" si="6"/>
        <v>0.55897999999999992</v>
      </c>
      <c r="E206" s="4">
        <f t="shared" si="7"/>
        <v>5.820706998975482E-2</v>
      </c>
    </row>
    <row r="207" spans="1:5" x14ac:dyDescent="0.3">
      <c r="A207" s="1">
        <v>36922</v>
      </c>
      <c r="B207">
        <v>0.55059999999999998</v>
      </c>
      <c r="C207">
        <v>-1.33</v>
      </c>
      <c r="D207">
        <f t="shared" si="6"/>
        <v>0.55046699999999993</v>
      </c>
      <c r="E207" s="4">
        <f t="shared" si="7"/>
        <v>-1.4991591827972278E-2</v>
      </c>
    </row>
    <row r="208" spans="1:5" x14ac:dyDescent="0.3">
      <c r="A208" s="1">
        <v>36950</v>
      </c>
      <c r="B208">
        <v>0.52629999999999999</v>
      </c>
      <c r="C208">
        <v>-1.57</v>
      </c>
      <c r="D208">
        <f t="shared" si="6"/>
        <v>0.52614300000000003</v>
      </c>
      <c r="E208" s="4">
        <f t="shared" si="7"/>
        <v>-4.390272259735814E-2</v>
      </c>
    </row>
    <row r="209" spans="1:5" x14ac:dyDescent="0.3">
      <c r="A209" s="1">
        <v>36980</v>
      </c>
      <c r="B209">
        <v>0.48559999999999998</v>
      </c>
      <c r="C209">
        <v>-0.2</v>
      </c>
      <c r="D209">
        <f t="shared" si="6"/>
        <v>0.48557999999999996</v>
      </c>
      <c r="E209" s="4">
        <f t="shared" si="7"/>
        <v>-7.70569978123819E-2</v>
      </c>
    </row>
    <row r="210" spans="1:5" x14ac:dyDescent="0.3">
      <c r="A210" s="1">
        <v>37011</v>
      </c>
      <c r="B210">
        <v>0.51239999999999997</v>
      </c>
      <c r="C210">
        <v>-2.11</v>
      </c>
      <c r="D210">
        <f t="shared" si="6"/>
        <v>0.51218900000000001</v>
      </c>
      <c r="E210" s="4">
        <f t="shared" si="7"/>
        <v>5.5232917335969384E-2</v>
      </c>
    </row>
    <row r="211" spans="1:5" x14ac:dyDescent="0.3">
      <c r="A211" s="1">
        <v>37042</v>
      </c>
      <c r="B211">
        <v>0.50649999999999995</v>
      </c>
      <c r="C211">
        <v>-3.93</v>
      </c>
      <c r="D211">
        <f t="shared" si="6"/>
        <v>0.50610699999999997</v>
      </c>
      <c r="E211" s="4">
        <f t="shared" si="7"/>
        <v>-1.1107227995915677E-2</v>
      </c>
    </row>
    <row r="212" spans="1:5" x14ac:dyDescent="0.3">
      <c r="A212" s="1">
        <v>37071</v>
      </c>
      <c r="B212">
        <v>0.51190000000000002</v>
      </c>
      <c r="C212">
        <v>-4.92</v>
      </c>
      <c r="D212">
        <f t="shared" si="6"/>
        <v>0.51140799999999997</v>
      </c>
      <c r="E212" s="4">
        <f t="shared" si="7"/>
        <v>1.1446196160100628E-2</v>
      </c>
    </row>
    <row r="213" spans="1:5" x14ac:dyDescent="0.3">
      <c r="A213" s="1">
        <v>37103</v>
      </c>
      <c r="B213">
        <v>0.51</v>
      </c>
      <c r="C213">
        <v>-5.79</v>
      </c>
      <c r="D213">
        <f t="shared" si="6"/>
        <v>0.50942100000000001</v>
      </c>
      <c r="E213" s="4">
        <f t="shared" si="7"/>
        <v>-2.7531833682694932E-3</v>
      </c>
    </row>
    <row r="214" spans="1:5" x14ac:dyDescent="0.3">
      <c r="A214" s="1">
        <v>37134</v>
      </c>
      <c r="B214">
        <v>0.52959999999999996</v>
      </c>
      <c r="C214">
        <v>-5.36</v>
      </c>
      <c r="D214">
        <f t="shared" si="6"/>
        <v>0.52906399999999998</v>
      </c>
      <c r="E214" s="4">
        <f t="shared" si="7"/>
        <v>3.9611637525739901E-2</v>
      </c>
    </row>
    <row r="215" spans="1:5" x14ac:dyDescent="0.3">
      <c r="A215" s="1">
        <v>37162</v>
      </c>
      <c r="B215">
        <v>0.49130000000000001</v>
      </c>
      <c r="C215">
        <v>-7.46</v>
      </c>
      <c r="D215">
        <f t="shared" si="6"/>
        <v>0.49055399999999999</v>
      </c>
      <c r="E215" s="4">
        <f t="shared" si="7"/>
        <v>-7.1378887998427343E-2</v>
      </c>
    </row>
    <row r="216" spans="1:5" x14ac:dyDescent="0.3">
      <c r="A216" s="1">
        <v>37195</v>
      </c>
      <c r="B216">
        <v>0.50309999999999999</v>
      </c>
      <c r="C216">
        <v>-8.86</v>
      </c>
      <c r="D216">
        <f t="shared" si="6"/>
        <v>0.50221399999999994</v>
      </c>
      <c r="E216" s="4">
        <f t="shared" si="7"/>
        <v>2.5575166036766597E-2</v>
      </c>
    </row>
    <row r="217" spans="1:5" x14ac:dyDescent="0.3">
      <c r="A217" s="1">
        <v>37225</v>
      </c>
      <c r="B217">
        <v>0.52190000000000003</v>
      </c>
      <c r="C217">
        <v>-9.6199999999999992</v>
      </c>
      <c r="D217">
        <f t="shared" si="6"/>
        <v>0.52093800000000001</v>
      </c>
      <c r="E217" s="4">
        <f t="shared" si="7"/>
        <v>3.9198429354817058E-2</v>
      </c>
    </row>
    <row r="218" spans="1:5" x14ac:dyDescent="0.3">
      <c r="A218" s="1">
        <v>37256</v>
      </c>
      <c r="B218">
        <v>0.50949999999999995</v>
      </c>
      <c r="C218">
        <v>-10.71</v>
      </c>
      <c r="D218">
        <f t="shared" si="6"/>
        <v>0.50842899999999991</v>
      </c>
      <c r="E218" s="4">
        <f t="shared" si="7"/>
        <v>-2.1956547612191967E-2</v>
      </c>
    </row>
    <row r="219" spans="1:5" x14ac:dyDescent="0.3">
      <c r="A219" s="1">
        <v>37287</v>
      </c>
      <c r="B219">
        <v>0.50770000000000004</v>
      </c>
      <c r="C219">
        <v>-9.4600000000000009</v>
      </c>
      <c r="D219">
        <f t="shared" si="6"/>
        <v>0.50675400000000004</v>
      </c>
      <c r="E219" s="4">
        <f t="shared" si="7"/>
        <v>-1.4338285188293129E-3</v>
      </c>
    </row>
    <row r="220" spans="1:5" x14ac:dyDescent="0.3">
      <c r="A220" s="1">
        <v>37315</v>
      </c>
      <c r="B220">
        <v>0.5181</v>
      </c>
      <c r="C220">
        <v>-10.58</v>
      </c>
      <c r="D220">
        <f t="shared" si="6"/>
        <v>0.517042</v>
      </c>
      <c r="E220" s="4">
        <f t="shared" si="7"/>
        <v>2.2389561799216123E-2</v>
      </c>
    </row>
    <row r="221" spans="1:5" x14ac:dyDescent="0.3">
      <c r="A221" s="1">
        <v>37344</v>
      </c>
      <c r="B221">
        <v>0.53280000000000005</v>
      </c>
      <c r="C221">
        <v>-11.19</v>
      </c>
      <c r="D221">
        <f t="shared" si="6"/>
        <v>0.53168100000000007</v>
      </c>
      <c r="E221" s="4">
        <f t="shared" si="7"/>
        <v>3.0477214616994461E-2</v>
      </c>
    </row>
    <row r="222" spans="1:5" x14ac:dyDescent="0.3">
      <c r="A222" s="1">
        <v>37376</v>
      </c>
      <c r="B222">
        <v>0.5383</v>
      </c>
      <c r="C222">
        <v>-12.22</v>
      </c>
      <c r="D222">
        <f t="shared" si="6"/>
        <v>0.53707800000000006</v>
      </c>
      <c r="E222" s="4">
        <f t="shared" si="7"/>
        <v>1.2449194159655751E-2</v>
      </c>
    </row>
    <row r="223" spans="1:5" x14ac:dyDescent="0.3">
      <c r="A223" s="1">
        <v>37407</v>
      </c>
      <c r="B223">
        <v>0.56740000000000002</v>
      </c>
      <c r="C223">
        <v>-14.14</v>
      </c>
      <c r="D223">
        <f t="shared" si="6"/>
        <v>0.56598599999999999</v>
      </c>
      <c r="E223" s="4">
        <f t="shared" si="7"/>
        <v>5.6457348839460852E-2</v>
      </c>
    </row>
    <row r="224" spans="1:5" x14ac:dyDescent="0.3">
      <c r="A224" s="1">
        <v>37435</v>
      </c>
      <c r="B224">
        <v>0.56340000000000001</v>
      </c>
      <c r="C224">
        <v>-15.27</v>
      </c>
      <c r="D224">
        <f t="shared" si="6"/>
        <v>0.56187300000000007</v>
      </c>
      <c r="E224" s="4">
        <f t="shared" si="7"/>
        <v>-4.5690176082093499E-3</v>
      </c>
    </row>
    <row r="225" spans="1:5" x14ac:dyDescent="0.3">
      <c r="A225" s="1">
        <v>37468</v>
      </c>
      <c r="B225">
        <v>0.54259999999999997</v>
      </c>
      <c r="C225">
        <v>-14.45</v>
      </c>
      <c r="D225">
        <f t="shared" si="6"/>
        <v>0.54115499999999994</v>
      </c>
      <c r="E225" s="4">
        <f t="shared" si="7"/>
        <v>-3.4301345677760088E-2</v>
      </c>
    </row>
    <row r="226" spans="1:5" x14ac:dyDescent="0.3">
      <c r="A226" s="1">
        <v>37498</v>
      </c>
      <c r="B226">
        <v>0.55049999999999999</v>
      </c>
      <c r="C226">
        <v>-13.87</v>
      </c>
      <c r="D226">
        <f t="shared" si="6"/>
        <v>0.54911299999999996</v>
      </c>
      <c r="E226" s="4">
        <f t="shared" si="7"/>
        <v>1.7268619896332934E-2</v>
      </c>
    </row>
    <row r="227" spans="1:5" x14ac:dyDescent="0.3">
      <c r="A227" s="1">
        <v>37529</v>
      </c>
      <c r="B227">
        <v>0.54259999999999997</v>
      </c>
      <c r="C227">
        <v>-14.7</v>
      </c>
      <c r="D227">
        <f t="shared" si="6"/>
        <v>0.54113</v>
      </c>
      <c r="E227" s="4">
        <f t="shared" si="7"/>
        <v>-1.1860946653967383E-2</v>
      </c>
    </row>
    <row r="228" spans="1:5" x14ac:dyDescent="0.3">
      <c r="A228" s="1">
        <v>37560</v>
      </c>
      <c r="B228">
        <v>0.55469999999999997</v>
      </c>
      <c r="C228">
        <v>-14.24</v>
      </c>
      <c r="D228">
        <f t="shared" si="6"/>
        <v>0.55327599999999999</v>
      </c>
      <c r="E228" s="4">
        <f t="shared" si="7"/>
        <v>2.5077153364256224E-2</v>
      </c>
    </row>
    <row r="229" spans="1:5" x14ac:dyDescent="0.3">
      <c r="A229" s="1">
        <v>37589</v>
      </c>
      <c r="B229">
        <v>0.56100000000000005</v>
      </c>
      <c r="C229">
        <v>-16.07</v>
      </c>
      <c r="D229">
        <f t="shared" si="6"/>
        <v>0.55939300000000003</v>
      </c>
      <c r="E229" s="4">
        <f t="shared" si="7"/>
        <v>1.3960482652419523E-2</v>
      </c>
    </row>
    <row r="230" spans="1:5" x14ac:dyDescent="0.3">
      <c r="A230" s="1">
        <v>37621</v>
      </c>
      <c r="B230">
        <v>0.56159999999999999</v>
      </c>
      <c r="C230">
        <v>-16.38</v>
      </c>
      <c r="D230">
        <f t="shared" si="6"/>
        <v>0.55996199999999996</v>
      </c>
      <c r="E230" s="4">
        <f t="shared" si="7"/>
        <v>3.9453479038886055E-3</v>
      </c>
    </row>
    <row r="231" spans="1:5" x14ac:dyDescent="0.3">
      <c r="A231" s="1">
        <v>37652</v>
      </c>
      <c r="B231">
        <v>0.58709999999999996</v>
      </c>
      <c r="C231">
        <v>-15.61</v>
      </c>
      <c r="D231">
        <f t="shared" si="6"/>
        <v>0.58553899999999992</v>
      </c>
      <c r="E231" s="4">
        <f t="shared" si="7"/>
        <v>4.8464002914483481E-2</v>
      </c>
    </row>
    <row r="232" spans="1:5" x14ac:dyDescent="0.3">
      <c r="A232" s="1">
        <v>37680</v>
      </c>
      <c r="B232">
        <v>0.60850000000000004</v>
      </c>
      <c r="C232">
        <v>-17.72</v>
      </c>
      <c r="D232">
        <f t="shared" si="6"/>
        <v>0.60672800000000005</v>
      </c>
      <c r="E232" s="4">
        <f t="shared" si="7"/>
        <v>3.9213442657107592E-2</v>
      </c>
    </row>
    <row r="233" spans="1:5" x14ac:dyDescent="0.3">
      <c r="A233" s="1">
        <v>37711</v>
      </c>
      <c r="B233">
        <v>0.60450000000000004</v>
      </c>
      <c r="C233">
        <v>-17.21</v>
      </c>
      <c r="D233">
        <f t="shared" si="6"/>
        <v>0.60277900000000006</v>
      </c>
      <c r="E233" s="4">
        <f t="shared" si="7"/>
        <v>-3.6721562215688208E-3</v>
      </c>
    </row>
    <row r="234" spans="1:5" x14ac:dyDescent="0.3">
      <c r="A234" s="1">
        <v>37741</v>
      </c>
      <c r="B234">
        <v>0.62670000000000003</v>
      </c>
      <c r="C234">
        <v>-18.329999999999998</v>
      </c>
      <c r="D234">
        <f t="shared" si="6"/>
        <v>0.62486700000000006</v>
      </c>
      <c r="E234" s="4">
        <f t="shared" si="7"/>
        <v>3.9684527828607111E-2</v>
      </c>
    </row>
    <row r="235" spans="1:5" x14ac:dyDescent="0.3">
      <c r="A235" s="1">
        <v>37771</v>
      </c>
      <c r="B235">
        <v>0.65280000000000005</v>
      </c>
      <c r="C235">
        <v>-18.489999999999998</v>
      </c>
      <c r="D235">
        <f t="shared" si="6"/>
        <v>0.65095100000000006</v>
      </c>
      <c r="E235" s="4">
        <f t="shared" si="7"/>
        <v>4.4702312652132349E-2</v>
      </c>
    </row>
    <row r="236" spans="1:5" x14ac:dyDescent="0.3">
      <c r="A236" s="1">
        <v>37802</v>
      </c>
      <c r="B236">
        <v>0.67359999999999998</v>
      </c>
      <c r="C236">
        <v>-22.17</v>
      </c>
      <c r="D236">
        <f t="shared" si="6"/>
        <v>0.67138299999999995</v>
      </c>
      <c r="E236" s="4">
        <f t="shared" si="7"/>
        <v>3.4793709511161237E-2</v>
      </c>
    </row>
    <row r="237" spans="1:5" x14ac:dyDescent="0.3">
      <c r="A237" s="1">
        <v>37833</v>
      </c>
      <c r="B237">
        <v>0.64880000000000004</v>
      </c>
      <c r="C237">
        <v>-20.2</v>
      </c>
      <c r="D237">
        <f t="shared" si="6"/>
        <v>0.64678000000000002</v>
      </c>
      <c r="E237" s="4">
        <f t="shared" si="7"/>
        <v>-3.3636538309727695E-2</v>
      </c>
    </row>
    <row r="238" spans="1:5" x14ac:dyDescent="0.3">
      <c r="A238" s="1">
        <v>37862</v>
      </c>
      <c r="B238">
        <v>0.64749999999999996</v>
      </c>
      <c r="C238">
        <v>-19.690000000000001</v>
      </c>
      <c r="D238">
        <f t="shared" si="6"/>
        <v>0.64553099999999997</v>
      </c>
      <c r="E238" s="4">
        <f t="shared" si="7"/>
        <v>1.113206963727918E-3</v>
      </c>
    </row>
    <row r="239" spans="1:5" x14ac:dyDescent="0.3">
      <c r="A239" s="1">
        <v>37894</v>
      </c>
      <c r="B239">
        <v>0.68010000000000004</v>
      </c>
      <c r="C239">
        <v>-22.24</v>
      </c>
      <c r="D239">
        <f t="shared" si="6"/>
        <v>0.67787600000000003</v>
      </c>
      <c r="E239" s="4">
        <f t="shared" si="7"/>
        <v>5.3551262449053685E-2</v>
      </c>
    </row>
    <row r="240" spans="1:5" x14ac:dyDescent="0.3">
      <c r="A240" s="1">
        <v>37925</v>
      </c>
      <c r="B240">
        <v>0.70860000000000001</v>
      </c>
      <c r="C240">
        <v>-22.07</v>
      </c>
      <c r="D240">
        <f t="shared" si="6"/>
        <v>0.70639300000000005</v>
      </c>
      <c r="E240" s="4">
        <f t="shared" si="7"/>
        <v>4.5323923549439676E-2</v>
      </c>
    </row>
    <row r="241" spans="1:5" x14ac:dyDescent="0.3">
      <c r="A241" s="1">
        <v>37953</v>
      </c>
      <c r="B241">
        <v>0.72430000000000005</v>
      </c>
      <c r="C241">
        <v>-25.5</v>
      </c>
      <c r="D241">
        <f t="shared" si="6"/>
        <v>0.72175</v>
      </c>
      <c r="E241" s="4">
        <f t="shared" si="7"/>
        <v>2.5349911451557426E-2</v>
      </c>
    </row>
    <row r="242" spans="1:5" x14ac:dyDescent="0.3">
      <c r="A242" s="1">
        <v>37986</v>
      </c>
      <c r="B242">
        <v>0.752</v>
      </c>
      <c r="C242">
        <v>-27.47</v>
      </c>
      <c r="D242">
        <f t="shared" si="6"/>
        <v>0.74925299999999995</v>
      </c>
      <c r="E242" s="4">
        <f t="shared" si="7"/>
        <v>4.1912019397298231E-2</v>
      </c>
    </row>
    <row r="243" spans="1:5" x14ac:dyDescent="0.3">
      <c r="A243" s="1">
        <v>38016</v>
      </c>
      <c r="B243">
        <v>0.76419999999999999</v>
      </c>
      <c r="C243">
        <v>-27.15</v>
      </c>
      <c r="D243">
        <f t="shared" si="6"/>
        <v>0.76148499999999997</v>
      </c>
      <c r="E243" s="4">
        <f t="shared" si="7"/>
        <v>1.9949202739261696E-2</v>
      </c>
    </row>
    <row r="244" spans="1:5" x14ac:dyDescent="0.3">
      <c r="A244" s="1">
        <v>38044</v>
      </c>
      <c r="B244">
        <v>0.77380000000000004</v>
      </c>
      <c r="C244">
        <v>-28.88</v>
      </c>
      <c r="D244">
        <f t="shared" si="6"/>
        <v>0.77091200000000004</v>
      </c>
      <c r="E244" s="4">
        <f t="shared" si="7"/>
        <v>1.6172347452674807E-2</v>
      </c>
    </row>
    <row r="245" spans="1:5" x14ac:dyDescent="0.3">
      <c r="A245" s="1">
        <v>38077</v>
      </c>
      <c r="B245">
        <v>0.76680000000000004</v>
      </c>
      <c r="C245">
        <v>-28.21</v>
      </c>
      <c r="D245">
        <f t="shared" si="6"/>
        <v>0.76397900000000007</v>
      </c>
      <c r="E245" s="4">
        <f t="shared" si="7"/>
        <v>-5.3339421360674164E-3</v>
      </c>
    </row>
    <row r="246" spans="1:5" x14ac:dyDescent="0.3">
      <c r="A246" s="1">
        <v>38107</v>
      </c>
      <c r="B246">
        <v>0.72070000000000001</v>
      </c>
      <c r="C246">
        <v>-27.04</v>
      </c>
      <c r="D246">
        <f t="shared" si="6"/>
        <v>0.71799599999999997</v>
      </c>
      <c r="E246" s="4">
        <f t="shared" si="7"/>
        <v>-5.6649462877906412E-2</v>
      </c>
    </row>
    <row r="247" spans="1:5" x14ac:dyDescent="0.3">
      <c r="A247" s="1">
        <v>38138</v>
      </c>
      <c r="B247">
        <v>0.71519999999999995</v>
      </c>
      <c r="C247">
        <v>-25.55</v>
      </c>
      <c r="D247">
        <f t="shared" si="6"/>
        <v>0.71264499999999997</v>
      </c>
      <c r="E247" s="4">
        <f t="shared" si="7"/>
        <v>-3.8941721123794851E-3</v>
      </c>
    </row>
    <row r="248" spans="1:5" x14ac:dyDescent="0.3">
      <c r="A248" s="1">
        <v>38168</v>
      </c>
      <c r="B248">
        <v>0.69930000000000003</v>
      </c>
      <c r="C248">
        <v>-24.95</v>
      </c>
      <c r="D248">
        <f t="shared" si="6"/>
        <v>0.69680500000000001</v>
      </c>
      <c r="E248" s="4">
        <f t="shared" si="7"/>
        <v>-1.8726013653361687E-2</v>
      </c>
    </row>
    <row r="249" spans="1:5" x14ac:dyDescent="0.3">
      <c r="A249" s="1">
        <v>38198</v>
      </c>
      <c r="B249">
        <v>0.70269999999999999</v>
      </c>
      <c r="C249">
        <v>-25.38</v>
      </c>
      <c r="D249">
        <f t="shared" si="6"/>
        <v>0.70016199999999995</v>
      </c>
      <c r="E249" s="4">
        <f t="shared" si="7"/>
        <v>8.460042623115482E-3</v>
      </c>
    </row>
    <row r="250" spans="1:5" x14ac:dyDescent="0.3">
      <c r="A250" s="1">
        <v>38230</v>
      </c>
      <c r="B250">
        <v>0.70420000000000005</v>
      </c>
      <c r="C250">
        <v>-23.45</v>
      </c>
      <c r="D250">
        <f t="shared" si="6"/>
        <v>0.70185500000000001</v>
      </c>
      <c r="E250" s="4">
        <f t="shared" si="7"/>
        <v>5.7672367252151607E-3</v>
      </c>
    </row>
    <row r="251" spans="1:5" x14ac:dyDescent="0.3">
      <c r="A251" s="1">
        <v>38260</v>
      </c>
      <c r="B251">
        <v>0.72770000000000001</v>
      </c>
      <c r="C251">
        <v>-21.79</v>
      </c>
      <c r="D251">
        <f t="shared" si="6"/>
        <v>0.72552099999999997</v>
      </c>
      <c r="E251" s="4">
        <f t="shared" si="7"/>
        <v>3.6823845381168487E-2</v>
      </c>
    </row>
    <row r="252" spans="1:5" x14ac:dyDescent="0.3">
      <c r="A252" s="1">
        <v>38289</v>
      </c>
      <c r="B252">
        <v>0.74839999999999995</v>
      </c>
      <c r="C252">
        <v>-20.59</v>
      </c>
      <c r="D252">
        <f t="shared" si="6"/>
        <v>0.74634099999999992</v>
      </c>
      <c r="E252" s="4">
        <f t="shared" si="7"/>
        <v>3.1534579977698762E-2</v>
      </c>
    </row>
    <row r="253" spans="1:5" x14ac:dyDescent="0.3">
      <c r="A253" s="1">
        <v>38321</v>
      </c>
      <c r="B253">
        <v>0.77290000000000003</v>
      </c>
      <c r="C253">
        <v>-20.65</v>
      </c>
      <c r="D253">
        <f t="shared" si="6"/>
        <v>0.77083500000000005</v>
      </c>
      <c r="E253" s="4">
        <f t="shared" si="7"/>
        <v>3.5585610330934672E-2</v>
      </c>
    </row>
    <row r="254" spans="1:5" x14ac:dyDescent="0.3">
      <c r="A254" s="1">
        <v>38352</v>
      </c>
      <c r="B254">
        <v>0.78029999999999999</v>
      </c>
      <c r="C254">
        <v>-20.9</v>
      </c>
      <c r="D254">
        <f t="shared" si="6"/>
        <v>0.77820999999999996</v>
      </c>
      <c r="E254" s="4">
        <f t="shared" si="7"/>
        <v>1.2278892369962373E-2</v>
      </c>
    </row>
    <row r="255" spans="1:5" x14ac:dyDescent="0.3">
      <c r="A255" s="1">
        <v>38383</v>
      </c>
      <c r="B255">
        <v>0.77569999999999995</v>
      </c>
      <c r="C255">
        <v>-16.600000000000001</v>
      </c>
      <c r="D255">
        <f t="shared" si="6"/>
        <v>0.77403999999999995</v>
      </c>
      <c r="E255" s="4">
        <f t="shared" si="7"/>
        <v>-3.2253504838025884E-3</v>
      </c>
    </row>
    <row r="256" spans="1:5" x14ac:dyDescent="0.3">
      <c r="A256" s="1">
        <v>38411</v>
      </c>
      <c r="B256">
        <v>0.79179999999999995</v>
      </c>
      <c r="C256">
        <v>-19.850000000000001</v>
      </c>
      <c r="D256">
        <f t="shared" si="6"/>
        <v>0.78981499999999993</v>
      </c>
      <c r="E256" s="4">
        <f t="shared" si="7"/>
        <v>2.2944550669216059E-2</v>
      </c>
    </row>
    <row r="257" spans="1:5" x14ac:dyDescent="0.3">
      <c r="A257" s="1">
        <v>38442</v>
      </c>
      <c r="B257">
        <v>0.77300000000000002</v>
      </c>
      <c r="C257">
        <v>-18.38</v>
      </c>
      <c r="D257">
        <f t="shared" si="6"/>
        <v>0.77116200000000001</v>
      </c>
      <c r="E257" s="4">
        <f t="shared" si="7"/>
        <v>-2.1289795711653885E-2</v>
      </c>
    </row>
    <row r="258" spans="1:5" x14ac:dyDescent="0.3">
      <c r="A258" s="1">
        <v>38471</v>
      </c>
      <c r="B258">
        <v>0.78129999999999999</v>
      </c>
      <c r="C258">
        <v>-16.649999999999999</v>
      </c>
      <c r="D258">
        <f t="shared" si="6"/>
        <v>0.77963499999999997</v>
      </c>
      <c r="E258" s="4">
        <f t="shared" si="7"/>
        <v>1.3146394661562656E-2</v>
      </c>
    </row>
    <row r="259" spans="1:5" x14ac:dyDescent="0.3">
      <c r="A259" s="1">
        <v>38503</v>
      </c>
      <c r="B259">
        <v>0.75590000000000002</v>
      </c>
      <c r="C259">
        <v>-16.920000000000002</v>
      </c>
      <c r="D259">
        <f t="shared" ref="D259:D322" si="8">B259+C259/10^4</f>
        <v>0.75420799999999999</v>
      </c>
      <c r="E259" s="4">
        <f t="shared" si="7"/>
        <v>-3.0443733285447614E-2</v>
      </c>
    </row>
    <row r="260" spans="1:5" x14ac:dyDescent="0.3">
      <c r="A260" s="1">
        <v>38533</v>
      </c>
      <c r="B260">
        <v>0.76249999999999996</v>
      </c>
      <c r="C260">
        <v>-14.5</v>
      </c>
      <c r="D260">
        <f t="shared" si="8"/>
        <v>0.76105</v>
      </c>
      <c r="E260" s="4">
        <f t="shared" ref="E260:E323" si="9">(B260-D259)/D259</f>
        <v>1.0994314565743093E-2</v>
      </c>
    </row>
    <row r="261" spans="1:5" x14ac:dyDescent="0.3">
      <c r="A261" s="1">
        <v>38562</v>
      </c>
      <c r="B261">
        <v>0.75660000000000005</v>
      </c>
      <c r="C261">
        <v>-14.27</v>
      </c>
      <c r="D261">
        <f t="shared" si="8"/>
        <v>0.75517300000000009</v>
      </c>
      <c r="E261" s="4">
        <f t="shared" si="9"/>
        <v>-5.8471848104591738E-3</v>
      </c>
    </row>
    <row r="262" spans="1:5" x14ac:dyDescent="0.3">
      <c r="A262" s="1">
        <v>38595</v>
      </c>
      <c r="B262">
        <v>0.75529999999999997</v>
      </c>
      <c r="C262">
        <v>-12.28</v>
      </c>
      <c r="D262">
        <f t="shared" si="8"/>
        <v>0.75407199999999996</v>
      </c>
      <c r="E262" s="4">
        <f t="shared" si="9"/>
        <v>1.6817338543602221E-4</v>
      </c>
    </row>
    <row r="263" spans="1:5" x14ac:dyDescent="0.3">
      <c r="A263" s="1">
        <v>38625</v>
      </c>
      <c r="B263">
        <v>0.76200000000000001</v>
      </c>
      <c r="C263">
        <v>-11.68</v>
      </c>
      <c r="D263">
        <f t="shared" si="8"/>
        <v>0.76083200000000006</v>
      </c>
      <c r="E263" s="4">
        <f t="shared" si="9"/>
        <v>1.0513584909663861E-2</v>
      </c>
    </row>
    <row r="264" spans="1:5" x14ac:dyDescent="0.3">
      <c r="A264" s="1">
        <v>38656</v>
      </c>
      <c r="B264">
        <v>0.74819999999999998</v>
      </c>
      <c r="C264">
        <v>-9.4600000000000009</v>
      </c>
      <c r="D264">
        <f t="shared" si="8"/>
        <v>0.74725399999999997</v>
      </c>
      <c r="E264" s="4">
        <f t="shared" si="9"/>
        <v>-1.6602876850605765E-2</v>
      </c>
    </row>
    <row r="265" spans="1:5" x14ac:dyDescent="0.3">
      <c r="A265" s="1">
        <v>38686</v>
      </c>
      <c r="B265">
        <v>0.73799999999999999</v>
      </c>
      <c r="C265">
        <v>-7.85</v>
      </c>
      <c r="D265">
        <f t="shared" si="8"/>
        <v>0.73721499999999995</v>
      </c>
      <c r="E265" s="4">
        <f t="shared" si="9"/>
        <v>-1.2384008650338419E-2</v>
      </c>
    </row>
    <row r="266" spans="1:5" x14ac:dyDescent="0.3">
      <c r="A266" s="1">
        <v>38716</v>
      </c>
      <c r="B266">
        <v>0.73280000000000001</v>
      </c>
      <c r="C266">
        <v>-7.65</v>
      </c>
      <c r="D266">
        <f t="shared" si="8"/>
        <v>0.73203499999999999</v>
      </c>
      <c r="E266" s="4">
        <f t="shared" si="9"/>
        <v>-5.9887549764993213E-3</v>
      </c>
    </row>
    <row r="267" spans="1:5" x14ac:dyDescent="0.3">
      <c r="A267" s="1">
        <v>38748</v>
      </c>
      <c r="B267">
        <v>0.75819999999999999</v>
      </c>
      <c r="C267">
        <v>-5.69</v>
      </c>
      <c r="D267">
        <f t="shared" si="8"/>
        <v>0.75763099999999994</v>
      </c>
      <c r="E267" s="4">
        <f t="shared" si="9"/>
        <v>3.5742826504197196E-2</v>
      </c>
    </row>
    <row r="268" spans="1:5" x14ac:dyDescent="0.3">
      <c r="A268" s="1">
        <v>38776</v>
      </c>
      <c r="B268">
        <v>0.74229999999999996</v>
      </c>
      <c r="C268">
        <v>-5.54</v>
      </c>
      <c r="D268">
        <f t="shared" si="8"/>
        <v>0.74174599999999991</v>
      </c>
      <c r="E268" s="4">
        <f t="shared" si="9"/>
        <v>-2.0235444431392042E-2</v>
      </c>
    </row>
    <row r="269" spans="1:5" x14ac:dyDescent="0.3">
      <c r="A269" s="1">
        <v>38807</v>
      </c>
      <c r="B269">
        <v>0.71650000000000003</v>
      </c>
      <c r="C269">
        <v>-4.0199999999999996</v>
      </c>
      <c r="D269">
        <f t="shared" si="8"/>
        <v>0.71609800000000001</v>
      </c>
      <c r="E269" s="4">
        <f t="shared" si="9"/>
        <v>-3.403590986671972E-2</v>
      </c>
    </row>
    <row r="270" spans="1:5" x14ac:dyDescent="0.3">
      <c r="A270" s="1">
        <v>38835</v>
      </c>
      <c r="B270">
        <v>0.75960000000000005</v>
      </c>
      <c r="C270">
        <v>-4</v>
      </c>
      <c r="D270">
        <f t="shared" si="8"/>
        <v>0.7592000000000001</v>
      </c>
      <c r="E270" s="4">
        <f t="shared" si="9"/>
        <v>6.074866847833682E-2</v>
      </c>
    </row>
    <row r="271" spans="1:5" x14ac:dyDescent="0.3">
      <c r="A271" s="1">
        <v>38868</v>
      </c>
      <c r="B271">
        <v>0.75219999999999998</v>
      </c>
      <c r="C271">
        <v>-4.13</v>
      </c>
      <c r="D271">
        <f t="shared" si="8"/>
        <v>0.75178699999999998</v>
      </c>
      <c r="E271" s="4">
        <f t="shared" si="9"/>
        <v>-9.2202318229717018E-3</v>
      </c>
    </row>
    <row r="272" spans="1:5" x14ac:dyDescent="0.3">
      <c r="A272" s="1">
        <v>38898</v>
      </c>
      <c r="B272">
        <v>0.74209999999999998</v>
      </c>
      <c r="C272">
        <v>-3.45</v>
      </c>
      <c r="D272">
        <f t="shared" si="8"/>
        <v>0.74175499999999994</v>
      </c>
      <c r="E272" s="4">
        <f t="shared" si="9"/>
        <v>-1.2885298628467906E-2</v>
      </c>
    </row>
    <row r="273" spans="1:5" x14ac:dyDescent="0.3">
      <c r="A273" s="1">
        <v>38929</v>
      </c>
      <c r="B273">
        <v>0.76649999999999996</v>
      </c>
      <c r="C273">
        <v>-4.38</v>
      </c>
      <c r="D273">
        <f t="shared" si="8"/>
        <v>0.76606199999999991</v>
      </c>
      <c r="E273" s="4">
        <f t="shared" si="9"/>
        <v>3.3360071721794955E-2</v>
      </c>
    </row>
    <row r="274" spans="1:5" x14ac:dyDescent="0.3">
      <c r="A274" s="1">
        <v>38960</v>
      </c>
      <c r="B274">
        <v>0.76380000000000003</v>
      </c>
      <c r="C274">
        <v>-4.4000000000000004</v>
      </c>
      <c r="D274">
        <f t="shared" si="8"/>
        <v>0.76336000000000004</v>
      </c>
      <c r="E274" s="4">
        <f t="shared" si="9"/>
        <v>-2.9527636144331339E-3</v>
      </c>
    </row>
    <row r="275" spans="1:5" x14ac:dyDescent="0.3">
      <c r="A275" s="1">
        <v>38989</v>
      </c>
      <c r="B275">
        <v>0.74609999999999999</v>
      </c>
      <c r="C275">
        <v>-5.05</v>
      </c>
      <c r="D275">
        <f t="shared" si="8"/>
        <v>0.74559500000000001</v>
      </c>
      <c r="E275" s="4">
        <f t="shared" si="9"/>
        <v>-2.2610563823097951E-2</v>
      </c>
    </row>
    <row r="276" spans="1:5" x14ac:dyDescent="0.3">
      <c r="A276" s="1">
        <v>39021</v>
      </c>
      <c r="B276">
        <v>0.77380000000000004</v>
      </c>
      <c r="C276">
        <v>-5.97</v>
      </c>
      <c r="D276">
        <f t="shared" si="8"/>
        <v>0.77320300000000008</v>
      </c>
      <c r="E276" s="4">
        <f t="shared" si="9"/>
        <v>3.7828848101180985E-2</v>
      </c>
    </row>
    <row r="277" spans="1:5" x14ac:dyDescent="0.3">
      <c r="A277" s="1">
        <v>39051</v>
      </c>
      <c r="B277">
        <v>0.78890000000000005</v>
      </c>
      <c r="C277">
        <v>-6.18</v>
      </c>
      <c r="D277">
        <f t="shared" si="8"/>
        <v>0.78828200000000004</v>
      </c>
      <c r="E277" s="4">
        <f t="shared" si="9"/>
        <v>2.0301266290999855E-2</v>
      </c>
    </row>
    <row r="278" spans="1:5" x14ac:dyDescent="0.3">
      <c r="A278" s="1">
        <v>39080</v>
      </c>
      <c r="B278">
        <v>0.78849999999999998</v>
      </c>
      <c r="C278">
        <v>-6.8</v>
      </c>
      <c r="D278">
        <f t="shared" si="8"/>
        <v>0.78781999999999996</v>
      </c>
      <c r="E278" s="4">
        <f t="shared" si="9"/>
        <v>2.7655077751355536E-4</v>
      </c>
    </row>
    <row r="279" spans="1:5" x14ac:dyDescent="0.3">
      <c r="A279" s="1">
        <v>39113</v>
      </c>
      <c r="B279">
        <v>0.77690000000000003</v>
      </c>
      <c r="C279">
        <v>-5.63</v>
      </c>
      <c r="D279">
        <f t="shared" si="8"/>
        <v>0.77633700000000005</v>
      </c>
      <c r="E279" s="4">
        <f t="shared" si="9"/>
        <v>-1.3861034246401375E-2</v>
      </c>
    </row>
    <row r="280" spans="1:5" x14ac:dyDescent="0.3">
      <c r="A280" s="1">
        <v>39141</v>
      </c>
      <c r="B280">
        <v>0.78790000000000004</v>
      </c>
      <c r="C280">
        <v>-6.35</v>
      </c>
      <c r="D280">
        <f t="shared" si="8"/>
        <v>0.78726499999999999</v>
      </c>
      <c r="E280" s="4">
        <f t="shared" si="9"/>
        <v>1.4894304921702803E-2</v>
      </c>
    </row>
    <row r="281" spans="1:5" x14ac:dyDescent="0.3">
      <c r="A281" s="1">
        <v>39171</v>
      </c>
      <c r="B281">
        <v>0.80859999999999999</v>
      </c>
      <c r="C281">
        <v>-6.98</v>
      </c>
      <c r="D281">
        <f t="shared" si="8"/>
        <v>0.80790200000000001</v>
      </c>
      <c r="E281" s="4">
        <f t="shared" si="9"/>
        <v>2.7100150521107879E-2</v>
      </c>
    </row>
    <row r="282" spans="1:5" x14ac:dyDescent="0.3">
      <c r="A282" s="1">
        <v>39202</v>
      </c>
      <c r="B282">
        <v>0.83009999999999995</v>
      </c>
      <c r="C282">
        <v>-6.95</v>
      </c>
      <c r="D282">
        <f t="shared" si="8"/>
        <v>0.82940499999999995</v>
      </c>
      <c r="E282" s="4">
        <f t="shared" si="9"/>
        <v>2.7476104775084033E-2</v>
      </c>
    </row>
    <row r="283" spans="1:5" x14ac:dyDescent="0.3">
      <c r="A283" s="1">
        <v>39233</v>
      </c>
      <c r="B283">
        <v>0.82789999999999997</v>
      </c>
      <c r="C283">
        <v>-6.49</v>
      </c>
      <c r="D283">
        <f t="shared" si="8"/>
        <v>0.82725099999999996</v>
      </c>
      <c r="E283" s="4">
        <f t="shared" si="9"/>
        <v>-1.8145538066444966E-3</v>
      </c>
    </row>
    <row r="284" spans="1:5" x14ac:dyDescent="0.3">
      <c r="A284" s="1">
        <v>39262</v>
      </c>
      <c r="B284">
        <v>0.84940000000000004</v>
      </c>
      <c r="C284">
        <v>-6.78</v>
      </c>
      <c r="D284">
        <f t="shared" si="8"/>
        <v>0.84872200000000009</v>
      </c>
      <c r="E284" s="4">
        <f t="shared" si="9"/>
        <v>2.6774219674560788E-2</v>
      </c>
    </row>
    <row r="285" spans="1:5" x14ac:dyDescent="0.3">
      <c r="A285" s="1">
        <v>39294</v>
      </c>
      <c r="B285">
        <v>0.85170000000000001</v>
      </c>
      <c r="C285">
        <v>-8.39</v>
      </c>
      <c r="D285">
        <f t="shared" si="8"/>
        <v>0.85086099999999998</v>
      </c>
      <c r="E285" s="4">
        <f t="shared" si="9"/>
        <v>3.5088050032872071E-3</v>
      </c>
    </row>
    <row r="286" spans="1:5" x14ac:dyDescent="0.3">
      <c r="A286" s="1">
        <v>39325</v>
      </c>
      <c r="B286">
        <v>0.81859999999999999</v>
      </c>
      <c r="C286">
        <v>-6.85</v>
      </c>
      <c r="D286">
        <f t="shared" si="8"/>
        <v>0.81791499999999995</v>
      </c>
      <c r="E286" s="4">
        <f t="shared" si="9"/>
        <v>-3.7915711261886469E-2</v>
      </c>
    </row>
    <row r="287" spans="1:5" x14ac:dyDescent="0.3">
      <c r="A287" s="1">
        <v>39353</v>
      </c>
      <c r="B287">
        <v>0.88790000000000002</v>
      </c>
      <c r="C287">
        <v>-11.83</v>
      </c>
      <c r="D287">
        <f t="shared" si="8"/>
        <v>0.88671699999999998</v>
      </c>
      <c r="E287" s="4">
        <f t="shared" si="9"/>
        <v>8.5565125960521668E-2</v>
      </c>
    </row>
    <row r="288" spans="1:5" x14ac:dyDescent="0.3">
      <c r="A288" s="1">
        <v>39386</v>
      </c>
      <c r="B288">
        <v>0.93410000000000004</v>
      </c>
      <c r="C288">
        <v>-15.65</v>
      </c>
      <c r="D288">
        <f t="shared" si="8"/>
        <v>0.932535</v>
      </c>
      <c r="E288" s="4">
        <f t="shared" si="9"/>
        <v>5.3436440262225791E-2</v>
      </c>
    </row>
    <row r="289" spans="1:5" x14ac:dyDescent="0.3">
      <c r="A289" s="1">
        <v>39416</v>
      </c>
      <c r="B289">
        <v>0.88439999999999996</v>
      </c>
      <c r="C289">
        <v>-10.47</v>
      </c>
      <c r="D289">
        <f t="shared" si="8"/>
        <v>0.88335299999999994</v>
      </c>
      <c r="E289" s="4">
        <f t="shared" si="9"/>
        <v>-5.1617365568048426E-2</v>
      </c>
    </row>
    <row r="290" spans="1:5" x14ac:dyDescent="0.3">
      <c r="A290" s="1">
        <v>39447</v>
      </c>
      <c r="B290">
        <v>0.87509999999999999</v>
      </c>
      <c r="C290">
        <v>-14.53</v>
      </c>
      <c r="D290">
        <f t="shared" si="8"/>
        <v>0.87364699999999995</v>
      </c>
      <c r="E290" s="4">
        <f t="shared" si="9"/>
        <v>-9.3428108581732963E-3</v>
      </c>
    </row>
    <row r="291" spans="1:5" x14ac:dyDescent="0.3">
      <c r="A291" s="1">
        <v>39478</v>
      </c>
      <c r="B291">
        <v>0.89559999999999995</v>
      </c>
      <c r="C291">
        <v>-27.14</v>
      </c>
      <c r="D291">
        <f t="shared" si="8"/>
        <v>0.89288599999999996</v>
      </c>
      <c r="E291" s="4">
        <f t="shared" si="9"/>
        <v>2.5127997921357254E-2</v>
      </c>
    </row>
    <row r="292" spans="1:5" x14ac:dyDescent="0.3">
      <c r="A292" s="1">
        <v>39507</v>
      </c>
      <c r="B292">
        <v>0.93089999999999995</v>
      </c>
      <c r="C292">
        <v>-34.65</v>
      </c>
      <c r="D292">
        <f t="shared" si="8"/>
        <v>0.9274349999999999</v>
      </c>
      <c r="E292" s="4">
        <f t="shared" si="9"/>
        <v>4.257430399849476E-2</v>
      </c>
    </row>
    <row r="293" spans="1:5" x14ac:dyDescent="0.3">
      <c r="A293" s="1">
        <v>39538</v>
      </c>
      <c r="B293">
        <v>0.91310000000000002</v>
      </c>
      <c r="C293">
        <v>-35.130000000000003</v>
      </c>
      <c r="D293">
        <f t="shared" si="8"/>
        <v>0.90958700000000003</v>
      </c>
      <c r="E293" s="4">
        <f t="shared" si="9"/>
        <v>-1.5456608818946747E-2</v>
      </c>
    </row>
    <row r="294" spans="1:5" x14ac:dyDescent="0.3">
      <c r="A294" s="1">
        <v>39568</v>
      </c>
      <c r="B294">
        <v>0.94369999999999998</v>
      </c>
      <c r="C294">
        <v>-37.200000000000003</v>
      </c>
      <c r="D294">
        <f t="shared" si="8"/>
        <v>0.93998000000000004</v>
      </c>
      <c r="E294" s="4">
        <f t="shared" si="9"/>
        <v>3.7503834157700089E-2</v>
      </c>
    </row>
    <row r="295" spans="1:5" x14ac:dyDescent="0.3">
      <c r="A295" s="1">
        <v>39598</v>
      </c>
      <c r="B295">
        <v>0.95599999999999996</v>
      </c>
      <c r="C295">
        <v>-37.29</v>
      </c>
      <c r="D295">
        <f t="shared" si="8"/>
        <v>0.95227099999999998</v>
      </c>
      <c r="E295" s="4">
        <f t="shared" si="9"/>
        <v>1.7042915806719211E-2</v>
      </c>
    </row>
    <row r="296" spans="1:5" x14ac:dyDescent="0.3">
      <c r="A296" s="1">
        <v>39629</v>
      </c>
      <c r="B296">
        <v>0.95860000000000001</v>
      </c>
      <c r="C296">
        <v>-42.36</v>
      </c>
      <c r="D296">
        <f t="shared" si="8"/>
        <v>0.95436399999999999</v>
      </c>
      <c r="E296" s="4">
        <f t="shared" si="9"/>
        <v>6.6462173057879837E-3</v>
      </c>
    </row>
    <row r="297" spans="1:5" x14ac:dyDescent="0.3">
      <c r="A297" s="1">
        <v>39660</v>
      </c>
      <c r="B297">
        <v>0.94230000000000003</v>
      </c>
      <c r="C297">
        <v>-38.47</v>
      </c>
      <c r="D297">
        <f t="shared" si="8"/>
        <v>0.93845299999999998</v>
      </c>
      <c r="E297" s="4">
        <f t="shared" si="9"/>
        <v>-1.2640879161410074E-2</v>
      </c>
    </row>
    <row r="298" spans="1:5" x14ac:dyDescent="0.3">
      <c r="A298" s="1">
        <v>39689</v>
      </c>
      <c r="B298">
        <v>0.85780000000000001</v>
      </c>
      <c r="C298">
        <v>-31.64</v>
      </c>
      <c r="D298">
        <f t="shared" si="8"/>
        <v>0.85463599999999995</v>
      </c>
      <c r="E298" s="4">
        <f t="shared" si="9"/>
        <v>-8.594250324736559E-2</v>
      </c>
    </row>
    <row r="299" spans="1:5" x14ac:dyDescent="0.3">
      <c r="A299" s="1">
        <v>39721</v>
      </c>
      <c r="B299">
        <v>0.79239999999999999</v>
      </c>
      <c r="C299">
        <v>-6.95</v>
      </c>
      <c r="D299">
        <f t="shared" si="8"/>
        <v>0.79170499999999999</v>
      </c>
      <c r="E299" s="4">
        <f t="shared" si="9"/>
        <v>-7.282164570647616E-2</v>
      </c>
    </row>
    <row r="300" spans="1:5" x14ac:dyDescent="0.3">
      <c r="A300" s="1">
        <v>39752</v>
      </c>
      <c r="B300">
        <v>0.66779999999999995</v>
      </c>
      <c r="C300">
        <v>-20.14</v>
      </c>
      <c r="D300">
        <f t="shared" si="8"/>
        <v>0.66578599999999999</v>
      </c>
      <c r="E300" s="4">
        <f t="shared" si="9"/>
        <v>-0.15650400085890584</v>
      </c>
    </row>
    <row r="301" spans="1:5" x14ac:dyDescent="0.3">
      <c r="A301" s="1">
        <v>39780</v>
      </c>
      <c r="B301">
        <v>0.65529999999999999</v>
      </c>
      <c r="C301">
        <v>-10.01</v>
      </c>
      <c r="D301">
        <f t="shared" si="8"/>
        <v>0.65429899999999996</v>
      </c>
      <c r="E301" s="4">
        <f t="shared" si="9"/>
        <v>-1.574980549305632E-2</v>
      </c>
    </row>
    <row r="302" spans="1:5" x14ac:dyDescent="0.3">
      <c r="A302" s="1">
        <v>39813</v>
      </c>
      <c r="B302">
        <v>0.70269999999999999</v>
      </c>
      <c r="C302">
        <v>-24.86</v>
      </c>
      <c r="D302">
        <f t="shared" si="8"/>
        <v>0.700214</v>
      </c>
      <c r="E302" s="4">
        <f t="shared" si="9"/>
        <v>7.3973825422322254E-2</v>
      </c>
    </row>
    <row r="303" spans="1:5" x14ac:dyDescent="0.3">
      <c r="A303" s="1">
        <v>39843</v>
      </c>
      <c r="B303">
        <v>0.63749999999999996</v>
      </c>
      <c r="C303">
        <v>-14.29</v>
      </c>
      <c r="D303">
        <f t="shared" si="8"/>
        <v>0.63607099999999994</v>
      </c>
      <c r="E303" s="4">
        <f t="shared" si="9"/>
        <v>-8.9564047562602361E-2</v>
      </c>
    </row>
    <row r="304" spans="1:5" x14ac:dyDescent="0.3">
      <c r="A304" s="1">
        <v>39871</v>
      </c>
      <c r="B304">
        <v>0.63900000000000001</v>
      </c>
      <c r="C304">
        <v>-14.38</v>
      </c>
      <c r="D304">
        <f t="shared" si="8"/>
        <v>0.63756199999999996</v>
      </c>
      <c r="E304" s="4">
        <f t="shared" si="9"/>
        <v>4.6048318505325205E-3</v>
      </c>
    </row>
    <row r="305" spans="1:5" x14ac:dyDescent="0.3">
      <c r="A305" s="1">
        <v>39903</v>
      </c>
      <c r="B305">
        <v>0.69130000000000003</v>
      </c>
      <c r="C305">
        <v>-15.06</v>
      </c>
      <c r="D305">
        <f t="shared" si="8"/>
        <v>0.68979400000000002</v>
      </c>
      <c r="E305" s="4">
        <f t="shared" si="9"/>
        <v>8.4286704665585563E-2</v>
      </c>
    </row>
    <row r="306" spans="1:5" x14ac:dyDescent="0.3">
      <c r="A306" s="1">
        <v>39933</v>
      </c>
      <c r="B306">
        <v>0.72560000000000002</v>
      </c>
      <c r="C306">
        <v>-15.42</v>
      </c>
      <c r="D306">
        <f t="shared" si="8"/>
        <v>0.72405799999999998</v>
      </c>
      <c r="E306" s="4">
        <f t="shared" si="9"/>
        <v>5.1908250869100052E-2</v>
      </c>
    </row>
    <row r="307" spans="1:5" x14ac:dyDescent="0.3">
      <c r="A307" s="1">
        <v>39962</v>
      </c>
      <c r="B307">
        <v>0.80110000000000003</v>
      </c>
      <c r="C307">
        <v>-17.36</v>
      </c>
      <c r="D307">
        <f t="shared" si="8"/>
        <v>0.79936400000000007</v>
      </c>
      <c r="E307" s="4">
        <f t="shared" si="9"/>
        <v>0.1064030782064421</v>
      </c>
    </row>
    <row r="308" spans="1:5" x14ac:dyDescent="0.3">
      <c r="A308" s="1">
        <v>39994</v>
      </c>
      <c r="B308">
        <v>0.80640000000000001</v>
      </c>
      <c r="C308">
        <v>-19.57</v>
      </c>
      <c r="D308">
        <f t="shared" si="8"/>
        <v>0.80444300000000002</v>
      </c>
      <c r="E308" s="4">
        <f t="shared" si="9"/>
        <v>8.8019975880824393E-3</v>
      </c>
    </row>
    <row r="309" spans="1:5" x14ac:dyDescent="0.3">
      <c r="A309" s="1">
        <v>40025</v>
      </c>
      <c r="B309">
        <v>0.83589999999999998</v>
      </c>
      <c r="C309">
        <v>-20.6</v>
      </c>
      <c r="D309">
        <f t="shared" si="8"/>
        <v>0.83384000000000003</v>
      </c>
      <c r="E309" s="4">
        <f t="shared" si="9"/>
        <v>3.9104075739362462E-2</v>
      </c>
    </row>
    <row r="310" spans="1:5" x14ac:dyDescent="0.3">
      <c r="A310" s="1">
        <v>40056</v>
      </c>
      <c r="B310">
        <v>0.84389999999999998</v>
      </c>
      <c r="C310">
        <v>-19.48</v>
      </c>
      <c r="D310">
        <f t="shared" si="8"/>
        <v>0.84195200000000003</v>
      </c>
      <c r="E310" s="4">
        <f t="shared" si="9"/>
        <v>1.2064664683872154E-2</v>
      </c>
    </row>
    <row r="311" spans="1:5" x14ac:dyDescent="0.3">
      <c r="A311" s="1">
        <v>40086</v>
      </c>
      <c r="B311">
        <v>0.88280000000000003</v>
      </c>
      <c r="C311">
        <v>-21.4</v>
      </c>
      <c r="D311">
        <f t="shared" si="8"/>
        <v>0.88066</v>
      </c>
      <c r="E311" s="4">
        <f t="shared" si="9"/>
        <v>4.8515829881038343E-2</v>
      </c>
    </row>
    <row r="312" spans="1:5" x14ac:dyDescent="0.3">
      <c r="A312" s="1">
        <v>40116</v>
      </c>
      <c r="B312">
        <v>0.89970000000000006</v>
      </c>
      <c r="C312">
        <v>-25.06</v>
      </c>
      <c r="D312">
        <f t="shared" si="8"/>
        <v>0.89719400000000005</v>
      </c>
      <c r="E312" s="4">
        <f t="shared" si="9"/>
        <v>2.1620148524969972E-2</v>
      </c>
    </row>
    <row r="313" spans="1:5" x14ac:dyDescent="0.3">
      <c r="A313" s="1">
        <v>40147</v>
      </c>
      <c r="B313">
        <v>0.91600000000000004</v>
      </c>
      <c r="C313">
        <v>-29.12</v>
      </c>
      <c r="D313">
        <f t="shared" si="8"/>
        <v>0.91308800000000001</v>
      </c>
      <c r="E313" s="4">
        <f t="shared" si="9"/>
        <v>2.0960907005619731E-2</v>
      </c>
    </row>
    <row r="314" spans="1:5" x14ac:dyDescent="0.3">
      <c r="A314" s="1">
        <v>40178</v>
      </c>
      <c r="B314">
        <v>0.89770000000000005</v>
      </c>
      <c r="C314">
        <v>-27.97</v>
      </c>
      <c r="D314">
        <f t="shared" si="8"/>
        <v>0.894903</v>
      </c>
      <c r="E314" s="4">
        <f t="shared" si="9"/>
        <v>-1.6852702039671923E-2</v>
      </c>
    </row>
    <row r="315" spans="1:5" x14ac:dyDescent="0.3">
      <c r="A315" s="1">
        <v>40207</v>
      </c>
      <c r="B315">
        <v>0.88380000000000003</v>
      </c>
      <c r="C315">
        <v>-25.85</v>
      </c>
      <c r="D315">
        <f t="shared" si="8"/>
        <v>0.88121500000000008</v>
      </c>
      <c r="E315" s="4">
        <f t="shared" si="9"/>
        <v>-1.2406931254001802E-2</v>
      </c>
    </row>
    <row r="316" spans="1:5" x14ac:dyDescent="0.3">
      <c r="A316" s="1">
        <v>40235</v>
      </c>
      <c r="B316">
        <v>0.89539999999999997</v>
      </c>
      <c r="C316">
        <v>-32.33</v>
      </c>
      <c r="D316">
        <f t="shared" si="8"/>
        <v>0.89216699999999993</v>
      </c>
      <c r="E316" s="4">
        <f t="shared" si="9"/>
        <v>1.6097093217886545E-2</v>
      </c>
    </row>
    <row r="317" spans="1:5" x14ac:dyDescent="0.3">
      <c r="A317" s="1">
        <v>40268</v>
      </c>
      <c r="B317">
        <v>0.91720000000000002</v>
      </c>
      <c r="C317">
        <v>-29.81</v>
      </c>
      <c r="D317">
        <f t="shared" si="8"/>
        <v>0.914219</v>
      </c>
      <c r="E317" s="4">
        <f t="shared" si="9"/>
        <v>2.8058648212722602E-2</v>
      </c>
    </row>
    <row r="318" spans="1:5" x14ac:dyDescent="0.3">
      <c r="A318" s="1">
        <v>40298</v>
      </c>
      <c r="B318">
        <v>0.92430000000000001</v>
      </c>
      <c r="C318">
        <v>-32.35</v>
      </c>
      <c r="D318">
        <f t="shared" si="8"/>
        <v>0.92106500000000002</v>
      </c>
      <c r="E318" s="4">
        <f t="shared" si="9"/>
        <v>1.102689836899037E-2</v>
      </c>
    </row>
    <row r="319" spans="1:5" x14ac:dyDescent="0.3">
      <c r="A319" s="1">
        <v>40329</v>
      </c>
      <c r="B319">
        <v>0.84589999999999999</v>
      </c>
      <c r="C319">
        <v>-28.9</v>
      </c>
      <c r="D319">
        <f t="shared" si="8"/>
        <v>0.84301000000000004</v>
      </c>
      <c r="E319" s="4">
        <f t="shared" si="9"/>
        <v>-8.1606618425409755E-2</v>
      </c>
    </row>
    <row r="320" spans="1:5" x14ac:dyDescent="0.3">
      <c r="A320" s="1">
        <v>40359</v>
      </c>
      <c r="B320">
        <v>0.84079999999999999</v>
      </c>
      <c r="C320">
        <v>-30.83</v>
      </c>
      <c r="D320">
        <f t="shared" si="8"/>
        <v>0.83771700000000004</v>
      </c>
      <c r="E320" s="4">
        <f t="shared" si="9"/>
        <v>-2.6215584631262322E-3</v>
      </c>
    </row>
    <row r="321" spans="1:5" x14ac:dyDescent="0.3">
      <c r="A321" s="1">
        <v>40389</v>
      </c>
      <c r="B321">
        <v>0.9042</v>
      </c>
      <c r="C321">
        <v>-35.700000000000003</v>
      </c>
      <c r="D321">
        <f t="shared" si="8"/>
        <v>0.90063000000000004</v>
      </c>
      <c r="E321" s="4">
        <f t="shared" si="9"/>
        <v>7.9362123485616207E-2</v>
      </c>
    </row>
    <row r="322" spans="1:5" x14ac:dyDescent="0.3">
      <c r="A322" s="1">
        <v>40421</v>
      </c>
      <c r="B322">
        <v>0.89059999999999995</v>
      </c>
      <c r="C322">
        <v>-34.659999999999997</v>
      </c>
      <c r="D322">
        <f t="shared" si="8"/>
        <v>0.88713399999999998</v>
      </c>
      <c r="E322" s="4">
        <f t="shared" si="9"/>
        <v>-1.1136648790291345E-2</v>
      </c>
    </row>
    <row r="323" spans="1:5" x14ac:dyDescent="0.3">
      <c r="A323" s="1">
        <v>40451</v>
      </c>
      <c r="B323">
        <v>0.96709999999999996</v>
      </c>
      <c r="C323">
        <v>-36.06</v>
      </c>
      <c r="D323">
        <f t="shared" ref="D323:D386" si="10">B323+C323/10^4</f>
        <v>0.96349399999999996</v>
      </c>
      <c r="E323" s="4">
        <f t="shared" si="9"/>
        <v>9.0139708319149067E-2</v>
      </c>
    </row>
    <row r="324" spans="1:5" x14ac:dyDescent="0.3">
      <c r="A324" s="1">
        <v>40480</v>
      </c>
      <c r="B324">
        <v>0.98350000000000004</v>
      </c>
      <c r="C324">
        <v>-35.18</v>
      </c>
      <c r="D324">
        <f t="shared" si="10"/>
        <v>0.97998200000000002</v>
      </c>
      <c r="E324" s="4">
        <f t="shared" ref="E324:E387" si="11">(B324-D323)/D323</f>
        <v>2.0764010985019191E-2</v>
      </c>
    </row>
    <row r="325" spans="1:5" x14ac:dyDescent="0.3">
      <c r="A325" s="1">
        <v>40512</v>
      </c>
      <c r="B325">
        <v>0.95879999999999999</v>
      </c>
      <c r="C325">
        <v>-37.58</v>
      </c>
      <c r="D325">
        <f t="shared" si="10"/>
        <v>0.95504199999999995</v>
      </c>
      <c r="E325" s="4">
        <f t="shared" si="11"/>
        <v>-2.1614682718662213E-2</v>
      </c>
    </row>
    <row r="326" spans="1:5" x14ac:dyDescent="0.3">
      <c r="A326" s="1">
        <v>40543</v>
      </c>
      <c r="B326">
        <v>1.0233000000000001</v>
      </c>
      <c r="C326">
        <v>-41.82</v>
      </c>
      <c r="D326">
        <f t="shared" si="10"/>
        <v>1.0191180000000002</v>
      </c>
      <c r="E326" s="4">
        <f t="shared" si="11"/>
        <v>7.1471202313615687E-2</v>
      </c>
    </row>
    <row r="327" spans="1:5" x14ac:dyDescent="0.3">
      <c r="A327" s="1">
        <v>40574</v>
      </c>
      <c r="B327">
        <v>0.99739999999999995</v>
      </c>
      <c r="C327">
        <v>-34.520000000000003</v>
      </c>
      <c r="D327">
        <f t="shared" si="10"/>
        <v>0.99394799999999994</v>
      </c>
      <c r="E327" s="4">
        <f t="shared" si="11"/>
        <v>-2.1310584250302942E-2</v>
      </c>
    </row>
    <row r="328" spans="1:5" x14ac:dyDescent="0.3">
      <c r="A328" s="1">
        <v>40602</v>
      </c>
      <c r="B328">
        <v>1.0185999999999999</v>
      </c>
      <c r="C328">
        <v>-40.619999999999997</v>
      </c>
      <c r="D328">
        <f t="shared" si="10"/>
        <v>1.0145379999999999</v>
      </c>
      <c r="E328" s="4">
        <f t="shared" si="11"/>
        <v>2.480210232326038E-2</v>
      </c>
    </row>
    <row r="329" spans="1:5" x14ac:dyDescent="0.3">
      <c r="A329" s="1">
        <v>40633</v>
      </c>
      <c r="B329">
        <v>1.0328999999999999</v>
      </c>
      <c r="C329">
        <v>-38.200000000000003</v>
      </c>
      <c r="D329">
        <f t="shared" si="10"/>
        <v>1.02908</v>
      </c>
      <c r="E329" s="4">
        <f t="shared" si="11"/>
        <v>1.8098878504304413E-2</v>
      </c>
    </row>
    <row r="330" spans="1:5" x14ac:dyDescent="0.3">
      <c r="A330" s="1">
        <v>40662</v>
      </c>
      <c r="B330">
        <v>1.0971</v>
      </c>
      <c r="C330">
        <v>-42.8</v>
      </c>
      <c r="D330">
        <f t="shared" si="10"/>
        <v>1.0928199999999999</v>
      </c>
      <c r="E330" s="4">
        <f t="shared" si="11"/>
        <v>6.6097873829051162E-2</v>
      </c>
    </row>
    <row r="331" spans="1:5" x14ac:dyDescent="0.3">
      <c r="A331" s="1">
        <v>40694</v>
      </c>
      <c r="B331">
        <v>1.0671999999999999</v>
      </c>
      <c r="C331">
        <v>-42.86</v>
      </c>
      <c r="D331">
        <f t="shared" si="10"/>
        <v>1.0629139999999999</v>
      </c>
      <c r="E331" s="4">
        <f t="shared" si="11"/>
        <v>-2.344393404220272E-2</v>
      </c>
    </row>
    <row r="332" spans="1:5" x14ac:dyDescent="0.3">
      <c r="A332" s="1">
        <v>40724</v>
      </c>
      <c r="B332">
        <v>1.0722</v>
      </c>
      <c r="C332">
        <v>-42.03</v>
      </c>
      <c r="D332">
        <f t="shared" si="10"/>
        <v>1.0679970000000001</v>
      </c>
      <c r="E332" s="4">
        <f t="shared" si="11"/>
        <v>8.7363606086664856E-3</v>
      </c>
    </row>
    <row r="333" spans="1:5" x14ac:dyDescent="0.3">
      <c r="A333" s="1">
        <v>40753</v>
      </c>
      <c r="B333">
        <v>1.0992999999999999</v>
      </c>
      <c r="C333">
        <v>-47.1</v>
      </c>
      <c r="D333">
        <f t="shared" si="10"/>
        <v>1.09459</v>
      </c>
      <c r="E333" s="4">
        <f t="shared" si="11"/>
        <v>2.9310007425114356E-2</v>
      </c>
    </row>
    <row r="334" spans="1:5" x14ac:dyDescent="0.3">
      <c r="A334" s="1">
        <v>40786</v>
      </c>
      <c r="B334">
        <v>1.0707</v>
      </c>
      <c r="C334">
        <v>-43.31</v>
      </c>
      <c r="D334">
        <f t="shared" si="10"/>
        <v>1.0663689999999999</v>
      </c>
      <c r="E334" s="4">
        <f t="shared" si="11"/>
        <v>-2.1825523712074812E-2</v>
      </c>
    </row>
    <row r="335" spans="1:5" x14ac:dyDescent="0.3">
      <c r="A335" s="1">
        <v>40816</v>
      </c>
      <c r="B335">
        <v>0.96619999999999995</v>
      </c>
      <c r="C335">
        <v>-39.880000000000003</v>
      </c>
      <c r="D335">
        <f t="shared" si="10"/>
        <v>0.96221199999999996</v>
      </c>
      <c r="E335" s="4">
        <f t="shared" si="11"/>
        <v>-9.3934651138583319E-2</v>
      </c>
    </row>
    <row r="336" spans="1:5" x14ac:dyDescent="0.3">
      <c r="A336" s="1">
        <v>40847</v>
      </c>
      <c r="B336">
        <v>1.0529999999999999</v>
      </c>
      <c r="C336">
        <v>-38.380000000000003</v>
      </c>
      <c r="D336">
        <f t="shared" si="10"/>
        <v>1.0491619999999999</v>
      </c>
      <c r="E336" s="4">
        <f t="shared" si="11"/>
        <v>9.4353427311237012E-2</v>
      </c>
    </row>
    <row r="337" spans="1:5" x14ac:dyDescent="0.3">
      <c r="A337" s="1">
        <v>40877</v>
      </c>
      <c r="B337">
        <v>1.0283</v>
      </c>
      <c r="C337">
        <v>-38.22</v>
      </c>
      <c r="D337">
        <f t="shared" si="10"/>
        <v>1.024478</v>
      </c>
      <c r="E337" s="4">
        <f t="shared" si="11"/>
        <v>-1.9884441106330517E-2</v>
      </c>
    </row>
    <row r="338" spans="1:5" x14ac:dyDescent="0.3">
      <c r="A338" s="1">
        <v>40907</v>
      </c>
      <c r="B338">
        <v>1.0208999999999999</v>
      </c>
      <c r="C338">
        <v>-38.11</v>
      </c>
      <c r="D338">
        <f t="shared" si="10"/>
        <v>1.0170889999999999</v>
      </c>
      <c r="E338" s="4">
        <f t="shared" si="11"/>
        <v>-3.4925103320911539E-3</v>
      </c>
    </row>
    <row r="339" spans="1:5" x14ac:dyDescent="0.3">
      <c r="A339" s="1">
        <v>40939</v>
      </c>
      <c r="B339">
        <v>1.0621</v>
      </c>
      <c r="C339">
        <v>-34.57</v>
      </c>
      <c r="D339">
        <f t="shared" si="10"/>
        <v>1.058643</v>
      </c>
      <c r="E339" s="4">
        <f t="shared" si="11"/>
        <v>4.425473090358871E-2</v>
      </c>
    </row>
    <row r="340" spans="1:5" x14ac:dyDescent="0.3">
      <c r="A340" s="1">
        <v>40968</v>
      </c>
      <c r="B340">
        <v>1.0731999999999999</v>
      </c>
      <c r="C340">
        <v>-37.869999999999997</v>
      </c>
      <c r="D340">
        <f t="shared" si="10"/>
        <v>1.0694129999999999</v>
      </c>
      <c r="E340" s="4">
        <f t="shared" si="11"/>
        <v>1.3750622258872851E-2</v>
      </c>
    </row>
    <row r="341" spans="1:5" x14ac:dyDescent="0.3">
      <c r="A341" s="1">
        <v>40998</v>
      </c>
      <c r="B341">
        <v>1.0346</v>
      </c>
      <c r="C341">
        <v>-35.049999999999997</v>
      </c>
      <c r="D341">
        <f t="shared" si="10"/>
        <v>1.0310949999999999</v>
      </c>
      <c r="E341" s="4">
        <f t="shared" si="11"/>
        <v>-3.2553372738128285E-2</v>
      </c>
    </row>
    <row r="342" spans="1:5" x14ac:dyDescent="0.3">
      <c r="A342" s="1">
        <v>41029</v>
      </c>
      <c r="B342">
        <v>1.0428999999999999</v>
      </c>
      <c r="C342">
        <v>-36.549999999999997</v>
      </c>
      <c r="D342">
        <f t="shared" si="10"/>
        <v>1.039245</v>
      </c>
      <c r="E342" s="4">
        <f t="shared" si="11"/>
        <v>1.144899354569663E-2</v>
      </c>
    </row>
    <row r="343" spans="1:5" x14ac:dyDescent="0.3">
      <c r="A343" s="1">
        <v>41060</v>
      </c>
      <c r="B343">
        <v>0.97340000000000004</v>
      </c>
      <c r="C343">
        <v>-27.88</v>
      </c>
      <c r="D343">
        <f t="shared" si="10"/>
        <v>0.97061200000000003</v>
      </c>
      <c r="E343" s="4">
        <f t="shared" si="11"/>
        <v>-6.33584958311081E-2</v>
      </c>
    </row>
    <row r="344" spans="1:5" x14ac:dyDescent="0.3">
      <c r="A344" s="1">
        <v>41089</v>
      </c>
      <c r="B344">
        <v>1.0238</v>
      </c>
      <c r="C344">
        <v>-30</v>
      </c>
      <c r="D344">
        <f t="shared" si="10"/>
        <v>1.0208000000000002</v>
      </c>
      <c r="E344" s="4">
        <f t="shared" si="11"/>
        <v>5.4798415844848417E-2</v>
      </c>
    </row>
    <row r="345" spans="1:5" x14ac:dyDescent="0.3">
      <c r="A345" s="1">
        <v>41121</v>
      </c>
      <c r="B345">
        <v>1.0503</v>
      </c>
      <c r="C345">
        <v>-31.82</v>
      </c>
      <c r="D345">
        <f t="shared" si="10"/>
        <v>1.047118</v>
      </c>
      <c r="E345" s="4">
        <f t="shared" si="11"/>
        <v>2.8898902821316474E-2</v>
      </c>
    </row>
    <row r="346" spans="1:5" x14ac:dyDescent="0.3">
      <c r="A346" s="1">
        <v>41152</v>
      </c>
      <c r="B346">
        <v>1.0322</v>
      </c>
      <c r="C346">
        <v>-28.71</v>
      </c>
      <c r="D346">
        <f t="shared" si="10"/>
        <v>1.0293289999999999</v>
      </c>
      <c r="E346" s="4">
        <f t="shared" si="11"/>
        <v>-1.4246722909929909E-2</v>
      </c>
    </row>
    <row r="347" spans="1:5" x14ac:dyDescent="0.3">
      <c r="A347" s="1">
        <v>41180</v>
      </c>
      <c r="B347">
        <v>1.0378000000000001</v>
      </c>
      <c r="C347">
        <v>-30.25</v>
      </c>
      <c r="D347">
        <f t="shared" si="10"/>
        <v>1.034775</v>
      </c>
      <c r="E347" s="4">
        <f t="shared" si="11"/>
        <v>8.2296330910720649E-3</v>
      </c>
    </row>
    <row r="348" spans="1:5" x14ac:dyDescent="0.3">
      <c r="A348" s="1">
        <v>41213</v>
      </c>
      <c r="B348">
        <v>1.0376000000000001</v>
      </c>
      <c r="C348">
        <v>-25.15</v>
      </c>
      <c r="D348">
        <f t="shared" si="10"/>
        <v>1.035085</v>
      </c>
      <c r="E348" s="4">
        <f t="shared" si="11"/>
        <v>2.7300620907927593E-3</v>
      </c>
    </row>
    <row r="349" spans="1:5" x14ac:dyDescent="0.3">
      <c r="A349" s="1">
        <v>41243</v>
      </c>
      <c r="B349">
        <v>1.0427999999999999</v>
      </c>
      <c r="C349">
        <v>-24.95</v>
      </c>
      <c r="D349">
        <f t="shared" si="10"/>
        <v>1.040305</v>
      </c>
      <c r="E349" s="4">
        <f t="shared" si="11"/>
        <v>7.4534941574845703E-3</v>
      </c>
    </row>
    <row r="350" spans="1:5" x14ac:dyDescent="0.3">
      <c r="A350" s="1">
        <v>41274</v>
      </c>
      <c r="B350">
        <v>1.0394000000000001</v>
      </c>
      <c r="C350">
        <v>-24.59</v>
      </c>
      <c r="D350">
        <f t="shared" si="10"/>
        <v>1.0369410000000001</v>
      </c>
      <c r="E350" s="4">
        <f t="shared" si="11"/>
        <v>-8.6993718188409512E-4</v>
      </c>
    </row>
    <row r="351" spans="1:5" x14ac:dyDescent="0.3">
      <c r="A351" s="1">
        <v>41305</v>
      </c>
      <c r="B351">
        <v>1.0425</v>
      </c>
      <c r="C351">
        <v>-22.19</v>
      </c>
      <c r="D351">
        <f t="shared" si="10"/>
        <v>1.040281</v>
      </c>
      <c r="E351" s="4">
        <f t="shared" si="11"/>
        <v>5.3609607489720906E-3</v>
      </c>
    </row>
    <row r="352" spans="1:5" x14ac:dyDescent="0.3">
      <c r="A352" s="1">
        <v>41333</v>
      </c>
      <c r="B352">
        <v>1.0215000000000001</v>
      </c>
      <c r="C352">
        <v>-24.1</v>
      </c>
      <c r="D352">
        <f t="shared" si="10"/>
        <v>1.0190900000000001</v>
      </c>
      <c r="E352" s="4">
        <f t="shared" si="11"/>
        <v>-1.8053775854793019E-2</v>
      </c>
    </row>
    <row r="353" spans="1:5" x14ac:dyDescent="0.3">
      <c r="A353" s="1">
        <v>41362</v>
      </c>
      <c r="B353">
        <v>1.0419</v>
      </c>
      <c r="C353">
        <v>-23.24</v>
      </c>
      <c r="D353">
        <f t="shared" si="10"/>
        <v>1.0395760000000001</v>
      </c>
      <c r="E353" s="4">
        <f t="shared" si="11"/>
        <v>2.238271398993219E-2</v>
      </c>
    </row>
    <row r="354" spans="1:5" x14ac:dyDescent="0.3">
      <c r="A354" s="1">
        <v>41394</v>
      </c>
      <c r="B354">
        <v>1.0370999999999999</v>
      </c>
      <c r="C354">
        <v>-24.9</v>
      </c>
      <c r="D354">
        <f t="shared" si="10"/>
        <v>1.0346099999999998</v>
      </c>
      <c r="E354" s="4">
        <f t="shared" si="11"/>
        <v>-2.381740247947379E-3</v>
      </c>
    </row>
    <row r="355" spans="1:5" x14ac:dyDescent="0.3">
      <c r="A355" s="1">
        <v>41425</v>
      </c>
      <c r="B355">
        <v>0.95709999999999995</v>
      </c>
      <c r="C355">
        <v>-21.34</v>
      </c>
      <c r="D355">
        <f t="shared" si="10"/>
        <v>0.95496599999999998</v>
      </c>
      <c r="E355" s="4">
        <f t="shared" si="11"/>
        <v>-7.4917118527754289E-2</v>
      </c>
    </row>
    <row r="356" spans="1:5" x14ac:dyDescent="0.3">
      <c r="A356" s="1">
        <v>41453</v>
      </c>
      <c r="B356">
        <v>0.91379999999999995</v>
      </c>
      <c r="C356">
        <v>-20.78</v>
      </c>
      <c r="D356">
        <f t="shared" si="10"/>
        <v>0.91172199999999992</v>
      </c>
      <c r="E356" s="4">
        <f t="shared" si="11"/>
        <v>-4.3107293872242609E-2</v>
      </c>
    </row>
    <row r="357" spans="1:5" x14ac:dyDescent="0.3">
      <c r="A357" s="1">
        <v>41486</v>
      </c>
      <c r="B357">
        <v>0.8982</v>
      </c>
      <c r="C357">
        <v>-19.649999999999999</v>
      </c>
      <c r="D357">
        <f t="shared" si="10"/>
        <v>0.896235</v>
      </c>
      <c r="E357" s="4">
        <f t="shared" si="11"/>
        <v>-1.4831275322960205E-2</v>
      </c>
    </row>
    <row r="358" spans="1:5" x14ac:dyDescent="0.3">
      <c r="A358" s="1">
        <v>41516</v>
      </c>
      <c r="B358">
        <v>0.8901</v>
      </c>
      <c r="C358">
        <v>-17.489999999999998</v>
      </c>
      <c r="D358">
        <f t="shared" si="10"/>
        <v>0.888351</v>
      </c>
      <c r="E358" s="4">
        <f t="shared" si="11"/>
        <v>-6.8453028502569102E-3</v>
      </c>
    </row>
    <row r="359" spans="1:5" x14ac:dyDescent="0.3">
      <c r="A359" s="1">
        <v>41547</v>
      </c>
      <c r="B359">
        <v>0.93169999999999997</v>
      </c>
      <c r="C359">
        <v>-20.190000000000001</v>
      </c>
      <c r="D359">
        <f t="shared" si="10"/>
        <v>0.92968099999999998</v>
      </c>
      <c r="E359" s="4">
        <f t="shared" si="11"/>
        <v>4.8797153377437487E-2</v>
      </c>
    </row>
    <row r="360" spans="1:5" x14ac:dyDescent="0.3">
      <c r="A360" s="1">
        <v>41578</v>
      </c>
      <c r="B360">
        <v>0.9456</v>
      </c>
      <c r="C360">
        <v>-18.57</v>
      </c>
      <c r="D360">
        <f t="shared" si="10"/>
        <v>0.943743</v>
      </c>
      <c r="E360" s="4">
        <f t="shared" si="11"/>
        <v>1.7123077700845792E-2</v>
      </c>
    </row>
    <row r="361" spans="1:5" x14ac:dyDescent="0.3">
      <c r="A361" s="1">
        <v>41607</v>
      </c>
      <c r="B361">
        <v>0.91080000000000005</v>
      </c>
      <c r="C361">
        <v>-18.09</v>
      </c>
      <c r="D361">
        <f t="shared" si="10"/>
        <v>0.9089910000000001</v>
      </c>
      <c r="E361" s="4">
        <f t="shared" si="11"/>
        <v>-3.4906748977210897E-2</v>
      </c>
    </row>
    <row r="362" spans="1:5" x14ac:dyDescent="0.3">
      <c r="A362" s="1">
        <v>41639</v>
      </c>
      <c r="B362">
        <v>0.89170000000000005</v>
      </c>
      <c r="C362">
        <v>-18.14</v>
      </c>
      <c r="D362">
        <f t="shared" si="10"/>
        <v>0.88988600000000007</v>
      </c>
      <c r="E362" s="4">
        <f t="shared" si="11"/>
        <v>-1.9022190538740269E-2</v>
      </c>
    </row>
    <row r="363" spans="1:5" x14ac:dyDescent="0.3">
      <c r="A363" s="1">
        <v>41670</v>
      </c>
      <c r="B363">
        <v>0.87560000000000004</v>
      </c>
      <c r="C363">
        <v>-16.47</v>
      </c>
      <c r="D363">
        <f t="shared" si="10"/>
        <v>0.87395300000000009</v>
      </c>
      <c r="E363" s="4">
        <f t="shared" si="11"/>
        <v>-1.6053741715230961E-2</v>
      </c>
    </row>
    <row r="364" spans="1:5" x14ac:dyDescent="0.3">
      <c r="A364" s="1">
        <v>41698</v>
      </c>
      <c r="B364">
        <v>0.89239999999999997</v>
      </c>
      <c r="C364">
        <v>-18.579999999999998</v>
      </c>
      <c r="D364">
        <f t="shared" si="10"/>
        <v>0.89054199999999994</v>
      </c>
      <c r="E364" s="4">
        <f t="shared" si="11"/>
        <v>2.110754239644452E-2</v>
      </c>
    </row>
    <row r="365" spans="1:5" x14ac:dyDescent="0.3">
      <c r="A365" s="1">
        <v>41729</v>
      </c>
      <c r="B365">
        <v>0.9264</v>
      </c>
      <c r="C365">
        <v>-19.03</v>
      </c>
      <c r="D365">
        <f t="shared" si="10"/>
        <v>0.92449700000000001</v>
      </c>
      <c r="E365" s="4">
        <f t="shared" si="11"/>
        <v>4.0265366484680182E-2</v>
      </c>
    </row>
    <row r="366" spans="1:5" x14ac:dyDescent="0.3">
      <c r="A366" s="1">
        <v>41759</v>
      </c>
      <c r="B366">
        <v>0.92869999999999997</v>
      </c>
      <c r="C366">
        <v>-19.649999999999999</v>
      </c>
      <c r="D366">
        <f t="shared" si="10"/>
        <v>0.92673499999999998</v>
      </c>
      <c r="E366" s="4">
        <f t="shared" si="11"/>
        <v>4.5462559640539199E-3</v>
      </c>
    </row>
    <row r="367" spans="1:5" x14ac:dyDescent="0.3">
      <c r="A367" s="1">
        <v>41789</v>
      </c>
      <c r="B367">
        <v>0.93100000000000005</v>
      </c>
      <c r="C367">
        <v>-19.309999999999999</v>
      </c>
      <c r="D367">
        <f t="shared" si="10"/>
        <v>0.92906900000000003</v>
      </c>
      <c r="E367" s="4">
        <f t="shared" si="11"/>
        <v>4.6021786163251352E-3</v>
      </c>
    </row>
    <row r="368" spans="1:5" x14ac:dyDescent="0.3">
      <c r="A368" s="1">
        <v>41820</v>
      </c>
      <c r="B368">
        <v>0.94330000000000003</v>
      </c>
      <c r="C368">
        <v>-20.81</v>
      </c>
      <c r="D368">
        <f t="shared" si="10"/>
        <v>0.94121900000000003</v>
      </c>
      <c r="E368" s="4">
        <f t="shared" si="11"/>
        <v>1.5317484492540374E-2</v>
      </c>
    </row>
    <row r="369" spans="1:5" x14ac:dyDescent="0.3">
      <c r="A369" s="1">
        <v>41851</v>
      </c>
      <c r="B369">
        <v>0.92949999999999999</v>
      </c>
      <c r="C369">
        <v>-19.87</v>
      </c>
      <c r="D369">
        <f t="shared" si="10"/>
        <v>0.92751300000000003</v>
      </c>
      <c r="E369" s="4">
        <f t="shared" si="11"/>
        <v>-1.2450874876091573E-2</v>
      </c>
    </row>
    <row r="370" spans="1:5" x14ac:dyDescent="0.3">
      <c r="A370" s="1">
        <v>41880</v>
      </c>
      <c r="B370">
        <v>0.93389999999999995</v>
      </c>
      <c r="C370">
        <v>-19.43</v>
      </c>
      <c r="D370">
        <f t="shared" si="10"/>
        <v>0.93195699999999992</v>
      </c>
      <c r="E370" s="4">
        <f t="shared" si="11"/>
        <v>6.8861568517098095E-3</v>
      </c>
    </row>
    <row r="371" spans="1:5" x14ac:dyDescent="0.3">
      <c r="A371" s="1">
        <v>41912</v>
      </c>
      <c r="B371">
        <v>0.87470000000000003</v>
      </c>
      <c r="C371">
        <v>-19.809999999999999</v>
      </c>
      <c r="D371">
        <f t="shared" si="10"/>
        <v>0.87271900000000002</v>
      </c>
      <c r="E371" s="4">
        <f t="shared" si="11"/>
        <v>-6.1437383913635388E-2</v>
      </c>
    </row>
    <row r="372" spans="1:5" x14ac:dyDescent="0.3">
      <c r="A372" s="1">
        <v>41943</v>
      </c>
      <c r="B372">
        <v>0.87980000000000003</v>
      </c>
      <c r="C372">
        <v>-18.29</v>
      </c>
      <c r="D372">
        <f t="shared" si="10"/>
        <v>0.87797100000000006</v>
      </c>
      <c r="E372" s="4">
        <f t="shared" si="11"/>
        <v>8.1137227446635221E-3</v>
      </c>
    </row>
    <row r="373" spans="1:5" x14ac:dyDescent="0.3">
      <c r="A373" s="1">
        <v>41971</v>
      </c>
      <c r="B373">
        <v>0.85060000000000002</v>
      </c>
      <c r="C373">
        <v>-18.38</v>
      </c>
      <c r="D373">
        <f t="shared" si="10"/>
        <v>0.84876200000000002</v>
      </c>
      <c r="E373" s="4">
        <f t="shared" si="11"/>
        <v>-3.1175289388829509E-2</v>
      </c>
    </row>
    <row r="374" spans="1:5" x14ac:dyDescent="0.3">
      <c r="A374" s="1">
        <v>42004</v>
      </c>
      <c r="B374">
        <v>0.8175</v>
      </c>
      <c r="C374">
        <v>-18.649999999999999</v>
      </c>
      <c r="D374">
        <f t="shared" si="10"/>
        <v>0.815635</v>
      </c>
      <c r="E374" s="4">
        <f t="shared" si="11"/>
        <v>-3.6832468937110771E-2</v>
      </c>
    </row>
    <row r="375" spans="1:5" x14ac:dyDescent="0.3">
      <c r="A375" s="1">
        <v>42034</v>
      </c>
      <c r="B375">
        <v>0.7762</v>
      </c>
      <c r="C375">
        <v>-14.05</v>
      </c>
      <c r="D375">
        <f t="shared" si="10"/>
        <v>0.77479500000000001</v>
      </c>
      <c r="E375" s="4">
        <f t="shared" si="11"/>
        <v>-4.8348832504735574E-2</v>
      </c>
    </row>
    <row r="376" spans="1:5" x14ac:dyDescent="0.3">
      <c r="A376" s="1">
        <v>42062</v>
      </c>
      <c r="B376">
        <v>0.78080000000000005</v>
      </c>
      <c r="C376">
        <v>-15.55</v>
      </c>
      <c r="D376">
        <f t="shared" si="10"/>
        <v>0.77924500000000008</v>
      </c>
      <c r="E376" s="4">
        <f t="shared" si="11"/>
        <v>7.750437212423981E-3</v>
      </c>
    </row>
    <row r="377" spans="1:5" x14ac:dyDescent="0.3">
      <c r="A377" s="1">
        <v>42094</v>
      </c>
      <c r="B377">
        <v>0.76070000000000004</v>
      </c>
      <c r="C377">
        <v>-13.93</v>
      </c>
      <c r="D377">
        <f t="shared" si="10"/>
        <v>0.75930700000000007</v>
      </c>
      <c r="E377" s="4">
        <f t="shared" si="11"/>
        <v>-2.3798676924458972E-2</v>
      </c>
    </row>
    <row r="378" spans="1:5" x14ac:dyDescent="0.3">
      <c r="A378" s="1">
        <v>42124</v>
      </c>
      <c r="B378">
        <v>0.79049999999999998</v>
      </c>
      <c r="C378">
        <v>-13.41</v>
      </c>
      <c r="D378">
        <f t="shared" si="10"/>
        <v>0.78915899999999994</v>
      </c>
      <c r="E378" s="4">
        <f t="shared" si="11"/>
        <v>4.1080880329036756E-2</v>
      </c>
    </row>
    <row r="379" spans="1:5" x14ac:dyDescent="0.3">
      <c r="A379" s="1">
        <v>42153</v>
      </c>
      <c r="B379">
        <v>0.76449999999999996</v>
      </c>
      <c r="C379">
        <v>-12.21</v>
      </c>
      <c r="D379">
        <f t="shared" si="10"/>
        <v>0.76327899999999993</v>
      </c>
      <c r="E379" s="4">
        <f t="shared" si="11"/>
        <v>-3.1247188462654531E-2</v>
      </c>
    </row>
    <row r="380" spans="1:5" x14ac:dyDescent="0.3">
      <c r="A380" s="1">
        <v>42185</v>
      </c>
      <c r="B380">
        <v>0.77070000000000005</v>
      </c>
      <c r="C380">
        <v>-13.85</v>
      </c>
      <c r="D380">
        <f t="shared" si="10"/>
        <v>0.76931500000000008</v>
      </c>
      <c r="E380" s="4">
        <f t="shared" si="11"/>
        <v>9.7225261012029978E-3</v>
      </c>
    </row>
    <row r="381" spans="1:5" x14ac:dyDescent="0.3">
      <c r="A381" s="1">
        <v>42216</v>
      </c>
      <c r="B381">
        <v>0.73080000000000001</v>
      </c>
      <c r="C381">
        <v>-13.49</v>
      </c>
      <c r="D381">
        <f t="shared" si="10"/>
        <v>0.72945099999999996</v>
      </c>
      <c r="E381" s="4">
        <f t="shared" si="11"/>
        <v>-5.0064017990030185E-2</v>
      </c>
    </row>
    <row r="382" spans="1:5" x14ac:dyDescent="0.3">
      <c r="A382" s="1">
        <v>42247</v>
      </c>
      <c r="B382">
        <v>0.71130000000000004</v>
      </c>
      <c r="C382">
        <v>-10.9</v>
      </c>
      <c r="D382">
        <f t="shared" si="10"/>
        <v>0.71021000000000001</v>
      </c>
      <c r="E382" s="4">
        <f t="shared" si="11"/>
        <v>-2.4883097014055663E-2</v>
      </c>
    </row>
    <row r="383" spans="1:5" x14ac:dyDescent="0.3">
      <c r="A383" s="1">
        <v>42277</v>
      </c>
      <c r="B383">
        <v>0.70179999999999998</v>
      </c>
      <c r="C383">
        <v>-11.78</v>
      </c>
      <c r="D383">
        <f t="shared" si="10"/>
        <v>0.70062199999999997</v>
      </c>
      <c r="E383" s="4">
        <f t="shared" si="11"/>
        <v>-1.1841567986933482E-2</v>
      </c>
    </row>
    <row r="384" spans="1:5" x14ac:dyDescent="0.3">
      <c r="A384" s="1">
        <v>42307</v>
      </c>
      <c r="B384">
        <v>0.71379999999999999</v>
      </c>
      <c r="C384">
        <v>-11.05</v>
      </c>
      <c r="D384">
        <f t="shared" si="10"/>
        <v>0.71269499999999997</v>
      </c>
      <c r="E384" s="4">
        <f t="shared" si="11"/>
        <v>1.8809001144697173E-2</v>
      </c>
    </row>
    <row r="385" spans="1:5" x14ac:dyDescent="0.3">
      <c r="A385" s="1">
        <v>42338</v>
      </c>
      <c r="B385">
        <v>0.72270000000000001</v>
      </c>
      <c r="C385">
        <v>-12.41</v>
      </c>
      <c r="D385">
        <f t="shared" si="10"/>
        <v>0.72145899999999996</v>
      </c>
      <c r="E385" s="4">
        <f t="shared" si="11"/>
        <v>1.4038263212173569E-2</v>
      </c>
    </row>
    <row r="386" spans="1:5" x14ac:dyDescent="0.3">
      <c r="A386" s="1">
        <v>42369</v>
      </c>
      <c r="B386">
        <v>0.72860000000000003</v>
      </c>
      <c r="C386">
        <v>-10.99</v>
      </c>
      <c r="D386">
        <f t="shared" si="10"/>
        <v>0.72750100000000006</v>
      </c>
      <c r="E386" s="4">
        <f t="shared" si="11"/>
        <v>9.8979983616533495E-3</v>
      </c>
    </row>
    <row r="387" spans="1:5" x14ac:dyDescent="0.3">
      <c r="A387" s="1">
        <v>42398</v>
      </c>
      <c r="B387">
        <v>0.70840000000000003</v>
      </c>
      <c r="C387">
        <v>-9.8000000000000007</v>
      </c>
      <c r="D387">
        <f t="shared" ref="D387:D450" si="12">B387+C387/10^4</f>
        <v>0.70742000000000005</v>
      </c>
      <c r="E387" s="4">
        <f t="shared" si="11"/>
        <v>-2.6255634012874254E-2</v>
      </c>
    </row>
    <row r="388" spans="1:5" x14ac:dyDescent="0.3">
      <c r="A388" s="1">
        <v>42429</v>
      </c>
      <c r="B388">
        <v>0.71409999999999996</v>
      </c>
      <c r="C388">
        <v>-10.66</v>
      </c>
      <c r="D388">
        <f t="shared" si="12"/>
        <v>0.71303399999999995</v>
      </c>
      <c r="E388" s="4">
        <f t="shared" ref="E388:E451" si="13">(B388-D387)/D387</f>
        <v>9.4427638460884734E-3</v>
      </c>
    </row>
    <row r="389" spans="1:5" x14ac:dyDescent="0.3">
      <c r="A389" s="1">
        <v>42460</v>
      </c>
      <c r="B389">
        <v>0.76570000000000005</v>
      </c>
      <c r="C389">
        <v>-10.5</v>
      </c>
      <c r="D389">
        <f t="shared" si="12"/>
        <v>0.76465000000000005</v>
      </c>
      <c r="E389" s="4">
        <f t="shared" si="13"/>
        <v>7.3861835480496171E-2</v>
      </c>
    </row>
    <row r="390" spans="1:5" x14ac:dyDescent="0.3">
      <c r="A390" s="1">
        <v>42489</v>
      </c>
      <c r="B390">
        <v>0.76029999999999998</v>
      </c>
      <c r="C390">
        <v>-9.6999999999999993</v>
      </c>
      <c r="D390">
        <f t="shared" si="12"/>
        <v>0.75932999999999995</v>
      </c>
      <c r="E390" s="4">
        <f t="shared" si="13"/>
        <v>-5.6888772641078608E-3</v>
      </c>
    </row>
    <row r="391" spans="1:5" x14ac:dyDescent="0.3">
      <c r="A391" s="1">
        <v>42521</v>
      </c>
      <c r="B391">
        <v>0.72340000000000004</v>
      </c>
      <c r="C391">
        <v>-8.6999999999999993</v>
      </c>
      <c r="D391">
        <f t="shared" si="12"/>
        <v>0.72253000000000001</v>
      </c>
      <c r="E391" s="4">
        <f t="shared" si="13"/>
        <v>-4.7318030368877703E-2</v>
      </c>
    </row>
    <row r="392" spans="1:5" x14ac:dyDescent="0.3">
      <c r="A392" s="1">
        <v>42551</v>
      </c>
      <c r="B392">
        <v>0.74509999999999998</v>
      </c>
      <c r="C392">
        <v>-8.48</v>
      </c>
      <c r="D392">
        <f t="shared" si="12"/>
        <v>0.74425200000000002</v>
      </c>
      <c r="E392" s="4">
        <f t="shared" si="13"/>
        <v>3.1237457268210287E-2</v>
      </c>
    </row>
    <row r="393" spans="1:5" x14ac:dyDescent="0.3">
      <c r="A393" s="1">
        <v>42580</v>
      </c>
      <c r="B393">
        <v>0.75960000000000005</v>
      </c>
      <c r="C393">
        <v>-8.14</v>
      </c>
      <c r="D393">
        <f t="shared" si="12"/>
        <v>0.75878600000000007</v>
      </c>
      <c r="E393" s="4">
        <f t="shared" si="13"/>
        <v>2.0622047371051777E-2</v>
      </c>
    </row>
    <row r="394" spans="1:5" x14ac:dyDescent="0.3">
      <c r="A394" s="1">
        <v>42613</v>
      </c>
      <c r="B394">
        <v>0.75170000000000003</v>
      </c>
      <c r="C394">
        <v>-5.91</v>
      </c>
      <c r="D394">
        <f t="shared" si="12"/>
        <v>0.75110900000000003</v>
      </c>
      <c r="E394" s="4">
        <f t="shared" si="13"/>
        <v>-9.3386013974955211E-3</v>
      </c>
    </row>
    <row r="395" spans="1:5" x14ac:dyDescent="0.3">
      <c r="A395" s="1">
        <v>42643</v>
      </c>
      <c r="B395">
        <v>0.76639999999999997</v>
      </c>
      <c r="C395">
        <v>-5.5</v>
      </c>
      <c r="D395">
        <f t="shared" si="12"/>
        <v>0.76584999999999992</v>
      </c>
      <c r="E395" s="4">
        <f t="shared" si="13"/>
        <v>2.0357897455628868E-2</v>
      </c>
    </row>
    <row r="396" spans="1:5" x14ac:dyDescent="0.3">
      <c r="A396" s="1">
        <v>42674</v>
      </c>
      <c r="B396">
        <v>0.76090000000000002</v>
      </c>
      <c r="C396">
        <v>-6.05</v>
      </c>
      <c r="D396">
        <f t="shared" si="12"/>
        <v>0.76029500000000005</v>
      </c>
      <c r="E396" s="4">
        <f t="shared" si="13"/>
        <v>-6.4634066723247363E-3</v>
      </c>
    </row>
    <row r="397" spans="1:5" x14ac:dyDescent="0.3">
      <c r="A397" s="1">
        <v>42704</v>
      </c>
      <c r="B397">
        <v>0.73850000000000005</v>
      </c>
      <c r="C397">
        <v>-5.98</v>
      </c>
      <c r="D397">
        <f t="shared" si="12"/>
        <v>0.73790200000000006</v>
      </c>
      <c r="E397" s="4">
        <f t="shared" si="13"/>
        <v>-2.8666504448931016E-2</v>
      </c>
    </row>
    <row r="398" spans="1:5" x14ac:dyDescent="0.3">
      <c r="A398" s="1">
        <v>42734</v>
      </c>
      <c r="B398">
        <v>0.7208</v>
      </c>
      <c r="C398">
        <v>-5.89</v>
      </c>
      <c r="D398">
        <f t="shared" si="12"/>
        <v>0.72021100000000005</v>
      </c>
      <c r="E398" s="4">
        <f t="shared" si="13"/>
        <v>-2.3176519375201668E-2</v>
      </c>
    </row>
    <row r="399" spans="1:5" x14ac:dyDescent="0.3">
      <c r="A399" s="1">
        <v>42766</v>
      </c>
      <c r="B399">
        <v>0.75849999999999995</v>
      </c>
      <c r="C399">
        <v>-5.09</v>
      </c>
      <c r="D399">
        <f t="shared" si="12"/>
        <v>0.75799099999999997</v>
      </c>
      <c r="E399" s="4">
        <f t="shared" si="13"/>
        <v>5.316358678220675E-2</v>
      </c>
    </row>
    <row r="400" spans="1:5" x14ac:dyDescent="0.3">
      <c r="A400" s="1">
        <v>42794</v>
      </c>
      <c r="B400">
        <v>0.76570000000000005</v>
      </c>
      <c r="C400">
        <v>-5.28</v>
      </c>
      <c r="D400">
        <f t="shared" si="12"/>
        <v>0.76517200000000007</v>
      </c>
      <c r="E400" s="4">
        <f t="shared" si="13"/>
        <v>1.0170305452175656E-2</v>
      </c>
    </row>
    <row r="401" spans="1:5" x14ac:dyDescent="0.3">
      <c r="A401" s="1">
        <v>42825</v>
      </c>
      <c r="B401">
        <v>0.76290000000000002</v>
      </c>
      <c r="C401">
        <v>-4.07</v>
      </c>
      <c r="D401">
        <f t="shared" si="12"/>
        <v>0.76249299999999998</v>
      </c>
      <c r="E401" s="4">
        <f t="shared" si="13"/>
        <v>-2.9692670406131581E-3</v>
      </c>
    </row>
    <row r="402" spans="1:5" x14ac:dyDescent="0.3">
      <c r="A402" s="1">
        <v>42853</v>
      </c>
      <c r="B402">
        <v>0.74880000000000002</v>
      </c>
      <c r="C402">
        <v>-4.1900000000000004</v>
      </c>
      <c r="D402">
        <f t="shared" si="12"/>
        <v>0.74838100000000007</v>
      </c>
      <c r="E402" s="4">
        <f t="shared" si="13"/>
        <v>-1.7958197649027539E-2</v>
      </c>
    </row>
    <row r="403" spans="1:5" x14ac:dyDescent="0.3">
      <c r="A403" s="1">
        <v>42886</v>
      </c>
      <c r="B403">
        <v>0.74299999999999999</v>
      </c>
      <c r="C403">
        <v>-3.68</v>
      </c>
      <c r="D403">
        <f t="shared" si="12"/>
        <v>0.74263199999999996</v>
      </c>
      <c r="E403" s="4">
        <f t="shared" si="13"/>
        <v>-7.19018788558245E-3</v>
      </c>
    </row>
    <row r="404" spans="1:5" x14ac:dyDescent="0.3">
      <c r="A404" s="1">
        <v>42916</v>
      </c>
      <c r="B404">
        <v>0.76890000000000003</v>
      </c>
      <c r="C404">
        <v>-3.14</v>
      </c>
      <c r="D404">
        <f t="shared" si="12"/>
        <v>0.76858599999999999</v>
      </c>
      <c r="E404" s="4">
        <f t="shared" si="13"/>
        <v>3.5371489512975564E-2</v>
      </c>
    </row>
    <row r="405" spans="1:5" x14ac:dyDescent="0.3">
      <c r="A405" s="1">
        <v>42947</v>
      </c>
      <c r="B405">
        <v>0.80030000000000001</v>
      </c>
      <c r="C405">
        <v>-3.29</v>
      </c>
      <c r="D405">
        <f t="shared" si="12"/>
        <v>0.79997099999999999</v>
      </c>
      <c r="E405" s="4">
        <f t="shared" si="13"/>
        <v>4.1262786467617184E-2</v>
      </c>
    </row>
    <row r="406" spans="1:5" x14ac:dyDescent="0.3">
      <c r="A406" s="1">
        <v>42978</v>
      </c>
      <c r="B406">
        <v>0.79469999999999996</v>
      </c>
      <c r="C406">
        <v>-2.75</v>
      </c>
      <c r="D406">
        <f t="shared" si="12"/>
        <v>0.79442499999999994</v>
      </c>
      <c r="E406" s="4">
        <f t="shared" si="13"/>
        <v>-6.5889888508458751E-3</v>
      </c>
    </row>
    <row r="407" spans="1:5" x14ac:dyDescent="0.3">
      <c r="A407" s="1">
        <v>43007</v>
      </c>
      <c r="B407">
        <v>0.78339999999999999</v>
      </c>
      <c r="C407">
        <v>-2.95</v>
      </c>
      <c r="D407">
        <f t="shared" si="12"/>
        <v>0.78310499999999994</v>
      </c>
      <c r="E407" s="4">
        <f t="shared" si="13"/>
        <v>-1.3877962048022094E-2</v>
      </c>
    </row>
    <row r="408" spans="1:5" x14ac:dyDescent="0.3">
      <c r="A408" s="1">
        <v>43039</v>
      </c>
      <c r="B408">
        <v>0.76559999999999995</v>
      </c>
      <c r="C408">
        <v>-2.5</v>
      </c>
      <c r="D408">
        <f t="shared" si="12"/>
        <v>0.76534999999999997</v>
      </c>
      <c r="E408" s="4">
        <f t="shared" si="13"/>
        <v>-2.235332426686076E-2</v>
      </c>
    </row>
    <row r="409" spans="1:5" x14ac:dyDescent="0.3">
      <c r="A409" s="1">
        <v>43069</v>
      </c>
      <c r="B409">
        <v>0.75660000000000005</v>
      </c>
      <c r="C409">
        <v>-1.22</v>
      </c>
      <c r="D409">
        <f t="shared" si="12"/>
        <v>0.75647800000000009</v>
      </c>
      <c r="E409" s="4">
        <f t="shared" si="13"/>
        <v>-1.1432677859802606E-2</v>
      </c>
    </row>
    <row r="410" spans="1:5" x14ac:dyDescent="0.3">
      <c r="A410" s="1">
        <v>43098</v>
      </c>
      <c r="B410">
        <v>0.78090000000000004</v>
      </c>
      <c r="C410">
        <v>0.15</v>
      </c>
      <c r="D410">
        <f t="shared" si="12"/>
        <v>0.78091500000000003</v>
      </c>
      <c r="E410" s="4">
        <f t="shared" si="13"/>
        <v>3.2283820547325821E-2</v>
      </c>
    </row>
    <row r="411" spans="1:5" x14ac:dyDescent="0.3">
      <c r="A411" s="1">
        <v>43131</v>
      </c>
      <c r="B411">
        <v>0.80549999999999999</v>
      </c>
      <c r="C411">
        <v>-0.85</v>
      </c>
      <c r="D411">
        <f t="shared" si="12"/>
        <v>0.80541499999999999</v>
      </c>
      <c r="E411" s="4">
        <f t="shared" si="13"/>
        <v>3.1482299610072755E-2</v>
      </c>
    </row>
    <row r="412" spans="1:5" x14ac:dyDescent="0.3">
      <c r="A412" s="1">
        <v>43159</v>
      </c>
      <c r="B412">
        <v>0.7762</v>
      </c>
      <c r="C412">
        <v>0.25</v>
      </c>
      <c r="D412">
        <f t="shared" si="12"/>
        <v>0.77622500000000005</v>
      </c>
      <c r="E412" s="4">
        <f t="shared" si="13"/>
        <v>-3.627322560419162E-2</v>
      </c>
    </row>
    <row r="413" spans="1:5" x14ac:dyDescent="0.3">
      <c r="A413" s="1">
        <v>43189</v>
      </c>
      <c r="B413">
        <v>0.76790000000000003</v>
      </c>
      <c r="C413">
        <v>0.06</v>
      </c>
      <c r="D413">
        <f t="shared" si="12"/>
        <v>0.76790599999999998</v>
      </c>
      <c r="E413" s="4">
        <f t="shared" si="13"/>
        <v>-1.0724983091242908E-2</v>
      </c>
    </row>
    <row r="414" spans="1:5" x14ac:dyDescent="0.3">
      <c r="A414" s="1">
        <v>43220</v>
      </c>
      <c r="B414">
        <v>0.753</v>
      </c>
      <c r="C414">
        <v>0.42</v>
      </c>
      <c r="D414">
        <f t="shared" si="12"/>
        <v>0.75304199999999999</v>
      </c>
      <c r="E414" s="4">
        <f t="shared" si="13"/>
        <v>-1.9411230020340998E-2</v>
      </c>
    </row>
    <row r="415" spans="1:5" x14ac:dyDescent="0.3">
      <c r="A415" s="1">
        <v>43251</v>
      </c>
      <c r="B415">
        <v>0.75680000000000003</v>
      </c>
      <c r="C415">
        <v>1.42</v>
      </c>
      <c r="D415">
        <f t="shared" si="12"/>
        <v>0.756942</v>
      </c>
      <c r="E415" s="4">
        <f t="shared" si="13"/>
        <v>4.9904255008353304E-3</v>
      </c>
    </row>
    <row r="416" spans="1:5" x14ac:dyDescent="0.3">
      <c r="A416" s="1">
        <v>43280</v>
      </c>
      <c r="B416">
        <v>0.74050000000000005</v>
      </c>
      <c r="C416">
        <v>0.82</v>
      </c>
      <c r="D416">
        <f t="shared" si="12"/>
        <v>0.74058200000000007</v>
      </c>
      <c r="E416" s="4">
        <f t="shared" si="13"/>
        <v>-2.1721611431258878E-2</v>
      </c>
    </row>
    <row r="417" spans="1:5" x14ac:dyDescent="0.3">
      <c r="A417" s="1">
        <v>43312</v>
      </c>
      <c r="B417">
        <v>0.74239999999999995</v>
      </c>
      <c r="C417">
        <v>1.18</v>
      </c>
      <c r="D417">
        <f t="shared" si="12"/>
        <v>0.7425179999999999</v>
      </c>
      <c r="E417" s="4">
        <f t="shared" si="13"/>
        <v>2.4548260692264668E-3</v>
      </c>
    </row>
    <row r="418" spans="1:5" x14ac:dyDescent="0.3">
      <c r="A418" s="1">
        <v>43343</v>
      </c>
      <c r="B418">
        <v>0.71889999999999998</v>
      </c>
      <c r="C418">
        <v>-0.23</v>
      </c>
      <c r="D418">
        <f t="shared" si="12"/>
        <v>0.71887699999999999</v>
      </c>
      <c r="E418" s="4">
        <f t="shared" si="13"/>
        <v>-3.1807983106133343E-2</v>
      </c>
    </row>
    <row r="419" spans="1:5" x14ac:dyDescent="0.3">
      <c r="A419" s="1">
        <v>43371</v>
      </c>
      <c r="B419">
        <v>0.72240000000000004</v>
      </c>
      <c r="C419">
        <v>1.55</v>
      </c>
      <c r="D419">
        <f t="shared" si="12"/>
        <v>0.72255500000000006</v>
      </c>
      <c r="E419" s="4">
        <f t="shared" si="13"/>
        <v>4.9006992851350845E-3</v>
      </c>
    </row>
    <row r="420" spans="1:5" x14ac:dyDescent="0.3">
      <c r="A420" s="1">
        <v>43404</v>
      </c>
      <c r="B420">
        <v>0.70730000000000004</v>
      </c>
      <c r="C420">
        <v>2.35</v>
      </c>
      <c r="D420">
        <f t="shared" si="12"/>
        <v>0.70753500000000003</v>
      </c>
      <c r="E420" s="4">
        <f t="shared" si="13"/>
        <v>-2.1112579665215819E-2</v>
      </c>
    </row>
    <row r="421" spans="1:5" x14ac:dyDescent="0.3">
      <c r="A421" s="1">
        <v>43434</v>
      </c>
      <c r="B421">
        <v>0.73060000000000003</v>
      </c>
      <c r="C421">
        <v>3.89</v>
      </c>
      <c r="D421">
        <f t="shared" si="12"/>
        <v>0.730989</v>
      </c>
      <c r="E421" s="4">
        <f t="shared" si="13"/>
        <v>3.2599094037750784E-2</v>
      </c>
    </row>
    <row r="422" spans="1:5" x14ac:dyDescent="0.3">
      <c r="A422" s="1">
        <v>43465</v>
      </c>
      <c r="B422">
        <v>0.70489999999999997</v>
      </c>
      <c r="C422">
        <v>4.5999999999999996</v>
      </c>
      <c r="D422">
        <f t="shared" si="12"/>
        <v>0.70535999999999999</v>
      </c>
      <c r="E422" s="4">
        <f t="shared" si="13"/>
        <v>-3.5690003543145013E-2</v>
      </c>
    </row>
    <row r="423" spans="1:5" x14ac:dyDescent="0.3">
      <c r="A423" s="1">
        <v>43496</v>
      </c>
      <c r="B423">
        <v>0.72729999999999995</v>
      </c>
      <c r="C423">
        <v>3.02</v>
      </c>
      <c r="D423">
        <f t="shared" si="12"/>
        <v>0.72760199999999997</v>
      </c>
      <c r="E423" s="4">
        <f t="shared" si="13"/>
        <v>3.1104684132924974E-2</v>
      </c>
    </row>
    <row r="424" spans="1:5" x14ac:dyDescent="0.3">
      <c r="A424" s="1">
        <v>43524</v>
      </c>
      <c r="B424">
        <v>0.70940000000000003</v>
      </c>
      <c r="C424">
        <v>3.69</v>
      </c>
      <c r="D424">
        <f t="shared" si="12"/>
        <v>0.70976899999999998</v>
      </c>
      <c r="E424" s="4">
        <f t="shared" si="13"/>
        <v>-2.5016423814118078E-2</v>
      </c>
    </row>
    <row r="425" spans="1:5" x14ac:dyDescent="0.3">
      <c r="A425" s="1">
        <v>43553</v>
      </c>
      <c r="B425">
        <v>0.70960000000000001</v>
      </c>
      <c r="C425">
        <v>4.1500000000000004</v>
      </c>
      <c r="D425">
        <f t="shared" si="12"/>
        <v>0.71001500000000006</v>
      </c>
      <c r="E425" s="4">
        <f t="shared" si="13"/>
        <v>-2.381056371861475E-4</v>
      </c>
    </row>
    <row r="426" spans="1:5" x14ac:dyDescent="0.3">
      <c r="A426" s="1">
        <v>43585</v>
      </c>
      <c r="B426">
        <v>0.70479999999999998</v>
      </c>
      <c r="C426">
        <v>5.45</v>
      </c>
      <c r="D426">
        <f t="shared" si="12"/>
        <v>0.705345</v>
      </c>
      <c r="E426" s="4">
        <f t="shared" si="13"/>
        <v>-7.3449152482695157E-3</v>
      </c>
    </row>
    <row r="427" spans="1:5" x14ac:dyDescent="0.3">
      <c r="A427" s="1">
        <v>43616</v>
      </c>
      <c r="B427">
        <v>0.69379999999999997</v>
      </c>
      <c r="C427">
        <v>6.6</v>
      </c>
      <c r="D427">
        <f t="shared" si="12"/>
        <v>0.69445999999999997</v>
      </c>
      <c r="E427" s="4">
        <f t="shared" si="13"/>
        <v>-1.6367876712814335E-2</v>
      </c>
    </row>
    <row r="428" spans="1:5" x14ac:dyDescent="0.3">
      <c r="A428" s="1">
        <v>43644</v>
      </c>
      <c r="B428">
        <v>0.70199999999999996</v>
      </c>
      <c r="C428">
        <v>7.62</v>
      </c>
      <c r="D428">
        <f t="shared" si="12"/>
        <v>0.702762</v>
      </c>
      <c r="E428" s="4">
        <f t="shared" si="13"/>
        <v>1.0857356795207775E-2</v>
      </c>
    </row>
    <row r="429" spans="1:5" x14ac:dyDescent="0.3">
      <c r="A429" s="1">
        <v>43677</v>
      </c>
      <c r="B429">
        <v>0.6845</v>
      </c>
      <c r="C429">
        <v>7.89</v>
      </c>
      <c r="D429">
        <f t="shared" si="12"/>
        <v>0.68528900000000004</v>
      </c>
      <c r="E429" s="4">
        <f t="shared" si="13"/>
        <v>-2.5986037947413207E-2</v>
      </c>
    </row>
    <row r="430" spans="1:5" x14ac:dyDescent="0.3">
      <c r="A430" s="1">
        <v>43707</v>
      </c>
      <c r="B430">
        <v>0.67330000000000001</v>
      </c>
      <c r="C430">
        <v>6.24</v>
      </c>
      <c r="D430">
        <f t="shared" si="12"/>
        <v>0.67392399999999997</v>
      </c>
      <c r="E430" s="4">
        <f t="shared" si="13"/>
        <v>-1.7494808759516096E-2</v>
      </c>
    </row>
    <row r="431" spans="1:5" x14ac:dyDescent="0.3">
      <c r="A431" s="1">
        <v>43738</v>
      </c>
      <c r="B431">
        <v>0.67500000000000004</v>
      </c>
      <c r="C431">
        <v>7.7</v>
      </c>
      <c r="D431">
        <f t="shared" si="12"/>
        <v>0.67577000000000009</v>
      </c>
      <c r="E431" s="4">
        <f t="shared" si="13"/>
        <v>1.5966192033524209E-3</v>
      </c>
    </row>
    <row r="432" spans="1:5" x14ac:dyDescent="0.3">
      <c r="A432" s="1">
        <v>43769</v>
      </c>
      <c r="B432">
        <v>0.68940000000000001</v>
      </c>
      <c r="C432">
        <v>5.61</v>
      </c>
      <c r="D432">
        <f t="shared" si="12"/>
        <v>0.68996100000000005</v>
      </c>
      <c r="E432" s="4">
        <f t="shared" si="13"/>
        <v>2.0169584326027966E-2</v>
      </c>
    </row>
    <row r="433" spans="1:5" x14ac:dyDescent="0.3">
      <c r="A433" s="1">
        <v>43798</v>
      </c>
      <c r="B433">
        <v>0.67630000000000001</v>
      </c>
      <c r="C433">
        <v>5.97</v>
      </c>
      <c r="D433">
        <f t="shared" si="12"/>
        <v>0.67689699999999997</v>
      </c>
      <c r="E433" s="4">
        <f t="shared" si="13"/>
        <v>-1.9799669836411092E-2</v>
      </c>
    </row>
    <row r="434" spans="1:5" x14ac:dyDescent="0.3">
      <c r="A434" s="1">
        <v>43830</v>
      </c>
      <c r="B434">
        <v>0.70209999999999995</v>
      </c>
      <c r="C434">
        <v>5.46</v>
      </c>
      <c r="D434">
        <f t="shared" si="12"/>
        <v>0.70264599999999999</v>
      </c>
      <c r="E434" s="4">
        <f t="shared" si="13"/>
        <v>3.7233138867508613E-2</v>
      </c>
    </row>
    <row r="435" spans="1:5" x14ac:dyDescent="0.3">
      <c r="A435" s="1">
        <v>43861</v>
      </c>
      <c r="B435">
        <v>0.66920000000000002</v>
      </c>
      <c r="C435">
        <v>3.46</v>
      </c>
      <c r="D435">
        <f t="shared" si="12"/>
        <v>0.66954599999999997</v>
      </c>
      <c r="E435" s="4">
        <f t="shared" si="13"/>
        <v>-4.7600071728864858E-2</v>
      </c>
    </row>
    <row r="436" spans="1:5" x14ac:dyDescent="0.3">
      <c r="A436" s="1">
        <v>43889</v>
      </c>
      <c r="B436">
        <v>0.65149999999999997</v>
      </c>
      <c r="C436">
        <v>4.5999999999999996</v>
      </c>
      <c r="D436">
        <f t="shared" si="12"/>
        <v>0.65195999999999998</v>
      </c>
      <c r="E436" s="4">
        <f t="shared" si="13"/>
        <v>-2.6952591756204961E-2</v>
      </c>
    </row>
    <row r="437" spans="1:5" x14ac:dyDescent="0.3">
      <c r="A437" s="1">
        <v>43921</v>
      </c>
      <c r="B437">
        <v>0.61309999999999998</v>
      </c>
      <c r="C437">
        <v>0.97</v>
      </c>
      <c r="D437">
        <f t="shared" si="12"/>
        <v>0.61319699999999999</v>
      </c>
      <c r="E437" s="4">
        <f t="shared" si="13"/>
        <v>-5.960488373519849E-2</v>
      </c>
    </row>
    <row r="438" spans="1:5" x14ac:dyDescent="0.3">
      <c r="A438" s="1">
        <v>43951</v>
      </c>
      <c r="B438">
        <v>0.6512</v>
      </c>
      <c r="C438">
        <v>0.69</v>
      </c>
      <c r="D438">
        <f t="shared" si="12"/>
        <v>0.65126899999999999</v>
      </c>
      <c r="E438" s="4">
        <f t="shared" si="13"/>
        <v>6.1975189050174753E-2</v>
      </c>
    </row>
    <row r="439" spans="1:5" x14ac:dyDescent="0.3">
      <c r="A439" s="1">
        <v>43980</v>
      </c>
      <c r="B439">
        <v>0.66669999999999996</v>
      </c>
      <c r="C439">
        <v>0.15</v>
      </c>
      <c r="D439">
        <f t="shared" si="12"/>
        <v>0.66671499999999995</v>
      </c>
      <c r="E439" s="4">
        <f t="shared" si="13"/>
        <v>2.3693742524210384E-2</v>
      </c>
    </row>
    <row r="440" spans="1:5" x14ac:dyDescent="0.3">
      <c r="A440" s="1">
        <v>44012</v>
      </c>
      <c r="B440">
        <v>0.69030000000000002</v>
      </c>
      <c r="C440">
        <v>1.19</v>
      </c>
      <c r="D440">
        <f t="shared" si="12"/>
        <v>0.690419</v>
      </c>
      <c r="E440" s="4">
        <f t="shared" si="13"/>
        <v>3.5374935317189625E-2</v>
      </c>
    </row>
    <row r="441" spans="1:5" x14ac:dyDescent="0.3">
      <c r="A441" s="1">
        <v>44043</v>
      </c>
      <c r="B441">
        <v>0.71430000000000005</v>
      </c>
      <c r="C441">
        <v>0.9</v>
      </c>
      <c r="D441">
        <f t="shared" si="12"/>
        <v>0.71439000000000008</v>
      </c>
      <c r="E441" s="4">
        <f t="shared" si="13"/>
        <v>3.4589140797110222E-2</v>
      </c>
    </row>
    <row r="442" spans="1:5" x14ac:dyDescent="0.3">
      <c r="A442" s="1">
        <v>44074</v>
      </c>
      <c r="B442">
        <v>0.73760000000000003</v>
      </c>
      <c r="C442">
        <v>0.77</v>
      </c>
      <c r="D442">
        <f t="shared" si="12"/>
        <v>0.73767700000000003</v>
      </c>
      <c r="E442" s="4">
        <f t="shared" si="13"/>
        <v>3.2489256568540924E-2</v>
      </c>
    </row>
    <row r="443" spans="1:5" x14ac:dyDescent="0.3">
      <c r="A443" s="1">
        <v>44104</v>
      </c>
      <c r="B443">
        <v>0.71619999999999995</v>
      </c>
      <c r="C443">
        <v>0.42</v>
      </c>
      <c r="D443">
        <f t="shared" si="12"/>
        <v>0.71624199999999993</v>
      </c>
      <c r="E443" s="4">
        <f t="shared" si="13"/>
        <v>-2.9114368483767392E-2</v>
      </c>
    </row>
    <row r="444" spans="1:5" x14ac:dyDescent="0.3">
      <c r="A444" s="1">
        <v>44134</v>
      </c>
      <c r="B444">
        <v>0.70279999999999998</v>
      </c>
      <c r="C444">
        <v>1.08</v>
      </c>
      <c r="D444">
        <f t="shared" si="12"/>
        <v>0.70290799999999998</v>
      </c>
      <c r="E444" s="4">
        <f t="shared" si="13"/>
        <v>-1.8767399845303619E-2</v>
      </c>
    </row>
    <row r="445" spans="1:5" x14ac:dyDescent="0.3">
      <c r="A445" s="1">
        <v>44165</v>
      </c>
      <c r="B445">
        <v>0.73440000000000005</v>
      </c>
      <c r="C445">
        <v>2.78</v>
      </c>
      <c r="D445">
        <f t="shared" si="12"/>
        <v>0.73467800000000005</v>
      </c>
      <c r="E445" s="4">
        <f t="shared" si="13"/>
        <v>4.4802449253671994E-2</v>
      </c>
    </row>
    <row r="446" spans="1:5" x14ac:dyDescent="0.3">
      <c r="A446" s="1">
        <v>44196</v>
      </c>
      <c r="B446">
        <v>0.76939999999999997</v>
      </c>
      <c r="C446">
        <v>2.2400000000000002</v>
      </c>
      <c r="D446">
        <f t="shared" si="12"/>
        <v>0.76962399999999997</v>
      </c>
      <c r="E446" s="4">
        <f t="shared" si="13"/>
        <v>4.7261521373989583E-2</v>
      </c>
    </row>
    <row r="447" spans="1:5" x14ac:dyDescent="0.3">
      <c r="A447" s="1">
        <v>44225</v>
      </c>
      <c r="B447">
        <v>0.76439999999999997</v>
      </c>
      <c r="C447">
        <v>1.18</v>
      </c>
      <c r="D447">
        <f t="shared" si="12"/>
        <v>0.76451799999999992</v>
      </c>
      <c r="E447" s="4">
        <f t="shared" si="13"/>
        <v>-6.7877301123665671E-3</v>
      </c>
    </row>
    <row r="448" spans="1:5" x14ac:dyDescent="0.3">
      <c r="A448" s="1">
        <v>44253</v>
      </c>
      <c r="B448">
        <v>0.77059999999999995</v>
      </c>
      <c r="C448">
        <v>0.99</v>
      </c>
      <c r="D448">
        <f t="shared" si="12"/>
        <v>0.77069899999999991</v>
      </c>
      <c r="E448" s="4">
        <f t="shared" si="13"/>
        <v>7.9553391810265189E-3</v>
      </c>
    </row>
    <row r="449" spans="1:5" x14ac:dyDescent="0.3">
      <c r="A449" s="1">
        <v>44286</v>
      </c>
      <c r="B449">
        <v>0.75980000000000003</v>
      </c>
      <c r="C449">
        <v>1.23</v>
      </c>
      <c r="D449">
        <f t="shared" si="12"/>
        <v>0.75992300000000002</v>
      </c>
      <c r="E449" s="4">
        <f t="shared" si="13"/>
        <v>-1.4141707722469969E-2</v>
      </c>
    </row>
    <row r="450" spans="1:5" x14ac:dyDescent="0.3">
      <c r="A450" s="1">
        <v>44316</v>
      </c>
      <c r="B450">
        <v>0.77159999999999995</v>
      </c>
      <c r="C450">
        <v>1.05</v>
      </c>
      <c r="D450">
        <f t="shared" si="12"/>
        <v>0.77170499999999997</v>
      </c>
      <c r="E450" s="4">
        <f t="shared" si="13"/>
        <v>1.5366030505722208E-2</v>
      </c>
    </row>
    <row r="451" spans="1:5" x14ac:dyDescent="0.3">
      <c r="A451" s="1">
        <v>44347</v>
      </c>
      <c r="B451">
        <v>0.77339999999999998</v>
      </c>
      <c r="C451">
        <v>1.08</v>
      </c>
      <c r="D451">
        <f t="shared" ref="D451:D504" si="14">B451+C451/10^4</f>
        <v>0.77350799999999997</v>
      </c>
      <c r="E451" s="4">
        <f t="shared" si="13"/>
        <v>2.1964351662876387E-3</v>
      </c>
    </row>
    <row r="452" spans="1:5" x14ac:dyDescent="0.3">
      <c r="A452" s="1">
        <v>44377</v>
      </c>
      <c r="B452">
        <v>0.74980000000000002</v>
      </c>
      <c r="C452">
        <v>1.1399999999999999</v>
      </c>
      <c r="D452">
        <f t="shared" si="14"/>
        <v>0.74991399999999997</v>
      </c>
      <c r="E452" s="4">
        <f t="shared" ref="E452:E504" si="15">(B452-D451)/D451</f>
        <v>-3.0649973885208622E-2</v>
      </c>
    </row>
    <row r="453" spans="1:5" x14ac:dyDescent="0.3">
      <c r="A453" s="1">
        <v>44407</v>
      </c>
      <c r="B453">
        <v>0.73440000000000005</v>
      </c>
      <c r="C453">
        <v>1.19</v>
      </c>
      <c r="D453">
        <f t="shared" si="14"/>
        <v>0.73451900000000003</v>
      </c>
      <c r="E453" s="4">
        <f t="shared" si="15"/>
        <v>-2.0687705523566594E-2</v>
      </c>
    </row>
    <row r="454" spans="1:5" x14ac:dyDescent="0.3">
      <c r="A454" s="1">
        <v>44439</v>
      </c>
      <c r="B454">
        <v>0.73160000000000003</v>
      </c>
      <c r="C454">
        <v>1.41</v>
      </c>
      <c r="D454">
        <f t="shared" si="14"/>
        <v>0.73174099999999997</v>
      </c>
      <c r="E454" s="4">
        <f t="shared" si="15"/>
        <v>-3.9740292626875614E-3</v>
      </c>
    </row>
    <row r="455" spans="1:5" x14ac:dyDescent="0.3">
      <c r="A455" s="1">
        <v>44469</v>
      </c>
      <c r="B455">
        <v>0.72270000000000001</v>
      </c>
      <c r="C455">
        <v>0.96</v>
      </c>
      <c r="D455">
        <f t="shared" si="14"/>
        <v>0.72279599999999999</v>
      </c>
      <c r="E455" s="4">
        <f t="shared" si="15"/>
        <v>-1.2355464570114242E-2</v>
      </c>
    </row>
    <row r="456" spans="1:5" x14ac:dyDescent="0.3">
      <c r="A456" s="1">
        <v>44498</v>
      </c>
      <c r="B456">
        <v>0.75180000000000002</v>
      </c>
      <c r="C456">
        <v>0.9</v>
      </c>
      <c r="D456">
        <f t="shared" si="14"/>
        <v>0.75189000000000006</v>
      </c>
      <c r="E456" s="4">
        <f t="shared" si="15"/>
        <v>4.0127504856142027E-2</v>
      </c>
    </row>
    <row r="457" spans="1:5" x14ac:dyDescent="0.3">
      <c r="A457" s="1">
        <v>44530</v>
      </c>
      <c r="B457">
        <v>0.7127</v>
      </c>
      <c r="C457">
        <v>3.71</v>
      </c>
      <c r="D457">
        <f t="shared" si="14"/>
        <v>0.71307100000000001</v>
      </c>
      <c r="E457" s="4">
        <f t="shared" si="15"/>
        <v>-5.2121985928792851E-2</v>
      </c>
    </row>
    <row r="458" spans="1:5" x14ac:dyDescent="0.3">
      <c r="A458" s="1">
        <v>44561</v>
      </c>
      <c r="B458">
        <v>0.72629999999999995</v>
      </c>
      <c r="C458">
        <v>0.8</v>
      </c>
      <c r="D458">
        <f t="shared" si="14"/>
        <v>0.72637999999999991</v>
      </c>
      <c r="E458" s="4">
        <f t="shared" si="15"/>
        <v>1.8552149785925856E-2</v>
      </c>
    </row>
    <row r="459" spans="1:5" x14ac:dyDescent="0.3">
      <c r="A459" s="1">
        <v>44592</v>
      </c>
      <c r="B459">
        <v>0.70669999999999999</v>
      </c>
      <c r="C459">
        <v>0.7</v>
      </c>
      <c r="D459">
        <f t="shared" si="14"/>
        <v>0.70677000000000001</v>
      </c>
      <c r="E459" s="4">
        <f t="shared" si="15"/>
        <v>-2.709325697293417E-2</v>
      </c>
    </row>
    <row r="460" spans="1:5" x14ac:dyDescent="0.3">
      <c r="A460" s="1">
        <v>44620</v>
      </c>
      <c r="B460">
        <v>0.72629999999999995</v>
      </c>
      <c r="C460">
        <v>3.93</v>
      </c>
      <c r="D460">
        <f t="shared" si="14"/>
        <v>0.72669299999999992</v>
      </c>
      <c r="E460" s="4">
        <f t="shared" si="15"/>
        <v>2.763275181459306E-2</v>
      </c>
    </row>
    <row r="461" spans="1:5" x14ac:dyDescent="0.3">
      <c r="A461" s="1">
        <v>44651</v>
      </c>
      <c r="B461">
        <v>0.74819999999999998</v>
      </c>
      <c r="C461">
        <v>2.64</v>
      </c>
      <c r="D461">
        <f t="shared" si="14"/>
        <v>0.74846400000000002</v>
      </c>
      <c r="E461" s="4">
        <f t="shared" si="15"/>
        <v>2.9595716485503583E-2</v>
      </c>
    </row>
    <row r="462" spans="1:5" x14ac:dyDescent="0.3">
      <c r="A462" s="1">
        <v>44680</v>
      </c>
      <c r="B462">
        <v>0.70609999999999995</v>
      </c>
      <c r="C462">
        <v>3.95</v>
      </c>
      <c r="D462">
        <f t="shared" si="14"/>
        <v>0.70649499999999998</v>
      </c>
      <c r="E462" s="4">
        <f t="shared" si="15"/>
        <v>-5.6601252698860689E-2</v>
      </c>
    </row>
    <row r="463" spans="1:5" x14ac:dyDescent="0.3">
      <c r="A463" s="1">
        <v>44712</v>
      </c>
      <c r="B463">
        <v>0.7177</v>
      </c>
      <c r="C463">
        <v>3.74</v>
      </c>
      <c r="D463">
        <f t="shared" si="14"/>
        <v>0.71807399999999999</v>
      </c>
      <c r="E463" s="4">
        <f t="shared" si="15"/>
        <v>1.5859984854811458E-2</v>
      </c>
    </row>
    <row r="464" spans="1:5" x14ac:dyDescent="0.3">
      <c r="A464" s="1">
        <v>44742</v>
      </c>
      <c r="B464">
        <v>0.69030000000000002</v>
      </c>
      <c r="C464">
        <v>1.69</v>
      </c>
      <c r="D464">
        <f t="shared" si="14"/>
        <v>0.690469</v>
      </c>
      <c r="E464" s="4">
        <f t="shared" si="15"/>
        <v>-3.8678464893590309E-2</v>
      </c>
    </row>
    <row r="465" spans="1:5" x14ac:dyDescent="0.3">
      <c r="A465" s="1">
        <v>44771</v>
      </c>
      <c r="B465">
        <v>0.69850000000000001</v>
      </c>
      <c r="C465">
        <v>3.9</v>
      </c>
      <c r="D465">
        <f t="shared" si="14"/>
        <v>0.69889000000000001</v>
      </c>
      <c r="E465" s="4">
        <f t="shared" si="15"/>
        <v>1.1631224573442124E-2</v>
      </c>
    </row>
    <row r="466" spans="1:5" x14ac:dyDescent="0.3">
      <c r="A466" s="1">
        <v>44804</v>
      </c>
      <c r="B466">
        <v>0.68420000000000003</v>
      </c>
      <c r="C466">
        <v>3.46</v>
      </c>
      <c r="D466">
        <f t="shared" si="14"/>
        <v>0.68454599999999999</v>
      </c>
      <c r="E466" s="4">
        <f t="shared" si="15"/>
        <v>-2.1019044484825909E-2</v>
      </c>
    </row>
    <row r="467" spans="1:5" x14ac:dyDescent="0.3">
      <c r="A467" s="1">
        <v>44834</v>
      </c>
      <c r="B467">
        <v>0.64</v>
      </c>
      <c r="C467">
        <v>2.37</v>
      </c>
      <c r="D467">
        <f t="shared" si="14"/>
        <v>0.64023700000000006</v>
      </c>
      <c r="E467" s="4">
        <f t="shared" si="15"/>
        <v>-6.5073786129785247E-2</v>
      </c>
    </row>
    <row r="468" spans="1:5" x14ac:dyDescent="0.3">
      <c r="A468" s="1">
        <v>44865</v>
      </c>
      <c r="B468">
        <v>0.63990000000000002</v>
      </c>
      <c r="C468">
        <v>5.57</v>
      </c>
      <c r="D468">
        <f t="shared" si="14"/>
        <v>0.64045700000000005</v>
      </c>
      <c r="E468" s="4">
        <f t="shared" si="15"/>
        <v>-5.2636757950576382E-4</v>
      </c>
    </row>
    <row r="469" spans="1:5" x14ac:dyDescent="0.3">
      <c r="A469" s="1">
        <v>44895</v>
      </c>
      <c r="B469">
        <v>0.67879999999999996</v>
      </c>
      <c r="C469">
        <v>9.7799999999999994</v>
      </c>
      <c r="D469">
        <f t="shared" si="14"/>
        <v>0.67977799999999999</v>
      </c>
      <c r="E469" s="4">
        <f t="shared" si="15"/>
        <v>5.9868187872097425E-2</v>
      </c>
    </row>
    <row r="470" spans="1:5" x14ac:dyDescent="0.3">
      <c r="A470" s="1">
        <v>44925</v>
      </c>
      <c r="B470">
        <v>0.68130000000000002</v>
      </c>
      <c r="C470">
        <v>9.0399999999999991</v>
      </c>
      <c r="D470">
        <f t="shared" si="14"/>
        <v>0.68220400000000003</v>
      </c>
      <c r="E470" s="4">
        <f t="shared" si="15"/>
        <v>2.2389662507466017E-3</v>
      </c>
    </row>
    <row r="471" spans="1:5" x14ac:dyDescent="0.3">
      <c r="A471" s="1">
        <v>44957</v>
      </c>
      <c r="B471">
        <v>0.70550000000000002</v>
      </c>
      <c r="C471">
        <v>7.91</v>
      </c>
      <c r="D471">
        <f t="shared" si="14"/>
        <v>0.706291</v>
      </c>
      <c r="E471" s="4">
        <f t="shared" si="15"/>
        <v>3.4148143370604664E-2</v>
      </c>
    </row>
    <row r="472" spans="1:5" x14ac:dyDescent="0.3">
      <c r="A472" s="1">
        <v>44985</v>
      </c>
      <c r="B472">
        <v>0.67290000000000005</v>
      </c>
      <c r="C472">
        <v>7.87</v>
      </c>
      <c r="D472">
        <f t="shared" si="14"/>
        <v>0.67368700000000004</v>
      </c>
      <c r="E472" s="4">
        <f t="shared" si="15"/>
        <v>-4.7276547485384846E-2</v>
      </c>
    </row>
    <row r="473" spans="1:5" x14ac:dyDescent="0.3">
      <c r="A473" s="1">
        <v>45016</v>
      </c>
      <c r="B473">
        <v>0.66849999999999998</v>
      </c>
      <c r="C473">
        <v>7.17</v>
      </c>
      <c r="D473">
        <f t="shared" si="14"/>
        <v>0.66921699999999995</v>
      </c>
      <c r="E473" s="4">
        <f t="shared" si="15"/>
        <v>-7.6994212445839873E-3</v>
      </c>
    </row>
    <row r="474" spans="1:5" x14ac:dyDescent="0.3">
      <c r="A474" s="1">
        <v>45044</v>
      </c>
      <c r="B474">
        <v>0.66149999999999998</v>
      </c>
      <c r="C474">
        <v>8.68</v>
      </c>
      <c r="D474">
        <f t="shared" si="14"/>
        <v>0.66236799999999996</v>
      </c>
      <c r="E474" s="4">
        <f t="shared" si="15"/>
        <v>-1.1531386680254647E-2</v>
      </c>
    </row>
    <row r="475" spans="1:5" x14ac:dyDescent="0.3">
      <c r="A475" s="1">
        <v>45077</v>
      </c>
      <c r="B475">
        <v>0.65029999999999999</v>
      </c>
      <c r="C475">
        <v>7.59</v>
      </c>
      <c r="D475">
        <f t="shared" si="14"/>
        <v>0.65105899999999994</v>
      </c>
      <c r="E475" s="4">
        <f t="shared" si="15"/>
        <v>-1.8219479201893762E-2</v>
      </c>
    </row>
    <row r="476" spans="1:5" x14ac:dyDescent="0.3">
      <c r="A476" s="1">
        <v>45107</v>
      </c>
      <c r="B476">
        <v>0.66639999999999999</v>
      </c>
      <c r="C476">
        <v>6.45</v>
      </c>
      <c r="D476">
        <f t="shared" si="14"/>
        <v>0.667045</v>
      </c>
      <c r="E476" s="4">
        <f t="shared" si="15"/>
        <v>2.3563148654730293E-2</v>
      </c>
    </row>
    <row r="477" spans="1:5" x14ac:dyDescent="0.3">
      <c r="A477" s="1">
        <v>45138</v>
      </c>
      <c r="B477">
        <v>0.67169999999999996</v>
      </c>
      <c r="C477">
        <v>7.83</v>
      </c>
      <c r="D477">
        <f t="shared" si="14"/>
        <v>0.67248299999999994</v>
      </c>
      <c r="E477" s="4">
        <f t="shared" si="15"/>
        <v>6.9785396787322663E-3</v>
      </c>
    </row>
    <row r="478" spans="1:5" x14ac:dyDescent="0.3">
      <c r="A478" s="1">
        <v>45169</v>
      </c>
      <c r="B478">
        <v>0.64839999999999998</v>
      </c>
      <c r="C478">
        <v>7.18</v>
      </c>
      <c r="D478">
        <f t="shared" si="14"/>
        <v>0.64911799999999997</v>
      </c>
      <c r="E478" s="4">
        <f t="shared" si="15"/>
        <v>-3.5812057702573848E-2</v>
      </c>
    </row>
    <row r="479" spans="1:5" x14ac:dyDescent="0.3">
      <c r="A479" s="1">
        <v>45198</v>
      </c>
      <c r="B479">
        <v>0.64349999999999996</v>
      </c>
      <c r="C479">
        <v>7.34</v>
      </c>
      <c r="D479">
        <f t="shared" si="14"/>
        <v>0.64423399999999997</v>
      </c>
      <c r="E479" s="4">
        <f t="shared" si="15"/>
        <v>-8.6548208492138751E-3</v>
      </c>
    </row>
    <row r="480" spans="1:5" x14ac:dyDescent="0.3">
      <c r="A480" s="1">
        <v>45230</v>
      </c>
      <c r="B480">
        <v>0.63370000000000004</v>
      </c>
      <c r="C480">
        <v>6.55</v>
      </c>
      <c r="D480">
        <f t="shared" si="14"/>
        <v>0.634355</v>
      </c>
      <c r="E480" s="4">
        <f t="shared" si="15"/>
        <v>-1.6351201582033754E-2</v>
      </c>
    </row>
    <row r="481" spans="1:5" x14ac:dyDescent="0.3">
      <c r="A481" s="1">
        <v>45260</v>
      </c>
      <c r="B481">
        <v>0.66049999999999998</v>
      </c>
      <c r="C481">
        <v>6.92</v>
      </c>
      <c r="D481">
        <f t="shared" si="14"/>
        <v>0.661192</v>
      </c>
      <c r="E481" s="4">
        <f t="shared" si="15"/>
        <v>4.1215092495526913E-2</v>
      </c>
    </row>
    <row r="482" spans="1:5" x14ac:dyDescent="0.3">
      <c r="A482" s="1">
        <v>45289</v>
      </c>
      <c r="B482">
        <v>0.68120000000000003</v>
      </c>
      <c r="C482">
        <v>7.2</v>
      </c>
      <c r="D482">
        <f t="shared" si="14"/>
        <v>0.68192000000000008</v>
      </c>
      <c r="E482" s="4">
        <f t="shared" si="15"/>
        <v>3.0260499219591324E-2</v>
      </c>
    </row>
    <row r="483" spans="1:5" x14ac:dyDescent="0.3">
      <c r="A483" s="1">
        <v>45322</v>
      </c>
      <c r="B483">
        <v>0.65680000000000005</v>
      </c>
      <c r="C483">
        <v>6.56</v>
      </c>
      <c r="D483">
        <f t="shared" si="14"/>
        <v>0.65745600000000004</v>
      </c>
      <c r="E483" s="4">
        <f t="shared" si="15"/>
        <v>-3.683716564992965E-2</v>
      </c>
    </row>
    <row r="484" spans="1:5" x14ac:dyDescent="0.3">
      <c r="A484" s="1">
        <v>45351</v>
      </c>
      <c r="B484">
        <v>0.64970000000000006</v>
      </c>
      <c r="C484">
        <v>6.32</v>
      </c>
      <c r="D484">
        <f t="shared" si="14"/>
        <v>0.65033200000000002</v>
      </c>
      <c r="E484" s="4">
        <f t="shared" si="15"/>
        <v>-1.1796987174807112E-2</v>
      </c>
    </row>
    <row r="485" spans="1:5" x14ac:dyDescent="0.3">
      <c r="A485" s="1">
        <v>45380</v>
      </c>
      <c r="B485">
        <v>0.65210000000000001</v>
      </c>
      <c r="C485">
        <v>5.59</v>
      </c>
      <c r="D485">
        <f t="shared" si="14"/>
        <v>0.65265899999999999</v>
      </c>
      <c r="E485" s="4">
        <f t="shared" si="15"/>
        <v>2.7186114169377973E-3</v>
      </c>
    </row>
    <row r="486" spans="1:5" x14ac:dyDescent="0.3">
      <c r="A486" s="1">
        <v>45412</v>
      </c>
      <c r="B486">
        <v>0.64729999999999999</v>
      </c>
      <c r="C486">
        <v>6.28</v>
      </c>
      <c r="D486">
        <f t="shared" si="14"/>
        <v>0.64792799999999995</v>
      </c>
      <c r="E486" s="4">
        <f t="shared" si="15"/>
        <v>-8.2110259722152044E-3</v>
      </c>
    </row>
    <row r="487" spans="1:5" x14ac:dyDescent="0.3">
      <c r="A487" s="1">
        <v>45443</v>
      </c>
      <c r="B487">
        <v>0.6653</v>
      </c>
      <c r="C487">
        <v>6.01</v>
      </c>
      <c r="D487">
        <f t="shared" si="14"/>
        <v>0.66590099999999997</v>
      </c>
      <c r="E487" s="4">
        <f t="shared" si="15"/>
        <v>2.6811621044313651E-2</v>
      </c>
    </row>
    <row r="488" spans="1:5" x14ac:dyDescent="0.3">
      <c r="A488" s="1">
        <v>45471</v>
      </c>
      <c r="B488">
        <v>0.66700000000000004</v>
      </c>
      <c r="C488">
        <v>5.62</v>
      </c>
      <c r="D488">
        <f t="shared" si="14"/>
        <v>0.66756199999999999</v>
      </c>
      <c r="E488" s="4">
        <f t="shared" si="15"/>
        <v>1.6503954792079787E-3</v>
      </c>
    </row>
    <row r="489" spans="1:5" x14ac:dyDescent="0.3">
      <c r="A489" s="1">
        <v>45504</v>
      </c>
      <c r="B489">
        <v>0.6542</v>
      </c>
      <c r="C489">
        <v>5.5</v>
      </c>
      <c r="D489">
        <f t="shared" si="14"/>
        <v>0.65475000000000005</v>
      </c>
      <c r="E489" s="4">
        <f t="shared" si="15"/>
        <v>-2.001611835305183E-2</v>
      </c>
    </row>
    <row r="490" spans="1:5" x14ac:dyDescent="0.3">
      <c r="A490" s="1">
        <v>45534</v>
      </c>
      <c r="B490">
        <v>0.67649999999999999</v>
      </c>
      <c r="C490">
        <v>5.0599999999999996</v>
      </c>
      <c r="D490">
        <f t="shared" si="14"/>
        <v>0.677006</v>
      </c>
      <c r="E490" s="4">
        <f t="shared" si="15"/>
        <v>3.3218785796105287E-2</v>
      </c>
    </row>
    <row r="491" spans="1:5" x14ac:dyDescent="0.3">
      <c r="A491" s="1">
        <v>45565</v>
      </c>
      <c r="B491">
        <v>0.69130000000000003</v>
      </c>
      <c r="C491">
        <v>3.6</v>
      </c>
      <c r="D491">
        <f t="shared" si="14"/>
        <v>0.69166000000000005</v>
      </c>
      <c r="E491" s="4">
        <f t="shared" si="15"/>
        <v>2.1113549953767071E-2</v>
      </c>
    </row>
    <row r="492" spans="1:5" x14ac:dyDescent="0.3">
      <c r="A492" s="1">
        <v>45596</v>
      </c>
      <c r="B492">
        <v>0.65820000000000001</v>
      </c>
      <c r="C492">
        <v>2.06</v>
      </c>
      <c r="D492">
        <f t="shared" si="14"/>
        <v>0.65840600000000005</v>
      </c>
      <c r="E492" s="4">
        <f t="shared" si="15"/>
        <v>-4.837636989272192E-2</v>
      </c>
    </row>
    <row r="493" spans="1:5" x14ac:dyDescent="0.3">
      <c r="A493" s="1">
        <v>45625</v>
      </c>
      <c r="B493">
        <v>0.6512</v>
      </c>
      <c r="C493">
        <v>1.79</v>
      </c>
      <c r="D493">
        <f t="shared" si="14"/>
        <v>0.65137900000000004</v>
      </c>
      <c r="E493" s="4">
        <f t="shared" si="15"/>
        <v>-1.094461472100808E-2</v>
      </c>
    </row>
    <row r="494" spans="1:5" x14ac:dyDescent="0.3">
      <c r="A494" s="1">
        <v>45657</v>
      </c>
      <c r="B494">
        <v>0.61880000000000002</v>
      </c>
      <c r="C494">
        <v>0.27</v>
      </c>
      <c r="D494">
        <f t="shared" si="14"/>
        <v>0.61882700000000002</v>
      </c>
      <c r="E494" s="4">
        <f t="shared" si="15"/>
        <v>-5.0015428805656958E-2</v>
      </c>
    </row>
    <row r="495" spans="1:5" x14ac:dyDescent="0.3">
      <c r="A495" s="1">
        <v>45688</v>
      </c>
      <c r="B495">
        <v>0.62180000000000002</v>
      </c>
      <c r="C495">
        <v>0.59</v>
      </c>
      <c r="D495">
        <f t="shared" si="14"/>
        <v>0.62185900000000005</v>
      </c>
      <c r="E495" s="4">
        <f t="shared" si="15"/>
        <v>4.804250622548795E-3</v>
      </c>
    </row>
    <row r="496" spans="1:5" x14ac:dyDescent="0.3">
      <c r="A496" s="1">
        <v>45716</v>
      </c>
      <c r="B496">
        <v>0.62090000000000001</v>
      </c>
      <c r="C496">
        <v>1.48</v>
      </c>
      <c r="D496">
        <f t="shared" si="14"/>
        <v>0.62104800000000004</v>
      </c>
      <c r="E496" s="4">
        <f t="shared" si="15"/>
        <v>-1.5421502301969467E-3</v>
      </c>
    </row>
    <row r="497" spans="1:5" x14ac:dyDescent="0.3">
      <c r="A497" s="1">
        <v>45747</v>
      </c>
      <c r="B497">
        <v>0.62470000000000003</v>
      </c>
      <c r="C497">
        <v>1.5</v>
      </c>
      <c r="D497">
        <f t="shared" si="14"/>
        <v>0.62485000000000002</v>
      </c>
      <c r="E497" s="4">
        <f t="shared" si="15"/>
        <v>5.8803828367533402E-3</v>
      </c>
    </row>
    <row r="498" spans="1:5" x14ac:dyDescent="0.3">
      <c r="A498" s="1">
        <v>45777</v>
      </c>
      <c r="B498">
        <v>0.64019999999999999</v>
      </c>
      <c r="C498">
        <v>2.04</v>
      </c>
      <c r="D498">
        <f t="shared" si="14"/>
        <v>0.64040399999999997</v>
      </c>
      <c r="E498" s="4">
        <f t="shared" si="15"/>
        <v>2.4565895814995558E-2</v>
      </c>
    </row>
    <row r="499" spans="1:5" x14ac:dyDescent="0.3">
      <c r="A499" s="1">
        <v>45807</v>
      </c>
      <c r="B499">
        <v>0.6431</v>
      </c>
      <c r="C499">
        <v>2.77</v>
      </c>
      <c r="D499">
        <f t="shared" si="14"/>
        <v>0.64337699999999998</v>
      </c>
      <c r="E499" s="4">
        <f t="shared" si="15"/>
        <v>4.2098425368986324E-3</v>
      </c>
    </row>
    <row r="500" spans="1:5" x14ac:dyDescent="0.3">
      <c r="A500" s="1">
        <v>45838</v>
      </c>
      <c r="B500">
        <v>0.65810000000000002</v>
      </c>
      <c r="C500">
        <v>4.1399999999999997</v>
      </c>
      <c r="D500">
        <f t="shared" si="14"/>
        <v>0.65851400000000004</v>
      </c>
      <c r="E500" s="4">
        <f t="shared" si="15"/>
        <v>2.2883938965800831E-2</v>
      </c>
    </row>
    <row r="501" spans="1:5" x14ac:dyDescent="0.3">
      <c r="A501" s="1">
        <v>45869</v>
      </c>
      <c r="B501">
        <v>0.64249999999999996</v>
      </c>
      <c r="C501">
        <v>3.68</v>
      </c>
      <c r="D501">
        <f t="shared" si="14"/>
        <v>0.64286799999999999</v>
      </c>
      <c r="E501" s="4">
        <f t="shared" si="15"/>
        <v>-2.4318389586250381E-2</v>
      </c>
    </row>
    <row r="502" spans="1:5" x14ac:dyDescent="0.3">
      <c r="A502" s="1">
        <v>45898</v>
      </c>
      <c r="B502">
        <v>0.65400000000000003</v>
      </c>
      <c r="C502">
        <v>3.43</v>
      </c>
      <c r="D502">
        <f t="shared" si="14"/>
        <v>0.65434300000000001</v>
      </c>
      <c r="E502" s="4">
        <f t="shared" si="15"/>
        <v>1.7316151993877486E-2</v>
      </c>
    </row>
    <row r="503" spans="1:5" x14ac:dyDescent="0.3">
      <c r="A503" s="1">
        <v>45930</v>
      </c>
      <c r="B503">
        <v>0.6613</v>
      </c>
      <c r="C503">
        <v>3.05</v>
      </c>
      <c r="D503">
        <f t="shared" si="14"/>
        <v>0.661605</v>
      </c>
      <c r="E503" s="4">
        <f t="shared" si="15"/>
        <v>1.0632038548589946E-2</v>
      </c>
    </row>
    <row r="504" spans="1:5" x14ac:dyDescent="0.3">
      <c r="A504" s="1">
        <v>45961</v>
      </c>
      <c r="B504">
        <v>0.65449999999999997</v>
      </c>
      <c r="C504">
        <v>2.36</v>
      </c>
      <c r="D504">
        <f t="shared" si="14"/>
        <v>0.65473599999999998</v>
      </c>
      <c r="E504" s="4">
        <f t="shared" si="15"/>
        <v>-1.0739036131830968E-2</v>
      </c>
    </row>
    <row r="505" spans="1:5" x14ac:dyDescent="0.3">
      <c r="A505" s="1"/>
    </row>
    <row r="506" spans="1:5" x14ac:dyDescent="0.3">
      <c r="A506" s="1"/>
    </row>
    <row r="507" spans="1:5" x14ac:dyDescent="0.3">
      <c r="A507" s="1"/>
    </row>
    <row r="508" spans="1:5" x14ac:dyDescent="0.3">
      <c r="A508" s="1"/>
    </row>
    <row r="509" spans="1:5" x14ac:dyDescent="0.3">
      <c r="A509" s="1"/>
    </row>
    <row r="510" spans="1:5" x14ac:dyDescent="0.3">
      <c r="A510" s="1"/>
    </row>
    <row r="511" spans="1:5" x14ac:dyDescent="0.3">
      <c r="A511" s="1"/>
    </row>
    <row r="512" spans="1:5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499984740745262"/>
  </sheetPr>
  <dimension ref="A1:G504"/>
  <sheetViews>
    <sheetView workbookViewId="0">
      <selection activeCell="D1" sqref="D1"/>
    </sheetView>
  </sheetViews>
  <sheetFormatPr defaultColWidth="8.77734375" defaultRowHeight="14.4" x14ac:dyDescent="0.3"/>
  <cols>
    <col min="1" max="1" width="10.109375" bestFit="1" customWidth="1"/>
    <col min="2" max="2" width="9.44140625" bestFit="1" customWidth="1"/>
    <col min="3" max="4" width="12.44140625" bestFit="1" customWidth="1"/>
    <col min="5" max="5" width="10.77734375" bestFit="1" customWidth="1"/>
  </cols>
  <sheetData>
    <row r="1" spans="1:7" x14ac:dyDescent="0.3">
      <c r="A1" t="s">
        <v>0</v>
      </c>
      <c r="B1" t="s">
        <v>33</v>
      </c>
      <c r="C1" t="s">
        <v>34</v>
      </c>
      <c r="D1" t="s">
        <v>35</v>
      </c>
      <c r="E1" t="s">
        <v>36</v>
      </c>
      <c r="G1" s="3"/>
    </row>
    <row r="2" spans="1:7" x14ac:dyDescent="0.3">
      <c r="A2" s="1">
        <v>30680</v>
      </c>
      <c r="B2">
        <v>1.4515</v>
      </c>
    </row>
    <row r="3" spans="1:7" x14ac:dyDescent="0.3">
      <c r="A3" s="1">
        <v>30712</v>
      </c>
      <c r="B3">
        <v>1.4012</v>
      </c>
    </row>
    <row r="4" spans="1:7" x14ac:dyDescent="0.3">
      <c r="A4" s="1">
        <v>30741</v>
      </c>
      <c r="B4">
        <v>1.4904999999999999</v>
      </c>
    </row>
    <row r="5" spans="1:7" x14ac:dyDescent="0.3">
      <c r="A5" s="1">
        <v>30771</v>
      </c>
      <c r="B5">
        <v>1.4375</v>
      </c>
    </row>
    <row r="6" spans="1:7" x14ac:dyDescent="0.3">
      <c r="A6" s="1">
        <v>30802</v>
      </c>
      <c r="B6">
        <v>1.3979999999999999</v>
      </c>
    </row>
    <row r="7" spans="1:7" x14ac:dyDescent="0.3">
      <c r="A7" s="1">
        <v>30833</v>
      </c>
      <c r="B7">
        <v>1.3855</v>
      </c>
    </row>
    <row r="8" spans="1:7" x14ac:dyDescent="0.3">
      <c r="A8" s="1">
        <v>30862</v>
      </c>
      <c r="B8">
        <v>1.3574999999999999</v>
      </c>
    </row>
    <row r="9" spans="1:7" x14ac:dyDescent="0.3">
      <c r="A9" s="1">
        <v>30894</v>
      </c>
      <c r="B9">
        <v>1.3072999999999999</v>
      </c>
    </row>
    <row r="10" spans="1:7" x14ac:dyDescent="0.3">
      <c r="A10" s="1">
        <v>30925</v>
      </c>
      <c r="B10">
        <v>1.3075000000000001</v>
      </c>
    </row>
    <row r="11" spans="1:7" x14ac:dyDescent="0.3">
      <c r="A11" s="1">
        <v>30953</v>
      </c>
      <c r="B11">
        <v>1.234</v>
      </c>
    </row>
    <row r="12" spans="1:7" x14ac:dyDescent="0.3">
      <c r="A12" s="1">
        <v>30986</v>
      </c>
      <c r="B12">
        <v>1.2184999999999999</v>
      </c>
    </row>
    <row r="13" spans="1:7" x14ac:dyDescent="0.3">
      <c r="A13" s="1">
        <v>31016</v>
      </c>
      <c r="B13">
        <v>1.1970000000000001</v>
      </c>
    </row>
    <row r="14" spans="1:7" x14ac:dyDescent="0.3">
      <c r="A14" s="1">
        <v>31047</v>
      </c>
      <c r="B14">
        <v>1.1579999999999999</v>
      </c>
    </row>
    <row r="15" spans="1:7" x14ac:dyDescent="0.3">
      <c r="A15" s="1">
        <v>31078</v>
      </c>
      <c r="B15">
        <v>1.1305000000000001</v>
      </c>
    </row>
    <row r="16" spans="1:7" x14ac:dyDescent="0.3">
      <c r="A16" s="1">
        <v>31106</v>
      </c>
      <c r="B16">
        <v>1.079</v>
      </c>
    </row>
    <row r="17" spans="1:2" x14ac:dyDescent="0.3">
      <c r="A17" s="1">
        <v>31135</v>
      </c>
      <c r="B17">
        <v>1.236</v>
      </c>
    </row>
    <row r="18" spans="1:2" x14ac:dyDescent="0.3">
      <c r="A18" s="1">
        <v>31167</v>
      </c>
      <c r="B18">
        <v>1.2410000000000001</v>
      </c>
    </row>
    <row r="19" spans="1:2" x14ac:dyDescent="0.3">
      <c r="A19" s="1">
        <v>31198</v>
      </c>
      <c r="B19">
        <v>1.286</v>
      </c>
    </row>
    <row r="20" spans="1:2" x14ac:dyDescent="0.3">
      <c r="A20" s="1">
        <v>31226</v>
      </c>
      <c r="B20">
        <v>1.3095000000000001</v>
      </c>
    </row>
    <row r="21" spans="1:2" x14ac:dyDescent="0.3">
      <c r="A21" s="1">
        <v>31259</v>
      </c>
      <c r="B21">
        <v>1.411</v>
      </c>
    </row>
    <row r="22" spans="1:2" x14ac:dyDescent="0.3">
      <c r="A22" s="1">
        <v>31289</v>
      </c>
      <c r="B22">
        <v>1.391</v>
      </c>
    </row>
    <row r="23" spans="1:2" x14ac:dyDescent="0.3">
      <c r="A23" s="1">
        <v>31320</v>
      </c>
      <c r="B23">
        <v>1.4085000000000001</v>
      </c>
    </row>
    <row r="24" spans="1:2" x14ac:dyDescent="0.3">
      <c r="A24" s="1">
        <v>31351</v>
      </c>
      <c r="B24">
        <v>1.4404999999999999</v>
      </c>
    </row>
    <row r="25" spans="1:2" x14ac:dyDescent="0.3">
      <c r="A25" s="1">
        <v>31380</v>
      </c>
      <c r="B25">
        <v>1.4890000000000001</v>
      </c>
    </row>
    <row r="26" spans="1:2" x14ac:dyDescent="0.3">
      <c r="A26" s="1">
        <v>31412</v>
      </c>
      <c r="B26">
        <v>1.4450000000000001</v>
      </c>
    </row>
    <row r="27" spans="1:2" x14ac:dyDescent="0.3">
      <c r="A27" s="1">
        <v>31443</v>
      </c>
      <c r="B27">
        <v>1.4119999999999999</v>
      </c>
    </row>
    <row r="28" spans="1:2" x14ac:dyDescent="0.3">
      <c r="A28" s="1">
        <v>31471</v>
      </c>
      <c r="B28">
        <v>1.446</v>
      </c>
    </row>
    <row r="29" spans="1:2" x14ac:dyDescent="0.3">
      <c r="A29" s="1">
        <v>31502</v>
      </c>
      <c r="B29">
        <v>1.4735</v>
      </c>
    </row>
    <row r="30" spans="1:2" x14ac:dyDescent="0.3">
      <c r="A30" s="1">
        <v>31532</v>
      </c>
      <c r="B30">
        <v>1.5509999999999999</v>
      </c>
    </row>
    <row r="31" spans="1:2" x14ac:dyDescent="0.3">
      <c r="A31" s="1">
        <v>31562</v>
      </c>
      <c r="B31">
        <v>1.4722999999999999</v>
      </c>
    </row>
    <row r="32" spans="1:2" x14ac:dyDescent="0.3">
      <c r="A32" s="1">
        <v>31593</v>
      </c>
      <c r="B32">
        <v>1.532</v>
      </c>
    </row>
    <row r="33" spans="1:2" x14ac:dyDescent="0.3">
      <c r="A33" s="1">
        <v>31624</v>
      </c>
      <c r="B33">
        <v>1.4915</v>
      </c>
    </row>
    <row r="34" spans="1:2" x14ac:dyDescent="0.3">
      <c r="A34" s="1">
        <v>31653</v>
      </c>
      <c r="B34">
        <v>1.488</v>
      </c>
    </row>
    <row r="35" spans="1:2" x14ac:dyDescent="0.3">
      <c r="A35" s="1">
        <v>31685</v>
      </c>
      <c r="B35">
        <v>1.4468000000000001</v>
      </c>
    </row>
    <row r="36" spans="1:2" x14ac:dyDescent="0.3">
      <c r="A36" s="1">
        <v>31716</v>
      </c>
      <c r="B36">
        <v>1.4055</v>
      </c>
    </row>
    <row r="37" spans="1:2" x14ac:dyDescent="0.3">
      <c r="A37" s="1">
        <v>31744</v>
      </c>
      <c r="B37">
        <v>1.4335</v>
      </c>
    </row>
    <row r="38" spans="1:2" x14ac:dyDescent="0.3">
      <c r="A38" s="1">
        <v>31777</v>
      </c>
      <c r="B38">
        <v>1.4824999999999999</v>
      </c>
    </row>
    <row r="39" spans="1:2" x14ac:dyDescent="0.3">
      <c r="A39" s="1">
        <v>31807</v>
      </c>
      <c r="B39">
        <v>1.514</v>
      </c>
    </row>
    <row r="40" spans="1:2" x14ac:dyDescent="0.3">
      <c r="A40" s="1">
        <v>31835</v>
      </c>
      <c r="B40">
        <v>1.546</v>
      </c>
    </row>
    <row r="41" spans="1:2" x14ac:dyDescent="0.3">
      <c r="A41" s="1">
        <v>31867</v>
      </c>
      <c r="B41">
        <v>1.607</v>
      </c>
    </row>
    <row r="42" spans="1:2" x14ac:dyDescent="0.3">
      <c r="A42" s="1">
        <v>31897</v>
      </c>
      <c r="B42">
        <v>1.6605000000000001</v>
      </c>
    </row>
    <row r="43" spans="1:2" x14ac:dyDescent="0.3">
      <c r="A43" s="1">
        <v>31926</v>
      </c>
      <c r="B43">
        <v>1.6294999999999999</v>
      </c>
    </row>
    <row r="44" spans="1:2" x14ac:dyDescent="0.3">
      <c r="A44" s="1">
        <v>31958</v>
      </c>
      <c r="B44">
        <v>1.6128</v>
      </c>
    </row>
    <row r="45" spans="1:2" x14ac:dyDescent="0.3">
      <c r="A45" s="1">
        <v>31989</v>
      </c>
      <c r="B45">
        <v>1.591</v>
      </c>
    </row>
    <row r="46" spans="1:2" x14ac:dyDescent="0.3">
      <c r="A46" s="1">
        <v>32020</v>
      </c>
      <c r="B46">
        <v>1.6328</v>
      </c>
    </row>
    <row r="47" spans="1:2" x14ac:dyDescent="0.3">
      <c r="A47" s="1">
        <v>32050</v>
      </c>
      <c r="B47">
        <v>1.6248</v>
      </c>
    </row>
    <row r="48" spans="1:2" x14ac:dyDescent="0.3">
      <c r="A48" s="1">
        <v>32080</v>
      </c>
      <c r="B48">
        <v>1.7215</v>
      </c>
    </row>
    <row r="49" spans="1:5" x14ac:dyDescent="0.3">
      <c r="A49" s="1">
        <v>32111</v>
      </c>
      <c r="B49">
        <v>1.8255999999999999</v>
      </c>
    </row>
    <row r="50" spans="1:5" x14ac:dyDescent="0.3">
      <c r="A50" s="1">
        <v>32142</v>
      </c>
      <c r="B50">
        <v>1.8859999999999999</v>
      </c>
    </row>
    <row r="51" spans="1:5" x14ac:dyDescent="0.3">
      <c r="A51" s="1">
        <v>32171</v>
      </c>
      <c r="B51">
        <v>1.7690999999999999</v>
      </c>
    </row>
    <row r="52" spans="1:5" x14ac:dyDescent="0.3">
      <c r="A52" s="1">
        <v>32202</v>
      </c>
      <c r="B52">
        <v>1.7735000000000001</v>
      </c>
    </row>
    <row r="53" spans="1:5" x14ac:dyDescent="0.3">
      <c r="A53" s="1">
        <v>32233</v>
      </c>
      <c r="B53">
        <v>1.8865000000000001</v>
      </c>
    </row>
    <row r="54" spans="1:5" x14ac:dyDescent="0.3">
      <c r="A54" s="1">
        <v>32262</v>
      </c>
      <c r="B54">
        <v>1.8785000000000001</v>
      </c>
    </row>
    <row r="55" spans="1:5" x14ac:dyDescent="0.3">
      <c r="A55" s="1">
        <v>32294</v>
      </c>
      <c r="B55">
        <v>1.8382000000000001</v>
      </c>
    </row>
    <row r="56" spans="1:5" x14ac:dyDescent="0.3">
      <c r="A56" s="1">
        <v>32324</v>
      </c>
      <c r="B56">
        <v>1.7084999999999999</v>
      </c>
    </row>
    <row r="57" spans="1:5" x14ac:dyDescent="0.3">
      <c r="A57" s="1">
        <v>32353</v>
      </c>
      <c r="B57">
        <v>1.71</v>
      </c>
    </row>
    <row r="58" spans="1:5" x14ac:dyDescent="0.3">
      <c r="A58" s="1">
        <v>32386</v>
      </c>
      <c r="B58">
        <v>1.6825000000000001</v>
      </c>
    </row>
    <row r="59" spans="1:5" x14ac:dyDescent="0.3">
      <c r="A59" s="1">
        <v>32416</v>
      </c>
      <c r="B59">
        <v>1.6910000000000001</v>
      </c>
    </row>
    <row r="60" spans="1:5" x14ac:dyDescent="0.3">
      <c r="A60" s="1">
        <v>32447</v>
      </c>
      <c r="B60">
        <v>1.7689999999999999</v>
      </c>
    </row>
    <row r="61" spans="1:5" x14ac:dyDescent="0.3">
      <c r="A61" s="1">
        <v>32477</v>
      </c>
      <c r="B61">
        <v>1.8492999999999999</v>
      </c>
    </row>
    <row r="62" spans="1:5" x14ac:dyDescent="0.3">
      <c r="A62" s="1">
        <v>32507</v>
      </c>
      <c r="B62">
        <v>1.8109999999999999</v>
      </c>
      <c r="C62">
        <v>-83</v>
      </c>
      <c r="D62">
        <f>B62+C62/10^4</f>
        <v>1.8027</v>
      </c>
    </row>
    <row r="63" spans="1:5" x14ac:dyDescent="0.3">
      <c r="A63" s="1">
        <v>32539</v>
      </c>
      <c r="B63">
        <v>1.752</v>
      </c>
      <c r="C63">
        <v>-41</v>
      </c>
      <c r="D63">
        <f t="shared" ref="D63:D126" si="0">B63+C63/10^4</f>
        <v>1.7479</v>
      </c>
      <c r="E63" s="4">
        <f>(B63-D62)/D62</f>
        <v>-2.8124479946746529E-2</v>
      </c>
    </row>
    <row r="64" spans="1:5" x14ac:dyDescent="0.3">
      <c r="A64" s="1">
        <v>32567</v>
      </c>
      <c r="B64">
        <v>1.7434000000000001</v>
      </c>
      <c r="C64">
        <v>-42.99</v>
      </c>
      <c r="D64">
        <f t="shared" si="0"/>
        <v>1.739101</v>
      </c>
      <c r="E64" s="4">
        <f t="shared" ref="E64:E127" si="1">(B64-D63)/D63</f>
        <v>-2.5745179930201662E-3</v>
      </c>
    </row>
    <row r="65" spans="1:5" x14ac:dyDescent="0.3">
      <c r="A65" s="1">
        <v>32598</v>
      </c>
      <c r="B65">
        <v>1.6855</v>
      </c>
      <c r="C65">
        <v>-36</v>
      </c>
      <c r="D65">
        <f t="shared" si="0"/>
        <v>1.6819</v>
      </c>
      <c r="E65" s="4">
        <f t="shared" si="1"/>
        <v>-3.0821096647060758E-2</v>
      </c>
    </row>
    <row r="66" spans="1:5" x14ac:dyDescent="0.3">
      <c r="A66" s="1">
        <v>32626</v>
      </c>
      <c r="B66">
        <v>1.69</v>
      </c>
      <c r="C66">
        <v>-42</v>
      </c>
      <c r="D66">
        <f t="shared" si="0"/>
        <v>1.6858</v>
      </c>
      <c r="E66" s="4">
        <f t="shared" si="1"/>
        <v>4.8159819252036364E-3</v>
      </c>
    </row>
    <row r="67" spans="1:5" x14ac:dyDescent="0.3">
      <c r="A67" s="1">
        <v>32659</v>
      </c>
      <c r="B67">
        <v>1.57</v>
      </c>
      <c r="C67">
        <v>-57.99</v>
      </c>
      <c r="D67">
        <f t="shared" si="0"/>
        <v>1.564201</v>
      </c>
      <c r="E67" s="4">
        <f t="shared" si="1"/>
        <v>-6.8691422470043839E-2</v>
      </c>
    </row>
    <row r="68" spans="1:5" x14ac:dyDescent="0.3">
      <c r="A68" s="1">
        <v>32689</v>
      </c>
      <c r="B68">
        <v>1.55</v>
      </c>
      <c r="C68">
        <v>-61.01</v>
      </c>
      <c r="D68">
        <f t="shared" si="0"/>
        <v>1.5438990000000001</v>
      </c>
      <c r="E68" s="4">
        <f t="shared" si="1"/>
        <v>-9.0787565025210373E-3</v>
      </c>
    </row>
    <row r="69" spans="1:5" x14ac:dyDescent="0.3">
      <c r="A69" s="1">
        <v>32720</v>
      </c>
      <c r="B69">
        <v>1.6659999999999999</v>
      </c>
      <c r="C69">
        <v>-77</v>
      </c>
      <c r="D69">
        <f t="shared" si="0"/>
        <v>1.6582999999999999</v>
      </c>
      <c r="E69" s="4">
        <f t="shared" si="1"/>
        <v>7.9086131929614431E-2</v>
      </c>
    </row>
    <row r="70" spans="1:5" x14ac:dyDescent="0.3">
      <c r="A70" s="1">
        <v>32751</v>
      </c>
      <c r="B70">
        <v>1.5680000000000001</v>
      </c>
      <c r="C70">
        <v>-63</v>
      </c>
      <c r="D70">
        <f t="shared" si="0"/>
        <v>1.5617000000000001</v>
      </c>
      <c r="E70" s="4">
        <f t="shared" si="1"/>
        <v>-5.445335584634857E-2</v>
      </c>
    </row>
    <row r="71" spans="1:5" x14ac:dyDescent="0.3">
      <c r="A71" s="1">
        <v>32780</v>
      </c>
      <c r="B71">
        <v>1.6205000000000001</v>
      </c>
      <c r="C71">
        <v>-67.010000000000005</v>
      </c>
      <c r="D71">
        <f t="shared" si="0"/>
        <v>1.613799</v>
      </c>
      <c r="E71" s="4">
        <f t="shared" si="1"/>
        <v>3.7651277454056449E-2</v>
      </c>
    </row>
    <row r="72" spans="1:5" x14ac:dyDescent="0.3">
      <c r="A72" s="1">
        <v>32812</v>
      </c>
      <c r="B72">
        <v>1.581</v>
      </c>
      <c r="C72">
        <v>-87</v>
      </c>
      <c r="D72">
        <f t="shared" si="0"/>
        <v>1.5723</v>
      </c>
      <c r="E72" s="4">
        <f t="shared" si="1"/>
        <v>-2.0324092405559813E-2</v>
      </c>
    </row>
    <row r="73" spans="1:5" x14ac:dyDescent="0.3">
      <c r="A73" s="1">
        <v>32842</v>
      </c>
      <c r="B73">
        <v>1.5705</v>
      </c>
      <c r="C73">
        <v>-77</v>
      </c>
      <c r="D73">
        <f t="shared" si="0"/>
        <v>1.5628</v>
      </c>
      <c r="E73" s="4">
        <f t="shared" si="1"/>
        <v>-1.1448196908986985E-3</v>
      </c>
    </row>
    <row r="74" spans="1:5" x14ac:dyDescent="0.3">
      <c r="A74" s="1">
        <v>32871</v>
      </c>
      <c r="B74">
        <v>1.6125</v>
      </c>
      <c r="C74">
        <v>-94</v>
      </c>
      <c r="D74">
        <f t="shared" si="0"/>
        <v>1.6031</v>
      </c>
      <c r="E74" s="4">
        <f t="shared" si="1"/>
        <v>3.180189403634507E-2</v>
      </c>
    </row>
    <row r="75" spans="1:5" x14ac:dyDescent="0.3">
      <c r="A75" s="1">
        <v>32904</v>
      </c>
      <c r="B75">
        <v>1.6779999999999999</v>
      </c>
      <c r="C75">
        <v>-85</v>
      </c>
      <c r="D75">
        <f t="shared" si="0"/>
        <v>1.6695</v>
      </c>
      <c r="E75" s="4">
        <f t="shared" si="1"/>
        <v>4.6721976171168342E-2</v>
      </c>
    </row>
    <row r="76" spans="1:5" x14ac:dyDescent="0.3">
      <c r="A76" s="1">
        <v>32932</v>
      </c>
      <c r="B76">
        <v>1.6775</v>
      </c>
      <c r="C76">
        <v>-98.01</v>
      </c>
      <c r="D76">
        <f t="shared" si="0"/>
        <v>1.667699</v>
      </c>
      <c r="E76" s="4">
        <f t="shared" si="1"/>
        <v>4.7918538484576266E-3</v>
      </c>
    </row>
    <row r="77" spans="1:5" x14ac:dyDescent="0.3">
      <c r="A77" s="1">
        <v>32962</v>
      </c>
      <c r="B77">
        <v>1.6479999999999999</v>
      </c>
      <c r="C77">
        <v>-96</v>
      </c>
      <c r="D77">
        <f t="shared" si="0"/>
        <v>1.6383999999999999</v>
      </c>
      <c r="E77" s="4">
        <f t="shared" si="1"/>
        <v>-1.1812083595421076E-2</v>
      </c>
    </row>
    <row r="78" spans="1:5" x14ac:dyDescent="0.3">
      <c r="A78" s="1">
        <v>32993</v>
      </c>
      <c r="B78">
        <v>1.6419999999999999</v>
      </c>
      <c r="C78">
        <v>-98.03</v>
      </c>
      <c r="D78">
        <f t="shared" si="0"/>
        <v>1.6321969999999999</v>
      </c>
      <c r="E78" s="4">
        <f t="shared" si="1"/>
        <v>2.1972656250000291E-3</v>
      </c>
    </row>
    <row r="79" spans="1:5" x14ac:dyDescent="0.3">
      <c r="A79" s="1">
        <v>33024</v>
      </c>
      <c r="B79">
        <v>1.6779999999999999</v>
      </c>
      <c r="C79">
        <v>-95.01</v>
      </c>
      <c r="D79">
        <f t="shared" si="0"/>
        <v>1.668499</v>
      </c>
      <c r="E79" s="4">
        <f t="shared" si="1"/>
        <v>2.8062176318177305E-2</v>
      </c>
    </row>
    <row r="80" spans="1:5" x14ac:dyDescent="0.3">
      <c r="A80" s="1">
        <v>33053</v>
      </c>
      <c r="B80">
        <v>1.7490000000000001</v>
      </c>
      <c r="C80">
        <v>-96.01</v>
      </c>
      <c r="D80">
        <f t="shared" si="0"/>
        <v>1.7393990000000001</v>
      </c>
      <c r="E80" s="4">
        <f t="shared" si="1"/>
        <v>4.8247556636234222E-2</v>
      </c>
    </row>
    <row r="81" spans="1:5" x14ac:dyDescent="0.3">
      <c r="A81" s="1">
        <v>33085</v>
      </c>
      <c r="B81">
        <v>1.8634999999999999</v>
      </c>
      <c r="C81">
        <v>-113.01</v>
      </c>
      <c r="D81">
        <f t="shared" si="0"/>
        <v>1.8521989999999999</v>
      </c>
      <c r="E81" s="4">
        <f t="shared" si="1"/>
        <v>7.134705723068703E-2</v>
      </c>
    </row>
    <row r="82" spans="1:5" x14ac:dyDescent="0.3">
      <c r="A82" s="1">
        <v>33116</v>
      </c>
      <c r="B82">
        <v>1.895</v>
      </c>
      <c r="C82">
        <v>-106</v>
      </c>
      <c r="D82">
        <f t="shared" si="0"/>
        <v>1.8844000000000001</v>
      </c>
      <c r="E82" s="4">
        <f t="shared" si="1"/>
        <v>2.3108208135303007E-2</v>
      </c>
    </row>
    <row r="83" spans="1:5" x14ac:dyDescent="0.3">
      <c r="A83" s="1">
        <v>33144</v>
      </c>
      <c r="B83">
        <v>1.8788</v>
      </c>
      <c r="C83">
        <v>-102</v>
      </c>
      <c r="D83">
        <f t="shared" si="0"/>
        <v>1.8686</v>
      </c>
      <c r="E83" s="4">
        <f t="shared" si="1"/>
        <v>-2.9717682020802636E-3</v>
      </c>
    </row>
    <row r="84" spans="1:5" x14ac:dyDescent="0.3">
      <c r="A84" s="1">
        <v>33177</v>
      </c>
      <c r="B84">
        <v>1.9435</v>
      </c>
      <c r="C84">
        <v>-93.99</v>
      </c>
      <c r="D84">
        <f t="shared" si="0"/>
        <v>1.9341010000000001</v>
      </c>
      <c r="E84" s="4">
        <f t="shared" si="1"/>
        <v>4.0083484962003618E-2</v>
      </c>
    </row>
    <row r="85" spans="1:5" x14ac:dyDescent="0.3">
      <c r="A85" s="1">
        <v>33207</v>
      </c>
      <c r="B85">
        <v>1.9435</v>
      </c>
      <c r="C85">
        <v>-97</v>
      </c>
      <c r="D85">
        <f t="shared" si="0"/>
        <v>1.9338</v>
      </c>
      <c r="E85" s="4">
        <f t="shared" si="1"/>
        <v>4.8596221190102974E-3</v>
      </c>
    </row>
    <row r="86" spans="1:5" x14ac:dyDescent="0.3">
      <c r="A86" s="1">
        <v>33238</v>
      </c>
      <c r="B86">
        <v>1.93</v>
      </c>
      <c r="C86">
        <v>-108</v>
      </c>
      <c r="D86">
        <f t="shared" si="0"/>
        <v>1.9192</v>
      </c>
      <c r="E86" s="4">
        <f t="shared" si="1"/>
        <v>-1.9650429206743334E-3</v>
      </c>
    </row>
    <row r="87" spans="1:5" x14ac:dyDescent="0.3">
      <c r="A87" s="1">
        <v>33269</v>
      </c>
      <c r="B87">
        <v>1.9670000000000001</v>
      </c>
      <c r="C87">
        <v>-106</v>
      </c>
      <c r="D87">
        <f t="shared" si="0"/>
        <v>1.9564000000000001</v>
      </c>
      <c r="E87" s="4">
        <f t="shared" si="1"/>
        <v>2.4906210921217208E-2</v>
      </c>
    </row>
    <row r="88" spans="1:5" x14ac:dyDescent="0.3">
      <c r="A88" s="1">
        <v>33297</v>
      </c>
      <c r="B88">
        <v>1.913</v>
      </c>
      <c r="C88">
        <v>-98.85</v>
      </c>
      <c r="D88">
        <f t="shared" si="0"/>
        <v>1.9031150000000001</v>
      </c>
      <c r="E88" s="4">
        <f t="shared" si="1"/>
        <v>-2.2183602535268913E-2</v>
      </c>
    </row>
    <row r="89" spans="1:5" x14ac:dyDescent="0.3">
      <c r="A89" s="1">
        <v>33326</v>
      </c>
      <c r="B89">
        <v>1.7509999999999999</v>
      </c>
      <c r="C89">
        <v>-89.01</v>
      </c>
      <c r="D89">
        <f t="shared" si="0"/>
        <v>1.7420989999999998</v>
      </c>
      <c r="E89" s="4">
        <f t="shared" si="1"/>
        <v>-7.9929484030129658E-2</v>
      </c>
    </row>
    <row r="90" spans="1:5" x14ac:dyDescent="0.3">
      <c r="A90" s="1">
        <v>33358</v>
      </c>
      <c r="B90">
        <v>1.726</v>
      </c>
      <c r="C90">
        <v>-86</v>
      </c>
      <c r="D90">
        <f t="shared" si="0"/>
        <v>1.7174</v>
      </c>
      <c r="E90" s="4">
        <f t="shared" si="1"/>
        <v>-9.2411510482468939E-3</v>
      </c>
    </row>
    <row r="91" spans="1:5" x14ac:dyDescent="0.3">
      <c r="A91" s="1">
        <v>33389</v>
      </c>
      <c r="B91">
        <v>1.698</v>
      </c>
      <c r="C91">
        <v>-76.680000000000007</v>
      </c>
      <c r="D91">
        <f t="shared" si="0"/>
        <v>1.6903319999999999</v>
      </c>
      <c r="E91" s="4">
        <f t="shared" si="1"/>
        <v>-1.1296145335973031E-2</v>
      </c>
    </row>
    <row r="92" spans="1:5" x14ac:dyDescent="0.3">
      <c r="A92" s="1">
        <v>33417</v>
      </c>
      <c r="B92">
        <v>1.6220000000000001</v>
      </c>
      <c r="C92">
        <v>-73.02</v>
      </c>
      <c r="D92">
        <f t="shared" si="0"/>
        <v>1.6146980000000002</v>
      </c>
      <c r="E92" s="4">
        <f t="shared" si="1"/>
        <v>-4.0425194577159894E-2</v>
      </c>
    </row>
    <row r="93" spans="1:5" x14ac:dyDescent="0.3">
      <c r="A93" s="1">
        <v>33450</v>
      </c>
      <c r="B93">
        <v>1.6870000000000001</v>
      </c>
      <c r="C93">
        <v>-74.010000000000005</v>
      </c>
      <c r="D93">
        <f t="shared" si="0"/>
        <v>1.6795990000000001</v>
      </c>
      <c r="E93" s="4">
        <f t="shared" si="1"/>
        <v>4.4777413485369934E-2</v>
      </c>
    </row>
    <row r="94" spans="1:5" x14ac:dyDescent="0.3">
      <c r="A94" s="1">
        <v>33480</v>
      </c>
      <c r="B94">
        <v>1.6815</v>
      </c>
      <c r="C94">
        <v>-72</v>
      </c>
      <c r="D94">
        <f t="shared" si="0"/>
        <v>1.6742999999999999</v>
      </c>
      <c r="E94" s="4">
        <f t="shared" si="1"/>
        <v>1.1318177731708167E-3</v>
      </c>
    </row>
    <row r="95" spans="1:5" x14ac:dyDescent="0.3">
      <c r="A95" s="1">
        <v>33511</v>
      </c>
      <c r="B95">
        <v>1.7509999999999999</v>
      </c>
      <c r="C95">
        <v>-74</v>
      </c>
      <c r="D95">
        <f t="shared" si="0"/>
        <v>1.7435999999999998</v>
      </c>
      <c r="E95" s="4">
        <f t="shared" si="1"/>
        <v>4.5810189332855522E-2</v>
      </c>
    </row>
    <row r="96" spans="1:5" x14ac:dyDescent="0.3">
      <c r="A96" s="1">
        <v>33542</v>
      </c>
      <c r="B96">
        <v>1.7392000000000001</v>
      </c>
      <c r="C96">
        <v>-68</v>
      </c>
      <c r="D96">
        <f t="shared" si="0"/>
        <v>1.7324000000000002</v>
      </c>
      <c r="E96" s="4">
        <f t="shared" si="1"/>
        <v>-2.5235145675612169E-3</v>
      </c>
    </row>
    <row r="97" spans="1:5" x14ac:dyDescent="0.3">
      <c r="A97" s="1">
        <v>33571</v>
      </c>
      <c r="B97">
        <v>1.7679</v>
      </c>
      <c r="C97">
        <v>-86.44</v>
      </c>
      <c r="D97">
        <f t="shared" si="0"/>
        <v>1.7592559999999999</v>
      </c>
      <c r="E97" s="4">
        <f t="shared" si="1"/>
        <v>2.0491803278688443E-2</v>
      </c>
    </row>
    <row r="98" spans="1:5" x14ac:dyDescent="0.3">
      <c r="A98" s="1">
        <v>33603</v>
      </c>
      <c r="B98">
        <v>1.8707</v>
      </c>
      <c r="C98">
        <v>-101.99</v>
      </c>
      <c r="D98">
        <f t="shared" si="0"/>
        <v>1.860501</v>
      </c>
      <c r="E98" s="4">
        <f t="shared" si="1"/>
        <v>6.3347233148558307E-2</v>
      </c>
    </row>
    <row r="99" spans="1:5" x14ac:dyDescent="0.3">
      <c r="A99" s="1">
        <v>33634</v>
      </c>
      <c r="B99">
        <v>1.7875000000000001</v>
      </c>
      <c r="C99">
        <v>-92</v>
      </c>
      <c r="D99">
        <f t="shared" si="0"/>
        <v>1.7783</v>
      </c>
      <c r="E99" s="4">
        <f t="shared" si="1"/>
        <v>-3.9237280710948216E-2</v>
      </c>
    </row>
    <row r="100" spans="1:5" x14ac:dyDescent="0.3">
      <c r="A100" s="1">
        <v>33662</v>
      </c>
      <c r="B100">
        <v>1.7577</v>
      </c>
      <c r="C100">
        <v>-86</v>
      </c>
      <c r="D100">
        <f t="shared" si="0"/>
        <v>1.7491000000000001</v>
      </c>
      <c r="E100" s="4">
        <f t="shared" si="1"/>
        <v>-1.1584097171455858E-2</v>
      </c>
    </row>
    <row r="101" spans="1:5" x14ac:dyDescent="0.3">
      <c r="A101" s="1">
        <v>33694</v>
      </c>
      <c r="B101">
        <v>1.7363</v>
      </c>
      <c r="C101">
        <v>-91</v>
      </c>
      <c r="D101">
        <f t="shared" si="0"/>
        <v>1.7271999999999998</v>
      </c>
      <c r="E101" s="4">
        <f t="shared" si="1"/>
        <v>-7.3180492824882187E-3</v>
      </c>
    </row>
    <row r="102" spans="1:5" x14ac:dyDescent="0.3">
      <c r="A102" s="1">
        <v>33724</v>
      </c>
      <c r="B102">
        <v>1.7768999999999999</v>
      </c>
      <c r="C102">
        <v>-103.98</v>
      </c>
      <c r="D102">
        <f t="shared" si="0"/>
        <v>1.766502</v>
      </c>
      <c r="E102" s="4">
        <f t="shared" si="1"/>
        <v>2.8774895785085734E-2</v>
      </c>
    </row>
    <row r="103" spans="1:5" x14ac:dyDescent="0.3">
      <c r="A103" s="1">
        <v>33753</v>
      </c>
      <c r="B103">
        <v>1.8297000000000001</v>
      </c>
      <c r="C103">
        <v>-91</v>
      </c>
      <c r="D103">
        <f t="shared" si="0"/>
        <v>1.8206</v>
      </c>
      <c r="E103" s="4">
        <f t="shared" si="1"/>
        <v>3.5775787403580686E-2</v>
      </c>
    </row>
    <row r="104" spans="1:5" x14ac:dyDescent="0.3">
      <c r="A104" s="1">
        <v>33785</v>
      </c>
      <c r="B104">
        <v>1.905</v>
      </c>
      <c r="C104">
        <v>-102.99</v>
      </c>
      <c r="D104">
        <f t="shared" si="0"/>
        <v>1.894701</v>
      </c>
      <c r="E104" s="4">
        <f t="shared" si="1"/>
        <v>4.6358343403273661E-2</v>
      </c>
    </row>
    <row r="105" spans="1:5" x14ac:dyDescent="0.3">
      <c r="A105" s="1">
        <v>33816</v>
      </c>
      <c r="B105">
        <v>1.9275</v>
      </c>
      <c r="C105">
        <v>-109.99</v>
      </c>
      <c r="D105">
        <f t="shared" si="0"/>
        <v>1.916501</v>
      </c>
      <c r="E105" s="4">
        <f t="shared" si="1"/>
        <v>1.7310910798062608E-2</v>
      </c>
    </row>
    <row r="106" spans="1:5" x14ac:dyDescent="0.3">
      <c r="A106" s="1">
        <v>33847</v>
      </c>
      <c r="B106">
        <v>1.9883999999999999</v>
      </c>
      <c r="C106">
        <v>-113.99</v>
      </c>
      <c r="D106">
        <f t="shared" si="0"/>
        <v>1.977001</v>
      </c>
      <c r="E106" s="4">
        <f t="shared" si="1"/>
        <v>3.7515764406071239E-2</v>
      </c>
    </row>
    <row r="107" spans="1:5" x14ac:dyDescent="0.3">
      <c r="A107" s="1">
        <v>33877</v>
      </c>
      <c r="B107">
        <v>1.7773000000000001</v>
      </c>
      <c r="C107">
        <v>-99</v>
      </c>
      <c r="D107">
        <f t="shared" si="0"/>
        <v>1.7674000000000001</v>
      </c>
      <c r="E107" s="4">
        <f t="shared" si="1"/>
        <v>-0.10101208851184187</v>
      </c>
    </row>
    <row r="108" spans="1:5" x14ac:dyDescent="0.3">
      <c r="A108" s="1">
        <v>33907</v>
      </c>
      <c r="B108">
        <v>1.5585</v>
      </c>
      <c r="C108">
        <v>-66</v>
      </c>
      <c r="D108">
        <f t="shared" si="0"/>
        <v>1.5519000000000001</v>
      </c>
      <c r="E108" s="4">
        <f t="shared" si="1"/>
        <v>-0.11819622043679986</v>
      </c>
    </row>
    <row r="109" spans="1:5" x14ac:dyDescent="0.3">
      <c r="A109" s="1">
        <v>33938</v>
      </c>
      <c r="B109">
        <v>1.5170999999999999</v>
      </c>
      <c r="C109">
        <v>-54</v>
      </c>
      <c r="D109">
        <f t="shared" si="0"/>
        <v>1.5116999999999998</v>
      </c>
      <c r="E109" s="4">
        <f t="shared" si="1"/>
        <v>-2.2424125265803313E-2</v>
      </c>
    </row>
    <row r="110" spans="1:5" x14ac:dyDescent="0.3">
      <c r="A110" s="1">
        <v>33969</v>
      </c>
      <c r="B110">
        <v>1.5105</v>
      </c>
      <c r="C110">
        <v>-47</v>
      </c>
      <c r="D110">
        <f t="shared" si="0"/>
        <v>1.5058</v>
      </c>
      <c r="E110" s="4">
        <f t="shared" si="1"/>
        <v>-7.9380829529659849E-4</v>
      </c>
    </row>
    <row r="111" spans="1:5" x14ac:dyDescent="0.3">
      <c r="A111" s="1">
        <v>33998</v>
      </c>
      <c r="B111">
        <v>1.4861</v>
      </c>
      <c r="C111">
        <v>-39.01</v>
      </c>
      <c r="D111">
        <f t="shared" si="0"/>
        <v>1.482199</v>
      </c>
      <c r="E111" s="4">
        <f t="shared" si="1"/>
        <v>-1.3082746712710884E-2</v>
      </c>
    </row>
    <row r="112" spans="1:5" x14ac:dyDescent="0.3">
      <c r="A112" s="1">
        <v>34026</v>
      </c>
      <c r="B112">
        <v>1.4255</v>
      </c>
      <c r="C112">
        <v>-38</v>
      </c>
      <c r="D112">
        <f t="shared" si="0"/>
        <v>1.4217</v>
      </c>
      <c r="E112" s="4">
        <f t="shared" si="1"/>
        <v>-3.8253297971460008E-2</v>
      </c>
    </row>
    <row r="113" spans="1:5" x14ac:dyDescent="0.3">
      <c r="A113" s="1">
        <v>34059</v>
      </c>
      <c r="B113">
        <v>1.5145</v>
      </c>
      <c r="C113">
        <v>-39</v>
      </c>
      <c r="D113">
        <f t="shared" si="0"/>
        <v>1.5105999999999999</v>
      </c>
      <c r="E113" s="4">
        <f t="shared" si="1"/>
        <v>6.5273967785046072E-2</v>
      </c>
    </row>
    <row r="114" spans="1:5" x14ac:dyDescent="0.3">
      <c r="A114" s="1">
        <v>34089</v>
      </c>
      <c r="B114">
        <v>1.5740000000000001</v>
      </c>
      <c r="C114">
        <v>-40</v>
      </c>
      <c r="D114">
        <f t="shared" si="0"/>
        <v>1.57</v>
      </c>
      <c r="E114" s="4">
        <f t="shared" si="1"/>
        <v>4.1970078114656507E-2</v>
      </c>
    </row>
    <row r="115" spans="1:5" x14ac:dyDescent="0.3">
      <c r="A115" s="1">
        <v>34120</v>
      </c>
      <c r="B115">
        <v>1.5629999999999999</v>
      </c>
      <c r="C115">
        <v>-34</v>
      </c>
      <c r="D115">
        <f t="shared" si="0"/>
        <v>1.5595999999999999</v>
      </c>
      <c r="E115" s="4">
        <f t="shared" si="1"/>
        <v>-4.4585987261147242E-3</v>
      </c>
    </row>
    <row r="116" spans="1:5" x14ac:dyDescent="0.3">
      <c r="A116" s="1">
        <v>34150</v>
      </c>
      <c r="B116">
        <v>1.4912000000000001</v>
      </c>
      <c r="C116">
        <v>-35.67</v>
      </c>
      <c r="D116">
        <f t="shared" si="0"/>
        <v>1.487633</v>
      </c>
      <c r="E116" s="4">
        <f t="shared" si="1"/>
        <v>-4.3857399333162218E-2</v>
      </c>
    </row>
    <row r="117" spans="1:5" x14ac:dyDescent="0.3">
      <c r="A117" s="1">
        <v>34180</v>
      </c>
      <c r="B117">
        <v>1.4824999999999999</v>
      </c>
      <c r="C117">
        <v>-34.01</v>
      </c>
      <c r="D117">
        <f t="shared" si="0"/>
        <v>1.4790989999999999</v>
      </c>
      <c r="E117" s="4">
        <f t="shared" si="1"/>
        <v>-3.450447791894946E-3</v>
      </c>
    </row>
    <row r="118" spans="1:5" x14ac:dyDescent="0.3">
      <c r="A118" s="1">
        <v>34212</v>
      </c>
      <c r="B118">
        <v>1.4924999999999999</v>
      </c>
      <c r="C118">
        <v>-35</v>
      </c>
      <c r="D118">
        <f t="shared" si="0"/>
        <v>1.4889999999999999</v>
      </c>
      <c r="E118" s="4">
        <f t="shared" si="1"/>
        <v>9.060245460243024E-3</v>
      </c>
    </row>
    <row r="119" spans="1:5" x14ac:dyDescent="0.3">
      <c r="A119" s="1">
        <v>34242</v>
      </c>
      <c r="B119">
        <v>1.496</v>
      </c>
      <c r="C119">
        <v>-36.57</v>
      </c>
      <c r="D119">
        <f t="shared" si="0"/>
        <v>1.492343</v>
      </c>
      <c r="E119" s="4">
        <f t="shared" si="1"/>
        <v>4.7011417058429265E-3</v>
      </c>
    </row>
    <row r="120" spans="1:5" x14ac:dyDescent="0.3">
      <c r="A120" s="1">
        <v>34271</v>
      </c>
      <c r="B120">
        <v>1.48</v>
      </c>
      <c r="C120">
        <v>-33.51</v>
      </c>
      <c r="D120">
        <f t="shared" si="0"/>
        <v>1.4766489999999999</v>
      </c>
      <c r="E120" s="4">
        <f t="shared" si="1"/>
        <v>-8.2708867867507616E-3</v>
      </c>
    </row>
    <row r="121" spans="1:5" x14ac:dyDescent="0.3">
      <c r="A121" s="1">
        <v>34303</v>
      </c>
      <c r="B121">
        <v>1.4858</v>
      </c>
      <c r="C121">
        <v>-23.57</v>
      </c>
      <c r="D121">
        <f t="shared" si="0"/>
        <v>1.4834430000000001</v>
      </c>
      <c r="E121" s="4">
        <f t="shared" si="1"/>
        <v>6.1971396046048401E-3</v>
      </c>
    </row>
    <row r="122" spans="1:5" x14ac:dyDescent="0.3">
      <c r="A122" s="1">
        <v>34334</v>
      </c>
      <c r="B122">
        <v>1.4775</v>
      </c>
      <c r="C122">
        <v>-28</v>
      </c>
      <c r="D122">
        <f t="shared" si="0"/>
        <v>1.4747000000000001</v>
      </c>
      <c r="E122" s="4">
        <f t="shared" si="1"/>
        <v>-4.0062206636857847E-3</v>
      </c>
    </row>
    <row r="123" spans="1:5" x14ac:dyDescent="0.3">
      <c r="A123" s="1">
        <v>34365</v>
      </c>
      <c r="B123">
        <v>1.5068999999999999</v>
      </c>
      <c r="C123">
        <v>-30</v>
      </c>
      <c r="D123">
        <f t="shared" si="0"/>
        <v>1.5039</v>
      </c>
      <c r="E123" s="4">
        <f t="shared" si="1"/>
        <v>2.1834949481250275E-2</v>
      </c>
    </row>
    <row r="124" spans="1:5" x14ac:dyDescent="0.3">
      <c r="A124" s="1">
        <v>34393</v>
      </c>
      <c r="B124">
        <v>1.4855</v>
      </c>
      <c r="C124">
        <v>-21</v>
      </c>
      <c r="D124">
        <f t="shared" si="0"/>
        <v>1.4834000000000001</v>
      </c>
      <c r="E124" s="4">
        <f t="shared" si="1"/>
        <v>-1.2234856040960151E-2</v>
      </c>
    </row>
    <row r="125" spans="1:5" x14ac:dyDescent="0.3">
      <c r="A125" s="1">
        <v>34424</v>
      </c>
      <c r="B125">
        <v>1.484</v>
      </c>
      <c r="C125">
        <v>-18.7</v>
      </c>
      <c r="D125">
        <f t="shared" si="0"/>
        <v>1.4821299999999999</v>
      </c>
      <c r="E125" s="4">
        <f t="shared" si="1"/>
        <v>4.044762033166603E-4</v>
      </c>
    </row>
    <row r="126" spans="1:5" x14ac:dyDescent="0.3">
      <c r="A126" s="1">
        <v>34453</v>
      </c>
      <c r="B126">
        <v>1.5185</v>
      </c>
      <c r="C126">
        <v>-15</v>
      </c>
      <c r="D126">
        <f t="shared" si="0"/>
        <v>1.5169999999999999</v>
      </c>
      <c r="E126" s="4">
        <f t="shared" si="1"/>
        <v>2.4539008049226461E-2</v>
      </c>
    </row>
    <row r="127" spans="1:5" x14ac:dyDescent="0.3">
      <c r="A127" s="1">
        <v>34485</v>
      </c>
      <c r="B127">
        <v>1.5113000000000001</v>
      </c>
      <c r="C127">
        <v>-7.15</v>
      </c>
      <c r="D127">
        <f t="shared" ref="D127:D190" si="2">B127+C127/10^4</f>
        <v>1.5105850000000001</v>
      </c>
      <c r="E127" s="4">
        <f t="shared" si="1"/>
        <v>-3.7574159525377831E-3</v>
      </c>
    </row>
    <row r="128" spans="1:5" x14ac:dyDescent="0.3">
      <c r="A128" s="1">
        <v>34515</v>
      </c>
      <c r="B128">
        <v>1.5443</v>
      </c>
      <c r="C128">
        <v>-5.7</v>
      </c>
      <c r="D128">
        <f t="shared" si="2"/>
        <v>1.54373</v>
      </c>
      <c r="E128" s="4">
        <f t="shared" ref="E128:E191" si="3">(B128-D127)/D127</f>
        <v>2.2319167739650491E-2</v>
      </c>
    </row>
    <row r="129" spans="1:5" x14ac:dyDescent="0.3">
      <c r="A129" s="1">
        <v>34544</v>
      </c>
      <c r="B129">
        <v>1.544</v>
      </c>
      <c r="C129">
        <v>-8</v>
      </c>
      <c r="D129">
        <f t="shared" si="2"/>
        <v>1.5432000000000001</v>
      </c>
      <c r="E129" s="4">
        <f t="shared" si="3"/>
        <v>1.7490105134964823E-4</v>
      </c>
    </row>
    <row r="130" spans="1:5" x14ac:dyDescent="0.3">
      <c r="A130" s="1">
        <v>34577</v>
      </c>
      <c r="B130">
        <v>1.534</v>
      </c>
      <c r="C130">
        <v>-7</v>
      </c>
      <c r="D130">
        <f t="shared" si="2"/>
        <v>1.5333000000000001</v>
      </c>
      <c r="E130" s="4">
        <f t="shared" si="3"/>
        <v>-5.9616381544842509E-3</v>
      </c>
    </row>
    <row r="131" spans="1:5" x14ac:dyDescent="0.3">
      <c r="A131" s="1">
        <v>34607</v>
      </c>
      <c r="B131">
        <v>1.5774999999999999</v>
      </c>
      <c r="C131">
        <v>-5</v>
      </c>
      <c r="D131">
        <f t="shared" si="2"/>
        <v>1.577</v>
      </c>
      <c r="E131" s="4">
        <f t="shared" si="3"/>
        <v>2.8826713624209088E-2</v>
      </c>
    </row>
    <row r="132" spans="1:5" x14ac:dyDescent="0.3">
      <c r="A132" s="1">
        <v>34638</v>
      </c>
      <c r="B132">
        <v>1.6355</v>
      </c>
      <c r="C132">
        <v>-7.5</v>
      </c>
      <c r="D132">
        <f t="shared" si="2"/>
        <v>1.6347499999999999</v>
      </c>
      <c r="E132" s="4">
        <f t="shared" si="3"/>
        <v>3.7095751426759672E-2</v>
      </c>
    </row>
    <row r="133" spans="1:5" x14ac:dyDescent="0.3">
      <c r="A133" s="1">
        <v>34668</v>
      </c>
      <c r="B133">
        <v>1.5645</v>
      </c>
      <c r="C133">
        <v>5.05</v>
      </c>
      <c r="D133">
        <f t="shared" si="2"/>
        <v>1.565005</v>
      </c>
      <c r="E133" s="4">
        <f t="shared" si="3"/>
        <v>-4.2972931640923646E-2</v>
      </c>
    </row>
    <row r="134" spans="1:5" x14ac:dyDescent="0.3">
      <c r="A134" s="1">
        <v>34698</v>
      </c>
      <c r="B134">
        <v>1.5648</v>
      </c>
      <c r="C134">
        <v>1.17</v>
      </c>
      <c r="D134">
        <f t="shared" si="2"/>
        <v>1.5649169999999999</v>
      </c>
      <c r="E134" s="4">
        <f t="shared" si="3"/>
        <v>-1.3098999683707767E-4</v>
      </c>
    </row>
    <row r="135" spans="1:5" x14ac:dyDescent="0.3">
      <c r="A135" s="1">
        <v>34730</v>
      </c>
      <c r="B135">
        <v>1.5794999999999999</v>
      </c>
      <c r="C135">
        <v>-6.98</v>
      </c>
      <c r="D135">
        <f t="shared" si="2"/>
        <v>1.5788019999999998</v>
      </c>
      <c r="E135" s="4">
        <f t="shared" si="3"/>
        <v>9.318705081483563E-3</v>
      </c>
    </row>
    <row r="136" spans="1:5" x14ac:dyDescent="0.3">
      <c r="A136" s="1">
        <v>34758</v>
      </c>
      <c r="B136">
        <v>1.5839000000000001</v>
      </c>
      <c r="C136">
        <v>-4.5</v>
      </c>
      <c r="D136">
        <f t="shared" si="2"/>
        <v>1.58345</v>
      </c>
      <c r="E136" s="4">
        <f t="shared" si="3"/>
        <v>3.2290306194191986E-3</v>
      </c>
    </row>
    <row r="137" spans="1:5" x14ac:dyDescent="0.3">
      <c r="A137" s="1">
        <v>34789</v>
      </c>
      <c r="B137">
        <v>1.6214999999999999</v>
      </c>
      <c r="C137">
        <v>-2.8</v>
      </c>
      <c r="D137">
        <f t="shared" si="2"/>
        <v>1.6212199999999999</v>
      </c>
      <c r="E137" s="4">
        <f t="shared" si="3"/>
        <v>2.4029808329912479E-2</v>
      </c>
    </row>
    <row r="138" spans="1:5" x14ac:dyDescent="0.3">
      <c r="A138" s="1">
        <v>34817</v>
      </c>
      <c r="B138">
        <v>1.6125</v>
      </c>
      <c r="C138">
        <v>-8.3000000000000007</v>
      </c>
      <c r="D138">
        <f t="shared" si="2"/>
        <v>1.6116699999999999</v>
      </c>
      <c r="E138" s="4">
        <f t="shared" si="3"/>
        <v>-5.3786654494762214E-3</v>
      </c>
    </row>
    <row r="139" spans="1:5" x14ac:dyDescent="0.3">
      <c r="A139" s="1">
        <v>34850</v>
      </c>
      <c r="B139">
        <v>1.5863</v>
      </c>
      <c r="C139">
        <v>-3</v>
      </c>
      <c r="D139">
        <f t="shared" si="2"/>
        <v>1.5860000000000001</v>
      </c>
      <c r="E139" s="4">
        <f t="shared" si="3"/>
        <v>-1.5741435901890519E-2</v>
      </c>
    </row>
    <row r="140" spans="1:5" x14ac:dyDescent="0.3">
      <c r="A140" s="1">
        <v>34880</v>
      </c>
      <c r="B140">
        <v>1.5954999999999999</v>
      </c>
      <c r="C140">
        <v>-8.5</v>
      </c>
      <c r="D140">
        <f t="shared" si="2"/>
        <v>1.5946499999999999</v>
      </c>
      <c r="E140" s="4">
        <f t="shared" si="3"/>
        <v>5.9899117276165457E-3</v>
      </c>
    </row>
    <row r="141" spans="1:5" x14ac:dyDescent="0.3">
      <c r="A141" s="1">
        <v>34911</v>
      </c>
      <c r="B141">
        <v>1.597</v>
      </c>
      <c r="C141">
        <v>-13.5</v>
      </c>
      <c r="D141">
        <f t="shared" si="2"/>
        <v>1.59565</v>
      </c>
      <c r="E141" s="4">
        <f t="shared" si="3"/>
        <v>1.473677609506835E-3</v>
      </c>
    </row>
    <row r="142" spans="1:5" x14ac:dyDescent="0.3">
      <c r="A142" s="1">
        <v>34942</v>
      </c>
      <c r="B142">
        <v>1.5496000000000001</v>
      </c>
      <c r="C142">
        <v>-10.5</v>
      </c>
      <c r="D142">
        <f t="shared" si="2"/>
        <v>1.5485500000000001</v>
      </c>
      <c r="E142" s="4">
        <f t="shared" si="3"/>
        <v>-2.88597123429323E-2</v>
      </c>
    </row>
    <row r="143" spans="1:5" x14ac:dyDescent="0.3">
      <c r="A143" s="1">
        <v>34971</v>
      </c>
      <c r="B143">
        <v>1.5848</v>
      </c>
      <c r="C143">
        <v>-10.5</v>
      </c>
      <c r="D143">
        <f t="shared" si="2"/>
        <v>1.58375</v>
      </c>
      <c r="E143" s="4">
        <f t="shared" si="3"/>
        <v>2.3408995511930444E-2</v>
      </c>
    </row>
    <row r="144" spans="1:5" x14ac:dyDescent="0.3">
      <c r="A144" s="1">
        <v>35003</v>
      </c>
      <c r="B144">
        <v>1.5798000000000001</v>
      </c>
      <c r="C144">
        <v>-11.5</v>
      </c>
      <c r="D144">
        <f t="shared" si="2"/>
        <v>1.5786500000000001</v>
      </c>
      <c r="E144" s="4">
        <f t="shared" si="3"/>
        <v>-2.4940805051301643E-3</v>
      </c>
    </row>
    <row r="145" spans="1:5" x14ac:dyDescent="0.3">
      <c r="A145" s="1">
        <v>35033</v>
      </c>
      <c r="B145">
        <v>1.5336000000000001</v>
      </c>
      <c r="C145">
        <v>-9.8000000000000007</v>
      </c>
      <c r="D145">
        <f t="shared" si="2"/>
        <v>1.5326200000000001</v>
      </c>
      <c r="E145" s="4">
        <f t="shared" si="3"/>
        <v>-2.8537041142748572E-2</v>
      </c>
    </row>
    <row r="146" spans="1:5" x14ac:dyDescent="0.3">
      <c r="A146" s="1">
        <v>35062</v>
      </c>
      <c r="B146">
        <v>1.5496000000000001</v>
      </c>
      <c r="C146">
        <v>-11</v>
      </c>
      <c r="D146">
        <f t="shared" si="2"/>
        <v>1.5485</v>
      </c>
      <c r="E146" s="4">
        <f t="shared" si="3"/>
        <v>1.1079067218227606E-2</v>
      </c>
    </row>
    <row r="147" spans="1:5" x14ac:dyDescent="0.3">
      <c r="A147" s="1">
        <v>35095</v>
      </c>
      <c r="B147">
        <v>1.5137</v>
      </c>
      <c r="C147">
        <v>-11.7</v>
      </c>
      <c r="D147">
        <f t="shared" si="2"/>
        <v>1.5125300000000002</v>
      </c>
      <c r="E147" s="4">
        <f t="shared" si="3"/>
        <v>-2.2473361317403902E-2</v>
      </c>
    </row>
    <row r="148" spans="1:5" x14ac:dyDescent="0.3">
      <c r="A148" s="1">
        <v>35124</v>
      </c>
      <c r="B148">
        <v>1.5319</v>
      </c>
      <c r="C148">
        <v>-11.7</v>
      </c>
      <c r="D148">
        <f t="shared" si="2"/>
        <v>1.5307300000000001</v>
      </c>
      <c r="E148" s="4">
        <f t="shared" si="3"/>
        <v>1.2806357559849976E-2</v>
      </c>
    </row>
    <row r="149" spans="1:5" x14ac:dyDescent="0.3">
      <c r="A149" s="1">
        <v>35153</v>
      </c>
      <c r="B149">
        <v>1.5269999999999999</v>
      </c>
      <c r="C149">
        <v>-6.95</v>
      </c>
      <c r="D149">
        <f t="shared" si="2"/>
        <v>1.526305</v>
      </c>
      <c r="E149" s="4">
        <f t="shared" si="3"/>
        <v>-2.4367458663515007E-3</v>
      </c>
    </row>
    <row r="150" spans="1:5" x14ac:dyDescent="0.3">
      <c r="A150" s="1">
        <v>35185</v>
      </c>
      <c r="B150">
        <v>1.5065</v>
      </c>
      <c r="C150">
        <v>-7.8</v>
      </c>
      <c r="D150">
        <f t="shared" si="2"/>
        <v>1.5057199999999999</v>
      </c>
      <c r="E150" s="4">
        <f t="shared" si="3"/>
        <v>-1.2975781380523599E-2</v>
      </c>
    </row>
    <row r="151" spans="1:5" x14ac:dyDescent="0.3">
      <c r="A151" s="1">
        <v>35216</v>
      </c>
      <c r="B151">
        <v>1.5510999999999999</v>
      </c>
      <c r="C151">
        <v>-8</v>
      </c>
      <c r="D151">
        <f t="shared" si="2"/>
        <v>1.5503</v>
      </c>
      <c r="E151" s="4">
        <f t="shared" si="3"/>
        <v>3.0138405546848004E-2</v>
      </c>
    </row>
    <row r="152" spans="1:5" x14ac:dyDescent="0.3">
      <c r="A152" s="1">
        <v>35244</v>
      </c>
      <c r="B152">
        <v>1.5527</v>
      </c>
      <c r="C152">
        <v>-4.25</v>
      </c>
      <c r="D152">
        <f t="shared" si="2"/>
        <v>1.5522750000000001</v>
      </c>
      <c r="E152" s="4">
        <f t="shared" si="3"/>
        <v>1.5480874669418548E-3</v>
      </c>
    </row>
    <row r="153" spans="1:5" x14ac:dyDescent="0.3">
      <c r="A153" s="1">
        <v>35277</v>
      </c>
      <c r="B153">
        <v>1.5566</v>
      </c>
      <c r="C153">
        <v>-5</v>
      </c>
      <c r="D153">
        <f t="shared" si="2"/>
        <v>1.5561</v>
      </c>
      <c r="E153" s="4">
        <f t="shared" si="3"/>
        <v>2.7862331094683042E-3</v>
      </c>
    </row>
    <row r="154" spans="1:5" x14ac:dyDescent="0.3">
      <c r="A154" s="1">
        <v>35307</v>
      </c>
      <c r="B154">
        <v>1.5647</v>
      </c>
      <c r="C154">
        <v>-4.5</v>
      </c>
      <c r="D154">
        <f t="shared" si="2"/>
        <v>1.5642499999999999</v>
      </c>
      <c r="E154" s="4">
        <f t="shared" si="3"/>
        <v>5.5266371055844362E-3</v>
      </c>
    </row>
    <row r="155" spans="1:5" x14ac:dyDescent="0.3">
      <c r="A155" s="1">
        <v>35338</v>
      </c>
      <c r="B155">
        <v>1.5652999999999999</v>
      </c>
      <c r="C155">
        <v>-4.8499999999999996</v>
      </c>
      <c r="D155">
        <f t="shared" si="2"/>
        <v>1.5648149999999998</v>
      </c>
      <c r="E155" s="4">
        <f t="shared" si="3"/>
        <v>6.7124820201374172E-4</v>
      </c>
    </row>
    <row r="156" spans="1:5" x14ac:dyDescent="0.3">
      <c r="A156" s="1">
        <v>35369</v>
      </c>
      <c r="B156">
        <v>1.6271</v>
      </c>
      <c r="C156">
        <v>-9.61</v>
      </c>
      <c r="D156">
        <f t="shared" si="2"/>
        <v>1.626139</v>
      </c>
      <c r="E156" s="4">
        <f t="shared" si="3"/>
        <v>3.9803427242198056E-2</v>
      </c>
    </row>
    <row r="157" spans="1:5" x14ac:dyDescent="0.3">
      <c r="A157" s="1">
        <v>35398</v>
      </c>
      <c r="B157">
        <v>1.6820999999999999</v>
      </c>
      <c r="C157">
        <v>-8</v>
      </c>
      <c r="D157">
        <f t="shared" si="2"/>
        <v>1.6813</v>
      </c>
      <c r="E157" s="4">
        <f t="shared" si="3"/>
        <v>3.4413417303194825E-2</v>
      </c>
    </row>
    <row r="158" spans="1:5" x14ac:dyDescent="0.3">
      <c r="A158" s="1">
        <v>35430</v>
      </c>
      <c r="B158">
        <v>1.714</v>
      </c>
      <c r="C158">
        <v>-11</v>
      </c>
      <c r="D158">
        <f t="shared" si="2"/>
        <v>1.7128999999999999</v>
      </c>
      <c r="E158" s="4">
        <f t="shared" si="3"/>
        <v>1.9449235710462115E-2</v>
      </c>
    </row>
    <row r="159" spans="1:5" x14ac:dyDescent="0.3">
      <c r="A159" s="1">
        <v>35461</v>
      </c>
      <c r="B159">
        <v>1.6024</v>
      </c>
      <c r="C159">
        <v>-9.1</v>
      </c>
      <c r="D159">
        <f t="shared" si="2"/>
        <v>1.6014900000000001</v>
      </c>
      <c r="E159" s="4">
        <f t="shared" si="3"/>
        <v>-6.4510479304104057E-2</v>
      </c>
    </row>
    <row r="160" spans="1:5" x14ac:dyDescent="0.3">
      <c r="A160" s="1">
        <v>35489</v>
      </c>
      <c r="B160">
        <v>1.6286</v>
      </c>
      <c r="C160">
        <v>-9</v>
      </c>
      <c r="D160">
        <f t="shared" si="2"/>
        <v>1.6277000000000001</v>
      </c>
      <c r="E160" s="4">
        <f t="shared" si="3"/>
        <v>1.6927985813211425E-2</v>
      </c>
    </row>
    <row r="161" spans="1:5" x14ac:dyDescent="0.3">
      <c r="A161" s="1">
        <v>35520</v>
      </c>
      <c r="B161">
        <v>1.6374</v>
      </c>
      <c r="C161">
        <v>-5.45</v>
      </c>
      <c r="D161">
        <f t="shared" si="2"/>
        <v>1.6368549999999999</v>
      </c>
      <c r="E161" s="4">
        <f t="shared" si="3"/>
        <v>5.9593291147016156E-3</v>
      </c>
    </row>
    <row r="162" spans="1:5" x14ac:dyDescent="0.3">
      <c r="A162" s="1">
        <v>35550</v>
      </c>
      <c r="B162">
        <v>1.6235999999999999</v>
      </c>
      <c r="C162">
        <v>-8.5500000000000007</v>
      </c>
      <c r="D162">
        <f t="shared" si="2"/>
        <v>1.6227449999999999</v>
      </c>
      <c r="E162" s="4">
        <f t="shared" si="3"/>
        <v>-8.0978461745237155E-3</v>
      </c>
    </row>
    <row r="163" spans="1:5" x14ac:dyDescent="0.3">
      <c r="A163" s="1">
        <v>35580</v>
      </c>
      <c r="B163">
        <v>1.6387</v>
      </c>
      <c r="C163">
        <v>-10.65</v>
      </c>
      <c r="D163">
        <f t="shared" si="2"/>
        <v>1.637635</v>
      </c>
      <c r="E163" s="4">
        <f t="shared" si="3"/>
        <v>9.8321054755985474E-3</v>
      </c>
    </row>
    <row r="164" spans="1:5" x14ac:dyDescent="0.3">
      <c r="A164" s="1">
        <v>35611</v>
      </c>
      <c r="B164">
        <v>1.6656</v>
      </c>
      <c r="C164">
        <v>-14.5</v>
      </c>
      <c r="D164">
        <f t="shared" si="2"/>
        <v>1.66415</v>
      </c>
      <c r="E164" s="4">
        <f t="shared" si="3"/>
        <v>1.7076454765561324E-2</v>
      </c>
    </row>
    <row r="165" spans="1:5" x14ac:dyDescent="0.3">
      <c r="A165" s="1">
        <v>35642</v>
      </c>
      <c r="B165">
        <v>1.6408</v>
      </c>
      <c r="C165">
        <v>-19</v>
      </c>
      <c r="D165">
        <f t="shared" si="2"/>
        <v>1.6389</v>
      </c>
      <c r="E165" s="4">
        <f t="shared" si="3"/>
        <v>-1.4031187092509679E-2</v>
      </c>
    </row>
    <row r="166" spans="1:5" x14ac:dyDescent="0.3">
      <c r="A166" s="1">
        <v>35671</v>
      </c>
      <c r="B166">
        <v>1.6153</v>
      </c>
      <c r="C166">
        <v>-20.399999999999999</v>
      </c>
      <c r="D166">
        <f t="shared" si="2"/>
        <v>1.6132599999999999</v>
      </c>
      <c r="E166" s="4">
        <f t="shared" si="3"/>
        <v>-1.439990237354327E-2</v>
      </c>
    </row>
    <row r="167" spans="1:5" x14ac:dyDescent="0.3">
      <c r="A167" s="1">
        <v>35703</v>
      </c>
      <c r="B167">
        <v>1.6155999999999999</v>
      </c>
      <c r="C167">
        <v>-20</v>
      </c>
      <c r="D167">
        <f t="shared" si="2"/>
        <v>1.6135999999999999</v>
      </c>
      <c r="E167" s="4">
        <f t="shared" si="3"/>
        <v>1.4504791540111382E-3</v>
      </c>
    </row>
    <row r="168" spans="1:5" x14ac:dyDescent="0.3">
      <c r="A168" s="1">
        <v>35734</v>
      </c>
      <c r="B168">
        <v>1.6727000000000001</v>
      </c>
      <c r="C168">
        <v>-21.8</v>
      </c>
      <c r="D168">
        <f t="shared" si="2"/>
        <v>1.67052</v>
      </c>
      <c r="E168" s="4">
        <f t="shared" si="3"/>
        <v>3.6626177491323846E-2</v>
      </c>
    </row>
    <row r="169" spans="1:5" x14ac:dyDescent="0.3">
      <c r="A169" s="1">
        <v>35762</v>
      </c>
      <c r="B169">
        <v>1.6890000000000001</v>
      </c>
      <c r="C169">
        <v>-22.38</v>
      </c>
      <c r="D169">
        <f t="shared" si="2"/>
        <v>1.6867620000000001</v>
      </c>
      <c r="E169" s="4">
        <f t="shared" si="3"/>
        <v>1.1062423676460055E-2</v>
      </c>
    </row>
    <row r="170" spans="1:5" x14ac:dyDescent="0.3">
      <c r="A170" s="1">
        <v>35795</v>
      </c>
      <c r="B170">
        <v>1.6452</v>
      </c>
      <c r="C170">
        <v>-24.6</v>
      </c>
      <c r="D170">
        <f t="shared" si="2"/>
        <v>1.6427400000000001</v>
      </c>
      <c r="E170" s="4">
        <f t="shared" si="3"/>
        <v>-2.4640109274456087E-2</v>
      </c>
    </row>
    <row r="171" spans="1:5" x14ac:dyDescent="0.3">
      <c r="A171" s="1">
        <v>35825</v>
      </c>
      <c r="B171">
        <v>1.6319999999999999</v>
      </c>
      <c r="C171">
        <v>-23.35</v>
      </c>
      <c r="D171">
        <f t="shared" si="2"/>
        <v>1.6296649999999999</v>
      </c>
      <c r="E171" s="4">
        <f t="shared" si="3"/>
        <v>-6.5378574820118785E-3</v>
      </c>
    </row>
    <row r="172" spans="1:5" x14ac:dyDescent="0.3">
      <c r="A172" s="1">
        <v>35853</v>
      </c>
      <c r="B172">
        <v>1.643</v>
      </c>
      <c r="C172">
        <v>-25.7</v>
      </c>
      <c r="D172">
        <f t="shared" si="2"/>
        <v>1.6404300000000001</v>
      </c>
      <c r="E172" s="4">
        <f t="shared" si="3"/>
        <v>8.1826633081032597E-3</v>
      </c>
    </row>
    <row r="173" spans="1:5" x14ac:dyDescent="0.3">
      <c r="A173" s="1">
        <v>35885</v>
      </c>
      <c r="B173">
        <v>1.6725000000000001</v>
      </c>
      <c r="C173">
        <v>-26.75</v>
      </c>
      <c r="D173">
        <f t="shared" si="2"/>
        <v>1.6698250000000001</v>
      </c>
      <c r="E173" s="4">
        <f t="shared" si="3"/>
        <v>1.9549752199118548E-2</v>
      </c>
    </row>
    <row r="174" spans="1:5" x14ac:dyDescent="0.3">
      <c r="A174" s="1">
        <v>35915</v>
      </c>
      <c r="B174">
        <v>1.6711</v>
      </c>
      <c r="C174">
        <v>-25</v>
      </c>
      <c r="D174">
        <f t="shared" si="2"/>
        <v>1.6686000000000001</v>
      </c>
      <c r="E174" s="4">
        <f t="shared" si="3"/>
        <v>7.6355306693810126E-4</v>
      </c>
    </row>
    <row r="175" spans="1:5" x14ac:dyDescent="0.3">
      <c r="A175" s="1">
        <v>35944</v>
      </c>
      <c r="B175">
        <v>1.631</v>
      </c>
      <c r="C175">
        <v>-23.7</v>
      </c>
      <c r="D175">
        <f t="shared" si="2"/>
        <v>1.62863</v>
      </c>
      <c r="E175" s="4">
        <f t="shared" si="3"/>
        <v>-2.2533860721563031E-2</v>
      </c>
    </row>
    <row r="176" spans="1:5" x14ac:dyDescent="0.3">
      <c r="A176" s="1">
        <v>35976</v>
      </c>
      <c r="B176">
        <v>1.6678999999999999</v>
      </c>
      <c r="C176">
        <v>-27.9</v>
      </c>
      <c r="D176">
        <f t="shared" si="2"/>
        <v>1.6651099999999999</v>
      </c>
      <c r="E176" s="4">
        <f t="shared" si="3"/>
        <v>2.4112290698316937E-2</v>
      </c>
    </row>
    <row r="177" spans="1:5" x14ac:dyDescent="0.3">
      <c r="A177" s="1">
        <v>36007</v>
      </c>
      <c r="B177">
        <v>1.6326000000000001</v>
      </c>
      <c r="C177">
        <v>-27.53</v>
      </c>
      <c r="D177">
        <f t="shared" si="2"/>
        <v>1.629847</v>
      </c>
      <c r="E177" s="4">
        <f t="shared" si="3"/>
        <v>-1.9524235636083995E-2</v>
      </c>
    </row>
    <row r="178" spans="1:5" x14ac:dyDescent="0.3">
      <c r="A178" s="1">
        <v>36038</v>
      </c>
      <c r="B178">
        <v>1.6798</v>
      </c>
      <c r="C178">
        <v>-27.5</v>
      </c>
      <c r="D178">
        <f t="shared" si="2"/>
        <v>1.6770499999999999</v>
      </c>
      <c r="E178" s="4">
        <f t="shared" si="3"/>
        <v>3.0648889128856827E-2</v>
      </c>
    </row>
    <row r="179" spans="1:5" x14ac:dyDescent="0.3">
      <c r="A179" s="1">
        <v>36068</v>
      </c>
      <c r="B179">
        <v>1.6989000000000001</v>
      </c>
      <c r="C179">
        <v>-28</v>
      </c>
      <c r="D179">
        <f t="shared" si="2"/>
        <v>1.6961000000000002</v>
      </c>
      <c r="E179" s="4">
        <f t="shared" si="3"/>
        <v>1.3028830386691004E-2</v>
      </c>
    </row>
    <row r="180" spans="1:5" x14ac:dyDescent="0.3">
      <c r="A180" s="1">
        <v>36098</v>
      </c>
      <c r="B180">
        <v>1.6755</v>
      </c>
      <c r="C180">
        <v>-27.8</v>
      </c>
      <c r="D180">
        <f t="shared" si="2"/>
        <v>1.67272</v>
      </c>
      <c r="E180" s="4">
        <f t="shared" si="3"/>
        <v>-1.2145510288308573E-2</v>
      </c>
    </row>
    <row r="181" spans="1:5" x14ac:dyDescent="0.3">
      <c r="A181" s="1">
        <v>36129</v>
      </c>
      <c r="B181">
        <v>1.6476999999999999</v>
      </c>
      <c r="C181">
        <v>-21.5</v>
      </c>
      <c r="D181">
        <f t="shared" si="2"/>
        <v>1.6455499999999998</v>
      </c>
      <c r="E181" s="4">
        <f t="shared" si="3"/>
        <v>-1.4957673729016239E-2</v>
      </c>
    </row>
    <row r="182" spans="1:5" x14ac:dyDescent="0.3">
      <c r="A182" s="1">
        <v>36160</v>
      </c>
      <c r="B182">
        <v>1.66</v>
      </c>
      <c r="C182">
        <v>-16.5</v>
      </c>
      <c r="D182">
        <f t="shared" si="2"/>
        <v>1.65835</v>
      </c>
      <c r="E182" s="4">
        <f t="shared" si="3"/>
        <v>8.7812585457750138E-3</v>
      </c>
    </row>
    <row r="183" spans="1:5" x14ac:dyDescent="0.3">
      <c r="A183" s="1">
        <v>36189</v>
      </c>
      <c r="B183">
        <v>1.6449</v>
      </c>
      <c r="C183">
        <v>-12.5</v>
      </c>
      <c r="D183">
        <f t="shared" si="2"/>
        <v>1.6436500000000001</v>
      </c>
      <c r="E183" s="4">
        <f t="shared" si="3"/>
        <v>-8.1104712515451885E-3</v>
      </c>
    </row>
    <row r="184" spans="1:5" x14ac:dyDescent="0.3">
      <c r="A184" s="1">
        <v>36217</v>
      </c>
      <c r="B184">
        <v>1.6025</v>
      </c>
      <c r="C184">
        <v>-9.1999999999999993</v>
      </c>
      <c r="D184">
        <f t="shared" si="2"/>
        <v>1.60158</v>
      </c>
      <c r="E184" s="4">
        <f t="shared" si="3"/>
        <v>-2.50357436193837E-2</v>
      </c>
    </row>
    <row r="185" spans="1:5" x14ac:dyDescent="0.3">
      <c r="A185" s="1">
        <v>36250</v>
      </c>
      <c r="B185">
        <v>1.6112</v>
      </c>
      <c r="C185">
        <v>-5</v>
      </c>
      <c r="D185">
        <f t="shared" si="2"/>
        <v>1.6107</v>
      </c>
      <c r="E185" s="4">
        <f t="shared" si="3"/>
        <v>6.0065685135928032E-3</v>
      </c>
    </row>
    <row r="186" spans="1:5" x14ac:dyDescent="0.3">
      <c r="A186" s="1">
        <v>36280</v>
      </c>
      <c r="B186">
        <v>1.6094999999999999</v>
      </c>
      <c r="C186">
        <v>-5.7</v>
      </c>
      <c r="D186">
        <f t="shared" si="2"/>
        <v>1.60893</v>
      </c>
      <c r="E186" s="4">
        <f t="shared" si="3"/>
        <v>-7.4501769417029237E-4</v>
      </c>
    </row>
    <row r="187" spans="1:5" x14ac:dyDescent="0.3">
      <c r="A187" s="1">
        <v>36311</v>
      </c>
      <c r="B187">
        <v>1.6026</v>
      </c>
      <c r="C187">
        <v>-4.95</v>
      </c>
      <c r="D187">
        <f t="shared" si="2"/>
        <v>1.6021050000000001</v>
      </c>
      <c r="E187" s="4">
        <f t="shared" si="3"/>
        <v>-3.9342917342581381E-3</v>
      </c>
    </row>
    <row r="188" spans="1:5" x14ac:dyDescent="0.3">
      <c r="A188" s="1">
        <v>36341</v>
      </c>
      <c r="B188">
        <v>1.5778000000000001</v>
      </c>
      <c r="C188">
        <v>2.25</v>
      </c>
      <c r="D188">
        <f t="shared" si="2"/>
        <v>1.578025</v>
      </c>
      <c r="E188" s="4">
        <f t="shared" si="3"/>
        <v>-1.517066609242217E-2</v>
      </c>
    </row>
    <row r="189" spans="1:5" x14ac:dyDescent="0.3">
      <c r="A189" s="1">
        <v>36371</v>
      </c>
      <c r="B189">
        <v>1.6215999999999999</v>
      </c>
      <c r="C189">
        <v>0.6</v>
      </c>
      <c r="D189">
        <f t="shared" si="2"/>
        <v>1.6216599999999999</v>
      </c>
      <c r="E189" s="4">
        <f t="shared" si="3"/>
        <v>2.7613630962754026E-2</v>
      </c>
    </row>
    <row r="190" spans="1:5" x14ac:dyDescent="0.3">
      <c r="A190" s="1">
        <v>36403</v>
      </c>
      <c r="B190">
        <v>1.6037999999999999</v>
      </c>
      <c r="C190">
        <v>5.45</v>
      </c>
      <c r="D190">
        <f t="shared" si="2"/>
        <v>1.6043449999999999</v>
      </c>
      <c r="E190" s="4">
        <f t="shared" si="3"/>
        <v>-1.1013406016057613E-2</v>
      </c>
    </row>
    <row r="191" spans="1:5" x14ac:dyDescent="0.3">
      <c r="A191" s="1">
        <v>36433</v>
      </c>
      <c r="B191">
        <v>1.6473</v>
      </c>
      <c r="C191">
        <v>0.8</v>
      </c>
      <c r="D191">
        <f t="shared" ref="D191:D254" si="4">B191+C191/10^4</f>
        <v>1.6473800000000001</v>
      </c>
      <c r="E191" s="4">
        <f t="shared" si="3"/>
        <v>2.6774166404358216E-2</v>
      </c>
    </row>
    <row r="192" spans="1:5" x14ac:dyDescent="0.3">
      <c r="A192" s="1">
        <v>36462</v>
      </c>
      <c r="B192">
        <v>1.6448</v>
      </c>
      <c r="C192">
        <v>0.78</v>
      </c>
      <c r="D192">
        <f t="shared" si="4"/>
        <v>1.6448780000000001</v>
      </c>
      <c r="E192" s="4">
        <f t="shared" ref="E192:E255" si="5">(B192-D191)/D191</f>
        <v>-1.5661231774089929E-3</v>
      </c>
    </row>
    <row r="193" spans="1:5" x14ac:dyDescent="0.3">
      <c r="A193" s="1">
        <v>36494</v>
      </c>
      <c r="B193">
        <v>1.5981000000000001</v>
      </c>
      <c r="C193">
        <v>8.8000000000000007</v>
      </c>
      <c r="D193">
        <f t="shared" si="4"/>
        <v>1.5989800000000001</v>
      </c>
      <c r="E193" s="4">
        <f t="shared" si="5"/>
        <v>-2.8438583287027964E-2</v>
      </c>
    </row>
    <row r="194" spans="1:5" x14ac:dyDescent="0.3">
      <c r="A194" s="1">
        <v>36525</v>
      </c>
      <c r="B194">
        <v>1.6182000000000001</v>
      </c>
      <c r="C194">
        <v>1.75</v>
      </c>
      <c r="D194">
        <f t="shared" si="4"/>
        <v>1.6183750000000001</v>
      </c>
      <c r="E194" s="4">
        <f t="shared" si="5"/>
        <v>1.2020162853819318E-2</v>
      </c>
    </row>
    <row r="195" spans="1:5" x14ac:dyDescent="0.3">
      <c r="A195" s="1">
        <v>36556</v>
      </c>
      <c r="B195">
        <v>1.6162000000000001</v>
      </c>
      <c r="C195">
        <v>-0.83</v>
      </c>
      <c r="D195">
        <f t="shared" si="4"/>
        <v>1.616117</v>
      </c>
      <c r="E195" s="4">
        <f t="shared" si="5"/>
        <v>-1.3439406812389204E-3</v>
      </c>
    </row>
    <row r="196" spans="1:5" x14ac:dyDescent="0.3">
      <c r="A196" s="1">
        <v>36585</v>
      </c>
      <c r="B196">
        <v>1.5791999999999999</v>
      </c>
      <c r="C196">
        <v>-1.68</v>
      </c>
      <c r="D196">
        <f t="shared" si="4"/>
        <v>1.579032</v>
      </c>
      <c r="E196" s="4">
        <f t="shared" si="5"/>
        <v>-2.2843024360241299E-2</v>
      </c>
    </row>
    <row r="197" spans="1:5" x14ac:dyDescent="0.3">
      <c r="A197" s="1">
        <v>36616</v>
      </c>
      <c r="B197">
        <v>1.5911</v>
      </c>
      <c r="C197">
        <v>2.5499999999999998</v>
      </c>
      <c r="D197">
        <f t="shared" si="4"/>
        <v>1.5913549999999999</v>
      </c>
      <c r="E197" s="4">
        <f t="shared" si="5"/>
        <v>7.642657020250361E-3</v>
      </c>
    </row>
    <row r="198" spans="1:5" x14ac:dyDescent="0.3">
      <c r="A198" s="1">
        <v>36644</v>
      </c>
      <c r="B198">
        <v>1.5512999999999999</v>
      </c>
      <c r="C198">
        <v>2.85</v>
      </c>
      <c r="D198">
        <f t="shared" si="4"/>
        <v>1.551585</v>
      </c>
      <c r="E198" s="4">
        <f t="shared" si="5"/>
        <v>-2.5170373675264132E-2</v>
      </c>
    </row>
    <row r="199" spans="1:5" x14ac:dyDescent="0.3">
      <c r="A199" s="1">
        <v>36677</v>
      </c>
      <c r="B199">
        <v>1.5014000000000001</v>
      </c>
      <c r="C199">
        <v>7.75</v>
      </c>
      <c r="D199">
        <f t="shared" si="4"/>
        <v>1.502175</v>
      </c>
      <c r="E199" s="4">
        <f t="shared" si="5"/>
        <v>-3.2344344654015041E-2</v>
      </c>
    </row>
    <row r="200" spans="1:5" x14ac:dyDescent="0.3">
      <c r="A200" s="1">
        <v>36707</v>
      </c>
      <c r="B200">
        <v>1.5141</v>
      </c>
      <c r="C200">
        <v>9.25</v>
      </c>
      <c r="D200">
        <f t="shared" si="4"/>
        <v>1.5150250000000001</v>
      </c>
      <c r="E200" s="4">
        <f t="shared" si="5"/>
        <v>7.9384891906734995E-3</v>
      </c>
    </row>
    <row r="201" spans="1:5" x14ac:dyDescent="0.3">
      <c r="A201" s="1">
        <v>36738</v>
      </c>
      <c r="B201">
        <v>1.4997</v>
      </c>
      <c r="C201">
        <v>8.5500000000000007</v>
      </c>
      <c r="D201">
        <f t="shared" si="4"/>
        <v>1.5005550000000001</v>
      </c>
      <c r="E201" s="4">
        <f t="shared" si="5"/>
        <v>-1.0115344631276732E-2</v>
      </c>
    </row>
    <row r="202" spans="1:5" x14ac:dyDescent="0.3">
      <c r="A202" s="1">
        <v>36769</v>
      </c>
      <c r="B202">
        <v>1.4473</v>
      </c>
      <c r="C202">
        <v>7.3</v>
      </c>
      <c r="D202">
        <f t="shared" si="4"/>
        <v>1.4480299999999999</v>
      </c>
      <c r="E202" s="4">
        <f t="shared" si="5"/>
        <v>-3.5490201958608684E-2</v>
      </c>
    </row>
    <row r="203" spans="1:5" x14ac:dyDescent="0.3">
      <c r="A203" s="1">
        <v>36798</v>
      </c>
      <c r="B203">
        <v>1.4754</v>
      </c>
      <c r="C203">
        <v>7.7</v>
      </c>
      <c r="D203">
        <f t="shared" si="4"/>
        <v>1.47617</v>
      </c>
      <c r="E203" s="4">
        <f t="shared" si="5"/>
        <v>1.8901542095122421E-2</v>
      </c>
    </row>
    <row r="204" spans="1:5" x14ac:dyDescent="0.3">
      <c r="A204" s="1">
        <v>36830</v>
      </c>
      <c r="B204">
        <v>1.4477</v>
      </c>
      <c r="C204">
        <v>8</v>
      </c>
      <c r="D204">
        <f t="shared" si="4"/>
        <v>1.4484999999999999</v>
      </c>
      <c r="E204" s="4">
        <f t="shared" si="5"/>
        <v>-1.9286396553242508E-2</v>
      </c>
    </row>
    <row r="205" spans="1:5" x14ac:dyDescent="0.3">
      <c r="A205" s="1">
        <v>36860</v>
      </c>
      <c r="B205">
        <v>1.4251</v>
      </c>
      <c r="C205">
        <v>10.58</v>
      </c>
      <c r="D205">
        <f t="shared" si="4"/>
        <v>1.426158</v>
      </c>
      <c r="E205" s="4">
        <f t="shared" si="5"/>
        <v>-1.6154642733862523E-2</v>
      </c>
    </row>
    <row r="206" spans="1:5" x14ac:dyDescent="0.3">
      <c r="A206" s="1">
        <v>36889</v>
      </c>
      <c r="B206">
        <v>1.4930000000000001</v>
      </c>
      <c r="C206">
        <v>9.5500000000000007</v>
      </c>
      <c r="D206">
        <f t="shared" si="4"/>
        <v>1.4939550000000001</v>
      </c>
      <c r="E206" s="4">
        <f t="shared" si="5"/>
        <v>4.6868579778678143E-2</v>
      </c>
    </row>
    <row r="207" spans="1:5" x14ac:dyDescent="0.3">
      <c r="A207" s="1">
        <v>36922</v>
      </c>
      <c r="B207">
        <v>1.4645999999999999</v>
      </c>
      <c r="C207">
        <v>-2.8</v>
      </c>
      <c r="D207">
        <f t="shared" si="4"/>
        <v>1.4643199999999998</v>
      </c>
      <c r="E207" s="4">
        <f t="shared" si="5"/>
        <v>-1.9649186220468649E-2</v>
      </c>
    </row>
    <row r="208" spans="1:5" x14ac:dyDescent="0.3">
      <c r="A208" s="1">
        <v>36950</v>
      </c>
      <c r="B208">
        <v>1.4455</v>
      </c>
      <c r="C208">
        <v>-4.4000000000000004</v>
      </c>
      <c r="D208">
        <f t="shared" si="4"/>
        <v>1.44506</v>
      </c>
      <c r="E208" s="4">
        <f t="shared" si="5"/>
        <v>-1.2852381993006883E-2</v>
      </c>
    </row>
    <row r="209" spans="1:5" x14ac:dyDescent="0.3">
      <c r="A209" s="1">
        <v>36980</v>
      </c>
      <c r="B209">
        <v>1.4160999999999999</v>
      </c>
      <c r="C209">
        <v>-5.5</v>
      </c>
      <c r="D209">
        <f t="shared" si="4"/>
        <v>1.4155499999999999</v>
      </c>
      <c r="E209" s="4">
        <f t="shared" si="5"/>
        <v>-2.0040690351957772E-2</v>
      </c>
    </row>
    <row r="210" spans="1:5" x14ac:dyDescent="0.3">
      <c r="A210" s="1">
        <v>37011</v>
      </c>
      <c r="B210">
        <v>1.4319999999999999</v>
      </c>
      <c r="C210">
        <v>-11.65</v>
      </c>
      <c r="D210">
        <f t="shared" si="4"/>
        <v>1.4308349999999999</v>
      </c>
      <c r="E210" s="4">
        <f t="shared" si="5"/>
        <v>1.1620924728904015E-2</v>
      </c>
    </row>
    <row r="211" spans="1:5" x14ac:dyDescent="0.3">
      <c r="A211" s="1">
        <v>37042</v>
      </c>
      <c r="B211">
        <v>1.4184000000000001</v>
      </c>
      <c r="C211">
        <v>-13.2</v>
      </c>
      <c r="D211">
        <f t="shared" si="4"/>
        <v>1.4170800000000001</v>
      </c>
      <c r="E211" s="4">
        <f t="shared" si="5"/>
        <v>-8.6907295390452107E-3</v>
      </c>
    </row>
    <row r="212" spans="1:5" x14ac:dyDescent="0.3">
      <c r="A212" s="1">
        <v>37071</v>
      </c>
      <c r="B212">
        <v>1.4153</v>
      </c>
      <c r="C212">
        <v>-15.2</v>
      </c>
      <c r="D212">
        <f t="shared" si="4"/>
        <v>1.41378</v>
      </c>
      <c r="E212" s="4">
        <f t="shared" si="5"/>
        <v>-1.2561041013916749E-3</v>
      </c>
    </row>
    <row r="213" spans="1:5" x14ac:dyDescent="0.3">
      <c r="A213" s="1">
        <v>37103</v>
      </c>
      <c r="B213">
        <v>1.4252</v>
      </c>
      <c r="C213">
        <v>-17.600000000000001</v>
      </c>
      <c r="D213">
        <f t="shared" si="4"/>
        <v>1.42344</v>
      </c>
      <c r="E213" s="4">
        <f t="shared" si="5"/>
        <v>8.0776358415029104E-3</v>
      </c>
    </row>
    <row r="214" spans="1:5" x14ac:dyDescent="0.3">
      <c r="A214" s="1">
        <v>37134</v>
      </c>
      <c r="B214">
        <v>1.4539</v>
      </c>
      <c r="C214">
        <v>-14.65</v>
      </c>
      <c r="D214">
        <f t="shared" si="4"/>
        <v>1.4524349999999999</v>
      </c>
      <c r="E214" s="4">
        <f t="shared" si="5"/>
        <v>2.1398864722081669E-2</v>
      </c>
    </row>
    <row r="215" spans="1:5" x14ac:dyDescent="0.3">
      <c r="A215" s="1">
        <v>37162</v>
      </c>
      <c r="B215">
        <v>1.4743999999999999</v>
      </c>
      <c r="C215">
        <v>-24.65</v>
      </c>
      <c r="D215">
        <f t="shared" si="4"/>
        <v>1.471935</v>
      </c>
      <c r="E215" s="4">
        <f t="shared" si="5"/>
        <v>1.5122879853487429E-2</v>
      </c>
    </row>
    <row r="216" spans="1:5" x14ac:dyDescent="0.3">
      <c r="A216" s="1">
        <v>37195</v>
      </c>
      <c r="B216">
        <v>1.4544999999999999</v>
      </c>
      <c r="C216">
        <v>-23.45</v>
      </c>
      <c r="D216">
        <f t="shared" si="4"/>
        <v>1.4521549999999999</v>
      </c>
      <c r="E216" s="4">
        <f t="shared" si="5"/>
        <v>-1.1844952392598919E-2</v>
      </c>
    </row>
    <row r="217" spans="1:5" x14ac:dyDescent="0.3">
      <c r="A217" s="1">
        <v>37225</v>
      </c>
      <c r="B217">
        <v>1.4240999999999999</v>
      </c>
      <c r="C217">
        <v>-23.38</v>
      </c>
      <c r="D217">
        <f t="shared" si="4"/>
        <v>1.421762</v>
      </c>
      <c r="E217" s="4">
        <f t="shared" si="5"/>
        <v>-1.9319562994308419E-2</v>
      </c>
    </row>
    <row r="218" spans="1:5" x14ac:dyDescent="0.3">
      <c r="A218" s="1">
        <v>37256</v>
      </c>
      <c r="B218">
        <v>1.4545999999999999</v>
      </c>
      <c r="C218">
        <v>-27.25</v>
      </c>
      <c r="D218">
        <f t="shared" si="4"/>
        <v>1.4518749999999998</v>
      </c>
      <c r="E218" s="4">
        <f t="shared" si="5"/>
        <v>2.3096692695401849E-2</v>
      </c>
    </row>
    <row r="219" spans="1:5" x14ac:dyDescent="0.3">
      <c r="A219" s="1">
        <v>37287</v>
      </c>
      <c r="B219">
        <v>1.4108000000000001</v>
      </c>
      <c r="C219">
        <v>-22.7</v>
      </c>
      <c r="D219">
        <f t="shared" si="4"/>
        <v>1.4085300000000001</v>
      </c>
      <c r="E219" s="4">
        <f t="shared" si="5"/>
        <v>-2.8291003013344643E-2</v>
      </c>
    </row>
    <row r="220" spans="1:5" x14ac:dyDescent="0.3">
      <c r="A220" s="1">
        <v>37315</v>
      </c>
      <c r="B220">
        <v>1.4174</v>
      </c>
      <c r="C220">
        <v>-25.3</v>
      </c>
      <c r="D220">
        <f t="shared" si="4"/>
        <v>1.4148700000000001</v>
      </c>
      <c r="E220" s="4">
        <f t="shared" si="5"/>
        <v>6.2973454594505854E-3</v>
      </c>
    </row>
    <row r="221" spans="1:5" x14ac:dyDescent="0.3">
      <c r="A221" s="1">
        <v>37344</v>
      </c>
      <c r="B221">
        <v>1.4258999999999999</v>
      </c>
      <c r="C221">
        <v>-25.35</v>
      </c>
      <c r="D221">
        <f t="shared" si="4"/>
        <v>1.423365</v>
      </c>
      <c r="E221" s="4">
        <f t="shared" si="5"/>
        <v>7.795769222614002E-3</v>
      </c>
    </row>
    <row r="222" spans="1:5" x14ac:dyDescent="0.3">
      <c r="A222" s="1">
        <v>37376</v>
      </c>
      <c r="B222">
        <v>1.458</v>
      </c>
      <c r="C222">
        <v>-27.75</v>
      </c>
      <c r="D222">
        <f t="shared" si="4"/>
        <v>1.455225</v>
      </c>
      <c r="E222" s="4">
        <f t="shared" si="5"/>
        <v>2.4333182282829754E-2</v>
      </c>
    </row>
    <row r="223" spans="1:5" x14ac:dyDescent="0.3">
      <c r="A223" s="1">
        <v>37407</v>
      </c>
      <c r="B223">
        <v>1.4553</v>
      </c>
      <c r="C223">
        <v>-27.58</v>
      </c>
      <c r="D223">
        <f t="shared" si="4"/>
        <v>1.452542</v>
      </c>
      <c r="E223" s="4">
        <f t="shared" si="5"/>
        <v>5.1538421893554089E-5</v>
      </c>
    </row>
    <row r="224" spans="1:5" x14ac:dyDescent="0.3">
      <c r="A224" s="1">
        <v>37435</v>
      </c>
      <c r="B224">
        <v>1.5335000000000001</v>
      </c>
      <c r="C224">
        <v>-27.48</v>
      </c>
      <c r="D224">
        <f t="shared" si="4"/>
        <v>1.5307520000000001</v>
      </c>
      <c r="E224" s="4">
        <f t="shared" si="5"/>
        <v>5.5735393537674011E-2</v>
      </c>
    </row>
    <row r="225" spans="1:5" x14ac:dyDescent="0.3">
      <c r="A225" s="1">
        <v>37468</v>
      </c>
      <c r="B225">
        <v>1.5637000000000001</v>
      </c>
      <c r="C225">
        <v>-26.75</v>
      </c>
      <c r="D225">
        <f t="shared" si="4"/>
        <v>1.5610250000000001</v>
      </c>
      <c r="E225" s="4">
        <f t="shared" si="5"/>
        <v>2.1524061376369245E-2</v>
      </c>
    </row>
    <row r="226" spans="1:5" x14ac:dyDescent="0.3">
      <c r="A226" s="1">
        <v>37498</v>
      </c>
      <c r="B226">
        <v>1.5505</v>
      </c>
      <c r="C226">
        <v>-27.25</v>
      </c>
      <c r="D226">
        <f t="shared" si="4"/>
        <v>1.5477749999999999</v>
      </c>
      <c r="E226" s="4">
        <f t="shared" si="5"/>
        <v>-6.7423647923640665E-3</v>
      </c>
    </row>
    <row r="227" spans="1:5" x14ac:dyDescent="0.3">
      <c r="A227" s="1">
        <v>37529</v>
      </c>
      <c r="B227">
        <v>1.5684</v>
      </c>
      <c r="C227">
        <v>-28.95</v>
      </c>
      <c r="D227">
        <f t="shared" si="4"/>
        <v>1.5655049999999999</v>
      </c>
      <c r="E227" s="4">
        <f t="shared" si="5"/>
        <v>1.3325580268449946E-2</v>
      </c>
    </row>
    <row r="228" spans="1:5" x14ac:dyDescent="0.3">
      <c r="A228" s="1">
        <v>37560</v>
      </c>
      <c r="B228">
        <v>1.5650999999999999</v>
      </c>
      <c r="C228">
        <v>-28.95</v>
      </c>
      <c r="D228">
        <f t="shared" si="4"/>
        <v>1.5622049999999998</v>
      </c>
      <c r="E228" s="4">
        <f t="shared" si="5"/>
        <v>-2.5870246342233895E-4</v>
      </c>
    </row>
    <row r="229" spans="1:5" x14ac:dyDescent="0.3">
      <c r="A229" s="1">
        <v>37589</v>
      </c>
      <c r="B229">
        <v>1.5575000000000001</v>
      </c>
      <c r="C229">
        <v>-33.549999999999997</v>
      </c>
      <c r="D229">
        <f t="shared" si="4"/>
        <v>1.5541450000000001</v>
      </c>
      <c r="E229" s="4">
        <f t="shared" si="5"/>
        <v>-3.0117686219156498E-3</v>
      </c>
    </row>
    <row r="230" spans="1:5" x14ac:dyDescent="0.3">
      <c r="A230" s="1">
        <v>37621</v>
      </c>
      <c r="B230">
        <v>1.61</v>
      </c>
      <c r="C230">
        <v>-35.549999999999997</v>
      </c>
      <c r="D230">
        <f t="shared" si="4"/>
        <v>1.6064450000000001</v>
      </c>
      <c r="E230" s="4">
        <f t="shared" si="5"/>
        <v>3.5939375026139767E-2</v>
      </c>
    </row>
    <row r="231" spans="1:5" x14ac:dyDescent="0.3">
      <c r="A231" s="1">
        <v>37652</v>
      </c>
      <c r="B231">
        <v>1.6463000000000001</v>
      </c>
      <c r="C231">
        <v>-33.4</v>
      </c>
      <c r="D231">
        <f t="shared" si="4"/>
        <v>1.6429600000000002</v>
      </c>
      <c r="E231" s="4">
        <f t="shared" si="5"/>
        <v>2.4809439476608269E-2</v>
      </c>
    </row>
    <row r="232" spans="1:5" x14ac:dyDescent="0.3">
      <c r="A232" s="1">
        <v>37680</v>
      </c>
      <c r="B232">
        <v>1.5724</v>
      </c>
      <c r="C232">
        <v>-31.55</v>
      </c>
      <c r="D232">
        <f t="shared" si="4"/>
        <v>1.569245</v>
      </c>
      <c r="E232" s="4">
        <f t="shared" si="5"/>
        <v>-4.2946876369479581E-2</v>
      </c>
    </row>
    <row r="233" spans="1:5" x14ac:dyDescent="0.3">
      <c r="A233" s="1">
        <v>37711</v>
      </c>
      <c r="B233">
        <v>1.5827</v>
      </c>
      <c r="C233">
        <v>-33.1</v>
      </c>
      <c r="D233">
        <f t="shared" si="4"/>
        <v>1.5793900000000001</v>
      </c>
      <c r="E233" s="4">
        <f t="shared" si="5"/>
        <v>8.5741869497752074E-3</v>
      </c>
    </row>
    <row r="234" spans="1:5" x14ac:dyDescent="0.3">
      <c r="A234" s="1">
        <v>37741</v>
      </c>
      <c r="B234">
        <v>1.5985</v>
      </c>
      <c r="C234">
        <v>-30.15</v>
      </c>
      <c r="D234">
        <f t="shared" si="4"/>
        <v>1.595485</v>
      </c>
      <c r="E234" s="4">
        <f t="shared" si="5"/>
        <v>1.2099608076535852E-2</v>
      </c>
    </row>
    <row r="235" spans="1:5" x14ac:dyDescent="0.3">
      <c r="A235" s="1">
        <v>37771</v>
      </c>
      <c r="B235">
        <v>1.6364000000000001</v>
      </c>
      <c r="C235">
        <v>-31.2</v>
      </c>
      <c r="D235">
        <f t="shared" si="4"/>
        <v>1.6332800000000001</v>
      </c>
      <c r="E235" s="4">
        <f t="shared" si="5"/>
        <v>2.5644239839296534E-2</v>
      </c>
    </row>
    <row r="236" spans="1:5" x14ac:dyDescent="0.3">
      <c r="A236" s="1">
        <v>37802</v>
      </c>
      <c r="B236">
        <v>1.6546000000000001</v>
      </c>
      <c r="C236">
        <v>-37.75</v>
      </c>
      <c r="D236">
        <f t="shared" si="4"/>
        <v>1.650825</v>
      </c>
      <c r="E236" s="4">
        <f t="shared" si="5"/>
        <v>1.305348746081505E-2</v>
      </c>
    </row>
    <row r="237" spans="1:5" x14ac:dyDescent="0.3">
      <c r="A237" s="1">
        <v>37833</v>
      </c>
      <c r="B237">
        <v>1.6108</v>
      </c>
      <c r="C237">
        <v>-31.5</v>
      </c>
      <c r="D237">
        <f t="shared" si="4"/>
        <v>1.60765</v>
      </c>
      <c r="E237" s="4">
        <f t="shared" si="5"/>
        <v>-2.4245453031060214E-2</v>
      </c>
    </row>
    <row r="238" spans="1:5" x14ac:dyDescent="0.3">
      <c r="A238" s="1">
        <v>37862</v>
      </c>
      <c r="B238">
        <v>1.5777000000000001</v>
      </c>
      <c r="C238">
        <v>-32.15</v>
      </c>
      <c r="D238">
        <f t="shared" si="4"/>
        <v>1.5744850000000001</v>
      </c>
      <c r="E238" s="4">
        <f t="shared" si="5"/>
        <v>-1.862967685752491E-2</v>
      </c>
    </row>
    <row r="239" spans="1:5" x14ac:dyDescent="0.3">
      <c r="A239" s="1">
        <v>37894</v>
      </c>
      <c r="B239">
        <v>1.6617999999999999</v>
      </c>
      <c r="C239">
        <v>-36.450000000000003</v>
      </c>
      <c r="D239">
        <f t="shared" si="4"/>
        <v>1.658155</v>
      </c>
      <c r="E239" s="4">
        <f t="shared" si="5"/>
        <v>5.5456228544571592E-2</v>
      </c>
    </row>
    <row r="240" spans="1:5" x14ac:dyDescent="0.3">
      <c r="A240" s="1">
        <v>37925</v>
      </c>
      <c r="B240">
        <v>1.6957</v>
      </c>
      <c r="C240">
        <v>-36.950000000000003</v>
      </c>
      <c r="D240">
        <f t="shared" si="4"/>
        <v>1.692005</v>
      </c>
      <c r="E240" s="4">
        <f t="shared" si="5"/>
        <v>2.2642635941754502E-2</v>
      </c>
    </row>
    <row r="241" spans="1:5" x14ac:dyDescent="0.3">
      <c r="A241" s="1">
        <v>37953</v>
      </c>
      <c r="B241">
        <v>1.7222</v>
      </c>
      <c r="C241">
        <v>-38.65</v>
      </c>
      <c r="D241">
        <f t="shared" si="4"/>
        <v>1.7183349999999999</v>
      </c>
      <c r="E241" s="4">
        <f t="shared" si="5"/>
        <v>1.7845691945354757E-2</v>
      </c>
    </row>
    <row r="242" spans="1:5" x14ac:dyDescent="0.3">
      <c r="A242" s="1">
        <v>37986</v>
      </c>
      <c r="B242">
        <v>1.7858000000000001</v>
      </c>
      <c r="C242">
        <v>-42</v>
      </c>
      <c r="D242">
        <f t="shared" si="4"/>
        <v>1.7816000000000001</v>
      </c>
      <c r="E242" s="4">
        <f t="shared" si="5"/>
        <v>3.92618435869607E-2</v>
      </c>
    </row>
    <row r="243" spans="1:5" x14ac:dyDescent="0.3">
      <c r="A243" s="1">
        <v>38016</v>
      </c>
      <c r="B243">
        <v>1.8238000000000001</v>
      </c>
      <c r="C243">
        <v>-42.1</v>
      </c>
      <c r="D243">
        <f t="shared" si="4"/>
        <v>1.81959</v>
      </c>
      <c r="E243" s="4">
        <f t="shared" si="5"/>
        <v>2.3686573866187704E-2</v>
      </c>
    </row>
    <row r="244" spans="1:5" x14ac:dyDescent="0.3">
      <c r="A244" s="1">
        <v>38044</v>
      </c>
      <c r="B244">
        <v>1.8685</v>
      </c>
      <c r="C244">
        <v>-51</v>
      </c>
      <c r="D244">
        <f t="shared" si="4"/>
        <v>1.8633999999999999</v>
      </c>
      <c r="E244" s="4">
        <f t="shared" si="5"/>
        <v>2.6879681686533784E-2</v>
      </c>
    </row>
    <row r="245" spans="1:5" x14ac:dyDescent="0.3">
      <c r="A245" s="1">
        <v>38077</v>
      </c>
      <c r="B245">
        <v>1.8462000000000001</v>
      </c>
      <c r="C245">
        <v>-48.25</v>
      </c>
      <c r="D245">
        <f t="shared" si="4"/>
        <v>1.841375</v>
      </c>
      <c r="E245" s="4">
        <f t="shared" si="5"/>
        <v>-9.2304389825050345E-3</v>
      </c>
    </row>
    <row r="246" spans="1:5" x14ac:dyDescent="0.3">
      <c r="A246" s="1">
        <v>38107</v>
      </c>
      <c r="B246">
        <v>1.7781</v>
      </c>
      <c r="C246">
        <v>-51.5</v>
      </c>
      <c r="D246">
        <f t="shared" si="4"/>
        <v>1.77295</v>
      </c>
      <c r="E246" s="4">
        <f t="shared" si="5"/>
        <v>-3.4362908152874877E-2</v>
      </c>
    </row>
    <row r="247" spans="1:5" x14ac:dyDescent="0.3">
      <c r="A247" s="1">
        <v>38138</v>
      </c>
      <c r="B247">
        <v>1.8323</v>
      </c>
      <c r="C247">
        <v>-53.03</v>
      </c>
      <c r="D247">
        <f t="shared" si="4"/>
        <v>1.826997</v>
      </c>
      <c r="E247" s="4">
        <f t="shared" si="5"/>
        <v>3.3475281310809672E-2</v>
      </c>
    </row>
    <row r="248" spans="1:5" x14ac:dyDescent="0.3">
      <c r="A248" s="1">
        <v>38168</v>
      </c>
      <c r="B248">
        <v>1.8204</v>
      </c>
      <c r="C248">
        <v>-49.93</v>
      </c>
      <c r="D248">
        <f t="shared" si="4"/>
        <v>1.815407</v>
      </c>
      <c r="E248" s="4">
        <f t="shared" si="5"/>
        <v>-3.610843367558876E-3</v>
      </c>
    </row>
    <row r="249" spans="1:5" x14ac:dyDescent="0.3">
      <c r="A249" s="1">
        <v>38198</v>
      </c>
      <c r="B249">
        <v>1.8199000000000001</v>
      </c>
      <c r="C249">
        <v>-50.2</v>
      </c>
      <c r="D249">
        <f t="shared" si="4"/>
        <v>1.81488</v>
      </c>
      <c r="E249" s="4">
        <f t="shared" si="5"/>
        <v>2.4749271100089842E-3</v>
      </c>
    </row>
    <row r="250" spans="1:5" x14ac:dyDescent="0.3">
      <c r="A250" s="1">
        <v>38230</v>
      </c>
      <c r="B250">
        <v>1.8024</v>
      </c>
      <c r="C250">
        <v>-49.6</v>
      </c>
      <c r="D250">
        <f t="shared" si="4"/>
        <v>1.7974399999999999</v>
      </c>
      <c r="E250" s="4">
        <f t="shared" si="5"/>
        <v>-6.8764877016662517E-3</v>
      </c>
    </row>
    <row r="251" spans="1:5" x14ac:dyDescent="0.3">
      <c r="A251" s="1">
        <v>38260</v>
      </c>
      <c r="B251">
        <v>1.8120000000000001</v>
      </c>
      <c r="C251">
        <v>-44.95</v>
      </c>
      <c r="D251">
        <f t="shared" si="4"/>
        <v>1.8075050000000001</v>
      </c>
      <c r="E251" s="4">
        <f t="shared" si="5"/>
        <v>8.1004094712480695E-3</v>
      </c>
    </row>
    <row r="252" spans="1:5" x14ac:dyDescent="0.3">
      <c r="A252" s="1">
        <v>38289</v>
      </c>
      <c r="B252">
        <v>1.8372999999999999</v>
      </c>
      <c r="C252">
        <v>-41.85</v>
      </c>
      <c r="D252">
        <f t="shared" si="4"/>
        <v>1.8331149999999998</v>
      </c>
      <c r="E252" s="4">
        <f t="shared" si="5"/>
        <v>1.6484048453531134E-2</v>
      </c>
    </row>
    <row r="253" spans="1:5" x14ac:dyDescent="0.3">
      <c r="A253" s="1">
        <v>38321</v>
      </c>
      <c r="B253">
        <v>1.9095</v>
      </c>
      <c r="C253">
        <v>-41.2</v>
      </c>
      <c r="D253">
        <f t="shared" si="4"/>
        <v>1.9053800000000001</v>
      </c>
      <c r="E253" s="4">
        <f t="shared" si="5"/>
        <v>4.1669507914124403E-2</v>
      </c>
    </row>
    <row r="254" spans="1:5" x14ac:dyDescent="0.3">
      <c r="A254" s="1">
        <v>38352</v>
      </c>
      <c r="B254">
        <v>1.9181999999999999</v>
      </c>
      <c r="C254">
        <v>-41.7</v>
      </c>
      <c r="D254">
        <f t="shared" si="4"/>
        <v>1.9140299999999999</v>
      </c>
      <c r="E254" s="4">
        <f t="shared" si="5"/>
        <v>6.7283166612433377E-3</v>
      </c>
    </row>
    <row r="255" spans="1:5" x14ac:dyDescent="0.3">
      <c r="A255" s="1">
        <v>38383</v>
      </c>
      <c r="B255">
        <v>1.8829</v>
      </c>
      <c r="C255">
        <v>-31.68</v>
      </c>
      <c r="D255">
        <f t="shared" ref="D255:D318" si="6">B255+C255/10^4</f>
        <v>1.879732</v>
      </c>
      <c r="E255" s="4">
        <f t="shared" si="5"/>
        <v>-1.626411289269232E-2</v>
      </c>
    </row>
    <row r="256" spans="1:5" x14ac:dyDescent="0.3">
      <c r="A256" s="1">
        <v>38411</v>
      </c>
      <c r="B256">
        <v>1.9211</v>
      </c>
      <c r="C256">
        <v>-35.1</v>
      </c>
      <c r="D256">
        <f t="shared" si="6"/>
        <v>1.9175900000000001</v>
      </c>
      <c r="E256" s="4">
        <f t="shared" ref="E256:E319" si="7">(B256-D255)/D255</f>
        <v>2.2007392543192367E-2</v>
      </c>
    </row>
    <row r="257" spans="1:5" x14ac:dyDescent="0.3">
      <c r="A257" s="1">
        <v>38442</v>
      </c>
      <c r="B257">
        <v>1.8905000000000001</v>
      </c>
      <c r="C257">
        <v>-30.35</v>
      </c>
      <c r="D257">
        <f t="shared" si="6"/>
        <v>1.8874650000000002</v>
      </c>
      <c r="E257" s="4">
        <f t="shared" si="7"/>
        <v>-1.4127107463013499E-2</v>
      </c>
    </row>
    <row r="258" spans="1:5" x14ac:dyDescent="0.3">
      <c r="A258" s="1">
        <v>38471</v>
      </c>
      <c r="B258">
        <v>1.9088000000000001</v>
      </c>
      <c r="C258">
        <v>-29.75</v>
      </c>
      <c r="D258">
        <f t="shared" si="6"/>
        <v>1.9058250000000001</v>
      </c>
      <c r="E258" s="4">
        <f t="shared" si="7"/>
        <v>1.1303520859989393E-2</v>
      </c>
    </row>
    <row r="259" spans="1:5" x14ac:dyDescent="0.3">
      <c r="A259" s="1">
        <v>38503</v>
      </c>
      <c r="B259">
        <v>1.8170999999999999</v>
      </c>
      <c r="C259">
        <v>-27.3</v>
      </c>
      <c r="D259">
        <f t="shared" si="6"/>
        <v>1.81437</v>
      </c>
      <c r="E259" s="4">
        <f t="shared" si="7"/>
        <v>-4.6554641690606517E-2</v>
      </c>
    </row>
    <row r="260" spans="1:5" x14ac:dyDescent="0.3">
      <c r="A260" s="1">
        <v>38533</v>
      </c>
      <c r="B260">
        <v>1.7915000000000001</v>
      </c>
      <c r="C260">
        <v>-20.95</v>
      </c>
      <c r="D260">
        <f t="shared" si="6"/>
        <v>1.7894050000000001</v>
      </c>
      <c r="E260" s="4">
        <f t="shared" si="7"/>
        <v>-1.2604926227836629E-2</v>
      </c>
    </row>
    <row r="261" spans="1:5" x14ac:dyDescent="0.3">
      <c r="A261" s="1">
        <v>38562</v>
      </c>
      <c r="B261">
        <v>1.7579</v>
      </c>
      <c r="C261">
        <v>-15.61</v>
      </c>
      <c r="D261">
        <f t="shared" si="6"/>
        <v>1.7563390000000001</v>
      </c>
      <c r="E261" s="4">
        <f t="shared" si="7"/>
        <v>-1.760641106960141E-2</v>
      </c>
    </row>
    <row r="262" spans="1:5" x14ac:dyDescent="0.3">
      <c r="A262" s="1">
        <v>38595</v>
      </c>
      <c r="B262">
        <v>1.8041</v>
      </c>
      <c r="C262">
        <v>-12.35</v>
      </c>
      <c r="D262">
        <f t="shared" si="6"/>
        <v>1.8028649999999999</v>
      </c>
      <c r="E262" s="4">
        <f t="shared" si="7"/>
        <v>2.719349738290839E-2</v>
      </c>
    </row>
    <row r="263" spans="1:5" x14ac:dyDescent="0.3">
      <c r="A263" s="1">
        <v>38625</v>
      </c>
      <c r="B263">
        <v>1.7643</v>
      </c>
      <c r="C263">
        <v>-10</v>
      </c>
      <c r="D263">
        <f t="shared" si="6"/>
        <v>1.7633000000000001</v>
      </c>
      <c r="E263" s="4">
        <f t="shared" si="7"/>
        <v>-2.139095273356572E-2</v>
      </c>
    </row>
    <row r="264" spans="1:5" x14ac:dyDescent="0.3">
      <c r="A264" s="1">
        <v>38656</v>
      </c>
      <c r="B264">
        <v>1.77</v>
      </c>
      <c r="C264">
        <v>-6.15</v>
      </c>
      <c r="D264">
        <f t="shared" si="6"/>
        <v>1.769385</v>
      </c>
      <c r="E264" s="4">
        <f t="shared" si="7"/>
        <v>3.7996937560255931E-3</v>
      </c>
    </row>
    <row r="265" spans="1:5" x14ac:dyDescent="0.3">
      <c r="A265" s="1">
        <v>38686</v>
      </c>
      <c r="B265">
        <v>1.7293000000000001</v>
      </c>
      <c r="C265">
        <v>-3.4</v>
      </c>
      <c r="D265">
        <f t="shared" si="6"/>
        <v>1.7289600000000001</v>
      </c>
      <c r="E265" s="4">
        <f t="shared" si="7"/>
        <v>-2.2654764225988083E-2</v>
      </c>
    </row>
    <row r="266" spans="1:5" x14ac:dyDescent="0.3">
      <c r="A266" s="1">
        <v>38716</v>
      </c>
      <c r="B266">
        <v>1.7230000000000001</v>
      </c>
      <c r="C266">
        <v>-2.4500000000000002</v>
      </c>
      <c r="D266">
        <f t="shared" si="6"/>
        <v>1.722755</v>
      </c>
      <c r="E266" s="4">
        <f t="shared" si="7"/>
        <v>-3.4471589857486382E-3</v>
      </c>
    </row>
    <row r="267" spans="1:5" x14ac:dyDescent="0.3">
      <c r="A267" s="1">
        <v>38748</v>
      </c>
      <c r="B267">
        <v>1.7793000000000001</v>
      </c>
      <c r="C267">
        <v>1.02</v>
      </c>
      <c r="D267">
        <f t="shared" si="6"/>
        <v>1.7794020000000002</v>
      </c>
      <c r="E267" s="4">
        <f t="shared" si="7"/>
        <v>3.2822426868591333E-2</v>
      </c>
    </row>
    <row r="268" spans="1:5" x14ac:dyDescent="0.3">
      <c r="A268" s="1">
        <v>38776</v>
      </c>
      <c r="B268">
        <v>1.7536</v>
      </c>
      <c r="C268">
        <v>2.37</v>
      </c>
      <c r="D268">
        <f t="shared" si="6"/>
        <v>1.7538370000000001</v>
      </c>
      <c r="E268" s="4">
        <f t="shared" si="7"/>
        <v>-1.4500377092978484E-2</v>
      </c>
    </row>
    <row r="269" spans="1:5" x14ac:dyDescent="0.3">
      <c r="A269" s="1">
        <v>38807</v>
      </c>
      <c r="B269">
        <v>1.7372000000000001</v>
      </c>
      <c r="C269">
        <v>4.96</v>
      </c>
      <c r="D269">
        <f t="shared" si="6"/>
        <v>1.7376960000000001</v>
      </c>
      <c r="E269" s="4">
        <f t="shared" si="7"/>
        <v>-9.4860582824971822E-3</v>
      </c>
    </row>
    <row r="270" spans="1:5" x14ac:dyDescent="0.3">
      <c r="A270" s="1">
        <v>38835</v>
      </c>
      <c r="B270">
        <v>1.8259000000000001</v>
      </c>
      <c r="C270">
        <v>7.95</v>
      </c>
      <c r="D270">
        <f t="shared" si="6"/>
        <v>1.8266950000000002</v>
      </c>
      <c r="E270" s="4">
        <f t="shared" si="7"/>
        <v>5.0759166160248941E-2</v>
      </c>
    </row>
    <row r="271" spans="1:5" x14ac:dyDescent="0.3">
      <c r="A271" s="1">
        <v>38868</v>
      </c>
      <c r="B271">
        <v>1.8697999999999999</v>
      </c>
      <c r="C271">
        <v>8.5</v>
      </c>
      <c r="D271">
        <f t="shared" si="6"/>
        <v>1.8706499999999999</v>
      </c>
      <c r="E271" s="4">
        <f t="shared" si="7"/>
        <v>2.3597261721305267E-2</v>
      </c>
    </row>
    <row r="272" spans="1:5" x14ac:dyDescent="0.3">
      <c r="A272" s="1">
        <v>38898</v>
      </c>
      <c r="B272">
        <v>1.8483000000000001</v>
      </c>
      <c r="C272">
        <v>12.65</v>
      </c>
      <c r="D272">
        <f t="shared" si="6"/>
        <v>1.8495650000000001</v>
      </c>
      <c r="E272" s="4">
        <f t="shared" si="7"/>
        <v>-1.1947718707401103E-2</v>
      </c>
    </row>
    <row r="273" spans="1:5" x14ac:dyDescent="0.3">
      <c r="A273" s="1">
        <v>38929</v>
      </c>
      <c r="B273">
        <v>1.8676999999999999</v>
      </c>
      <c r="C273">
        <v>13.55</v>
      </c>
      <c r="D273">
        <f t="shared" si="6"/>
        <v>1.8690549999999999</v>
      </c>
      <c r="E273" s="4">
        <f t="shared" si="7"/>
        <v>9.8050082046317859E-3</v>
      </c>
    </row>
    <row r="274" spans="1:5" x14ac:dyDescent="0.3">
      <c r="A274" s="1">
        <v>38960</v>
      </c>
      <c r="B274">
        <v>1.9047000000000001</v>
      </c>
      <c r="C274">
        <v>8.01</v>
      </c>
      <c r="D274">
        <f t="shared" si="6"/>
        <v>1.9055010000000001</v>
      </c>
      <c r="E274" s="4">
        <f t="shared" si="7"/>
        <v>1.9071134878320944E-2</v>
      </c>
    </row>
    <row r="275" spans="1:5" x14ac:dyDescent="0.3">
      <c r="A275" s="1">
        <v>38989</v>
      </c>
      <c r="B275">
        <v>1.8721000000000001</v>
      </c>
      <c r="C275">
        <v>7.65</v>
      </c>
      <c r="D275">
        <f t="shared" si="6"/>
        <v>1.872865</v>
      </c>
      <c r="E275" s="4">
        <f t="shared" si="7"/>
        <v>-1.7528723417096086E-2</v>
      </c>
    </row>
    <row r="276" spans="1:5" x14ac:dyDescent="0.3">
      <c r="A276" s="1">
        <v>39021</v>
      </c>
      <c r="B276">
        <v>1.9074</v>
      </c>
      <c r="C276">
        <v>5.26</v>
      </c>
      <c r="D276">
        <f t="shared" si="6"/>
        <v>1.907926</v>
      </c>
      <c r="E276" s="4">
        <f t="shared" si="7"/>
        <v>1.843966329660706E-2</v>
      </c>
    </row>
    <row r="277" spans="1:5" x14ac:dyDescent="0.3">
      <c r="A277" s="1">
        <v>39051</v>
      </c>
      <c r="B277">
        <v>1.9659</v>
      </c>
      <c r="C277">
        <v>3.46</v>
      </c>
      <c r="D277">
        <f t="shared" si="6"/>
        <v>1.9662459999999999</v>
      </c>
      <c r="E277" s="4">
        <f t="shared" si="7"/>
        <v>3.0385874504566722E-2</v>
      </c>
    </row>
    <row r="278" spans="1:5" x14ac:dyDescent="0.3">
      <c r="A278" s="1">
        <v>39080</v>
      </c>
      <c r="B278">
        <v>1.9588000000000001</v>
      </c>
      <c r="C278">
        <v>4.08</v>
      </c>
      <c r="D278">
        <f t="shared" si="6"/>
        <v>1.9592080000000001</v>
      </c>
      <c r="E278" s="4">
        <f t="shared" si="7"/>
        <v>-3.7869117089112153E-3</v>
      </c>
    </row>
    <row r="279" spans="1:5" x14ac:dyDescent="0.3">
      <c r="A279" s="1">
        <v>39113</v>
      </c>
      <c r="B279">
        <v>1.9655</v>
      </c>
      <c r="C279">
        <v>-0.4</v>
      </c>
      <c r="D279">
        <f t="shared" si="6"/>
        <v>1.96546</v>
      </c>
      <c r="E279" s="4">
        <f t="shared" si="7"/>
        <v>3.2115017905194163E-3</v>
      </c>
    </row>
    <row r="280" spans="1:5" x14ac:dyDescent="0.3">
      <c r="A280" s="1">
        <v>39141</v>
      </c>
      <c r="B280">
        <v>1.9639</v>
      </c>
      <c r="C280">
        <v>-0.57999999999999996</v>
      </c>
      <c r="D280">
        <f t="shared" si="6"/>
        <v>1.9638420000000001</v>
      </c>
      <c r="E280" s="4">
        <f t="shared" si="7"/>
        <v>-7.93707325511588E-4</v>
      </c>
    </row>
    <row r="281" spans="1:5" x14ac:dyDescent="0.3">
      <c r="A281" s="1">
        <v>39171</v>
      </c>
      <c r="B281">
        <v>1.9678</v>
      </c>
      <c r="C281">
        <v>-1.1499999999999999</v>
      </c>
      <c r="D281">
        <f t="shared" si="6"/>
        <v>1.9676849999999999</v>
      </c>
      <c r="E281" s="4">
        <f t="shared" si="7"/>
        <v>2.0154370870975901E-3</v>
      </c>
    </row>
    <row r="282" spans="1:5" x14ac:dyDescent="0.3">
      <c r="A282" s="1">
        <v>39202</v>
      </c>
      <c r="B282">
        <v>1.9995000000000001</v>
      </c>
      <c r="C282">
        <v>-3.05</v>
      </c>
      <c r="D282">
        <f t="shared" si="6"/>
        <v>1.9991950000000001</v>
      </c>
      <c r="E282" s="4">
        <f t="shared" si="7"/>
        <v>1.616874652192813E-2</v>
      </c>
    </row>
    <row r="283" spans="1:5" x14ac:dyDescent="0.3">
      <c r="A283" s="1">
        <v>39233</v>
      </c>
      <c r="B283">
        <v>1.9798</v>
      </c>
      <c r="C283">
        <v>-4.2699999999999996</v>
      </c>
      <c r="D283">
        <f t="shared" si="6"/>
        <v>1.979373</v>
      </c>
      <c r="E283" s="4">
        <f t="shared" si="7"/>
        <v>-9.7014048154382398E-3</v>
      </c>
    </row>
    <row r="284" spans="1:5" x14ac:dyDescent="0.3">
      <c r="A284" s="1">
        <v>39262</v>
      </c>
      <c r="B284">
        <v>2.0087000000000002</v>
      </c>
      <c r="C284">
        <v>-7.88</v>
      </c>
      <c r="D284">
        <f t="shared" si="6"/>
        <v>2.0079120000000001</v>
      </c>
      <c r="E284" s="4">
        <f t="shared" si="7"/>
        <v>1.48163079924805E-2</v>
      </c>
    </row>
    <row r="285" spans="1:5" x14ac:dyDescent="0.3">
      <c r="A285" s="1">
        <v>39294</v>
      </c>
      <c r="B285">
        <v>2.0312999999999999</v>
      </c>
      <c r="C285">
        <v>-8.9499999999999993</v>
      </c>
      <c r="D285">
        <f t="shared" si="6"/>
        <v>2.030405</v>
      </c>
      <c r="E285" s="4">
        <f t="shared" si="7"/>
        <v>1.1647920825215319E-2</v>
      </c>
    </row>
    <row r="286" spans="1:5" x14ac:dyDescent="0.3">
      <c r="A286" s="1">
        <v>39325</v>
      </c>
      <c r="B286">
        <v>2.0171000000000001</v>
      </c>
      <c r="C286">
        <v>-11.6</v>
      </c>
      <c r="D286">
        <f t="shared" si="6"/>
        <v>2.0159400000000001</v>
      </c>
      <c r="E286" s="4">
        <f t="shared" si="7"/>
        <v>-6.552879844168971E-3</v>
      </c>
    </row>
    <row r="287" spans="1:5" x14ac:dyDescent="0.3">
      <c r="A287" s="1">
        <v>39353</v>
      </c>
      <c r="B287">
        <v>2.0472999999999999</v>
      </c>
      <c r="C287">
        <v>-13.32</v>
      </c>
      <c r="D287">
        <f t="shared" si="6"/>
        <v>2.0459679999999998</v>
      </c>
      <c r="E287" s="4">
        <f t="shared" si="7"/>
        <v>1.5556018532297504E-2</v>
      </c>
    </row>
    <row r="288" spans="1:5" x14ac:dyDescent="0.3">
      <c r="A288" s="1">
        <v>39386</v>
      </c>
      <c r="B288">
        <v>2.0798000000000001</v>
      </c>
      <c r="C288">
        <v>-20.07</v>
      </c>
      <c r="D288">
        <f t="shared" si="6"/>
        <v>2.0777930000000002</v>
      </c>
      <c r="E288" s="4">
        <f t="shared" si="7"/>
        <v>1.6535938000985503E-2</v>
      </c>
    </row>
    <row r="289" spans="1:5" x14ac:dyDescent="0.3">
      <c r="A289" s="1">
        <v>39416</v>
      </c>
      <c r="B289">
        <v>2.0562999999999998</v>
      </c>
      <c r="C289">
        <v>-19.100000000000001</v>
      </c>
      <c r="D289">
        <f t="shared" si="6"/>
        <v>2.0543899999999997</v>
      </c>
      <c r="E289" s="4">
        <f t="shared" si="7"/>
        <v>-1.0344148815594444E-2</v>
      </c>
    </row>
    <row r="290" spans="1:5" x14ac:dyDescent="0.3">
      <c r="A290" s="1">
        <v>39447</v>
      </c>
      <c r="B290">
        <v>1.9850000000000001</v>
      </c>
      <c r="C290">
        <v>-17.510000000000002</v>
      </c>
      <c r="D290">
        <f t="shared" si="6"/>
        <v>1.983249</v>
      </c>
      <c r="E290" s="4">
        <f t="shared" si="7"/>
        <v>-3.3776449457016258E-2</v>
      </c>
    </row>
    <row r="291" spans="1:5" x14ac:dyDescent="0.3">
      <c r="A291" s="1">
        <v>39478</v>
      </c>
      <c r="B291">
        <v>1.9872000000000001</v>
      </c>
      <c r="C291">
        <v>-34.479999999999997</v>
      </c>
      <c r="D291">
        <f t="shared" si="6"/>
        <v>1.9837520000000002</v>
      </c>
      <c r="E291" s="4">
        <f t="shared" si="7"/>
        <v>1.9921855500746695E-3</v>
      </c>
    </row>
    <row r="292" spans="1:5" x14ac:dyDescent="0.3">
      <c r="A292" s="1">
        <v>39507</v>
      </c>
      <c r="B292">
        <v>1.9891000000000001</v>
      </c>
      <c r="C292">
        <v>-40.299999999999997</v>
      </c>
      <c r="D292">
        <f t="shared" si="6"/>
        <v>1.9850700000000001</v>
      </c>
      <c r="E292" s="4">
        <f t="shared" si="7"/>
        <v>2.6959015038169631E-3</v>
      </c>
    </row>
    <row r="293" spans="1:5" x14ac:dyDescent="0.3">
      <c r="A293" s="1">
        <v>39538</v>
      </c>
      <c r="B293">
        <v>1.9837</v>
      </c>
      <c r="C293">
        <v>-43.12</v>
      </c>
      <c r="D293">
        <f t="shared" si="6"/>
        <v>1.9793879999999999</v>
      </c>
      <c r="E293" s="4">
        <f t="shared" si="7"/>
        <v>-6.9015198456482308E-4</v>
      </c>
    </row>
    <row r="294" spans="1:5" x14ac:dyDescent="0.3">
      <c r="A294" s="1">
        <v>39568</v>
      </c>
      <c r="B294">
        <v>1.9869000000000001</v>
      </c>
      <c r="C294">
        <v>-41.25</v>
      </c>
      <c r="D294">
        <f t="shared" si="6"/>
        <v>1.9827750000000002</v>
      </c>
      <c r="E294" s="4">
        <f t="shared" si="7"/>
        <v>3.7951124286901739E-3</v>
      </c>
    </row>
    <row r="295" spans="1:5" x14ac:dyDescent="0.3">
      <c r="A295" s="1">
        <v>39598</v>
      </c>
      <c r="B295">
        <v>1.9823</v>
      </c>
      <c r="C295">
        <v>-44.22</v>
      </c>
      <c r="D295">
        <f t="shared" si="6"/>
        <v>1.977878</v>
      </c>
      <c r="E295" s="4">
        <f t="shared" si="7"/>
        <v>-2.3956323839075295E-4</v>
      </c>
    </row>
    <row r="296" spans="1:5" x14ac:dyDescent="0.3">
      <c r="A296" s="1">
        <v>39629</v>
      </c>
      <c r="B296">
        <v>1.9923</v>
      </c>
      <c r="C296">
        <v>-48.75</v>
      </c>
      <c r="D296">
        <f t="shared" si="6"/>
        <v>1.987425</v>
      </c>
      <c r="E296" s="4">
        <f t="shared" si="7"/>
        <v>7.2916529735402962E-3</v>
      </c>
    </row>
    <row r="297" spans="1:5" x14ac:dyDescent="0.3">
      <c r="A297" s="1">
        <v>39660</v>
      </c>
      <c r="B297">
        <v>1.9841</v>
      </c>
      <c r="C297">
        <v>-45.51</v>
      </c>
      <c r="D297">
        <f t="shared" si="6"/>
        <v>1.979549</v>
      </c>
      <c r="E297" s="4">
        <f t="shared" si="7"/>
        <v>-1.6730191076392933E-3</v>
      </c>
    </row>
    <row r="298" spans="1:5" x14ac:dyDescent="0.3">
      <c r="A298" s="1">
        <v>39689</v>
      </c>
      <c r="B298">
        <v>1.8210999999999999</v>
      </c>
      <c r="C298">
        <v>-39.700000000000003</v>
      </c>
      <c r="D298">
        <f t="shared" si="6"/>
        <v>1.8171299999999999</v>
      </c>
      <c r="E298" s="4">
        <f t="shared" si="7"/>
        <v>-8.0042979486741703E-2</v>
      </c>
    </row>
    <row r="299" spans="1:5" x14ac:dyDescent="0.3">
      <c r="A299" s="1">
        <v>39721</v>
      </c>
      <c r="B299">
        <v>1.7805</v>
      </c>
      <c r="C299">
        <v>0.19</v>
      </c>
      <c r="D299">
        <f t="shared" si="6"/>
        <v>1.780519</v>
      </c>
      <c r="E299" s="4">
        <f t="shared" si="7"/>
        <v>-2.0158161496425651E-2</v>
      </c>
    </row>
    <row r="300" spans="1:5" x14ac:dyDescent="0.3">
      <c r="A300" s="1">
        <v>39752</v>
      </c>
      <c r="B300">
        <v>1.6075999999999999</v>
      </c>
      <c r="C300">
        <v>-31.04</v>
      </c>
      <c r="D300">
        <f t="shared" si="6"/>
        <v>1.6044959999999999</v>
      </c>
      <c r="E300" s="4">
        <f t="shared" si="7"/>
        <v>-9.7117188864595125E-2</v>
      </c>
    </row>
    <row r="301" spans="1:5" x14ac:dyDescent="0.3">
      <c r="A301" s="1">
        <v>39780</v>
      </c>
      <c r="B301">
        <v>1.5377000000000001</v>
      </c>
      <c r="C301">
        <v>1.78</v>
      </c>
      <c r="D301">
        <f t="shared" si="6"/>
        <v>1.5378780000000001</v>
      </c>
      <c r="E301" s="4">
        <f t="shared" si="7"/>
        <v>-4.1630518243735017E-2</v>
      </c>
    </row>
    <row r="302" spans="1:5" x14ac:dyDescent="0.3">
      <c r="A302" s="1">
        <v>39813</v>
      </c>
      <c r="B302">
        <v>1.4593</v>
      </c>
      <c r="C302">
        <v>-12.67</v>
      </c>
      <c r="D302">
        <f t="shared" si="6"/>
        <v>1.4580330000000001</v>
      </c>
      <c r="E302" s="4">
        <f t="shared" si="7"/>
        <v>-5.1095080363982082E-2</v>
      </c>
    </row>
    <row r="303" spans="1:5" x14ac:dyDescent="0.3">
      <c r="A303" s="1">
        <v>39843</v>
      </c>
      <c r="B303">
        <v>1.454</v>
      </c>
      <c r="C303">
        <v>-7.42</v>
      </c>
      <c r="D303">
        <f t="shared" si="6"/>
        <v>1.4532579999999999</v>
      </c>
      <c r="E303" s="4">
        <f t="shared" si="7"/>
        <v>-2.7660553636304356E-3</v>
      </c>
    </row>
    <row r="304" spans="1:5" x14ac:dyDescent="0.3">
      <c r="A304" s="1">
        <v>39871</v>
      </c>
      <c r="B304">
        <v>1.4318</v>
      </c>
      <c r="C304">
        <v>-1.77</v>
      </c>
      <c r="D304">
        <f t="shared" si="6"/>
        <v>1.4316229999999999</v>
      </c>
      <c r="E304" s="4">
        <f t="shared" si="7"/>
        <v>-1.4765444263854028E-2</v>
      </c>
    </row>
    <row r="305" spans="1:5" x14ac:dyDescent="0.3">
      <c r="A305" s="1">
        <v>39903</v>
      </c>
      <c r="B305">
        <v>1.4322999999999999</v>
      </c>
      <c r="C305">
        <v>0.5</v>
      </c>
      <c r="D305">
        <f t="shared" si="6"/>
        <v>1.43235</v>
      </c>
      <c r="E305" s="4">
        <f t="shared" si="7"/>
        <v>4.7288985997014489E-4</v>
      </c>
    </row>
    <row r="306" spans="1:5" x14ac:dyDescent="0.3">
      <c r="A306" s="1">
        <v>39933</v>
      </c>
      <c r="B306">
        <v>1.4790000000000001</v>
      </c>
      <c r="C306">
        <v>-0.51</v>
      </c>
      <c r="D306">
        <f t="shared" si="6"/>
        <v>1.4789490000000001</v>
      </c>
      <c r="E306" s="4">
        <f t="shared" si="7"/>
        <v>3.2568855377526497E-2</v>
      </c>
    </row>
    <row r="307" spans="1:5" x14ac:dyDescent="0.3">
      <c r="A307" s="1">
        <v>39962</v>
      </c>
      <c r="B307">
        <v>1.619</v>
      </c>
      <c r="C307">
        <v>-2.1800000000000002</v>
      </c>
      <c r="D307">
        <f t="shared" si="6"/>
        <v>1.6187819999999999</v>
      </c>
      <c r="E307" s="4">
        <f t="shared" si="7"/>
        <v>9.4696301224721016E-2</v>
      </c>
    </row>
    <row r="308" spans="1:5" x14ac:dyDescent="0.3">
      <c r="A308" s="1">
        <v>39994</v>
      </c>
      <c r="B308">
        <v>1.6457999999999999</v>
      </c>
      <c r="C308">
        <v>-0.41</v>
      </c>
      <c r="D308">
        <f t="shared" si="6"/>
        <v>1.645759</v>
      </c>
      <c r="E308" s="4">
        <f t="shared" si="7"/>
        <v>1.6690326430612638E-2</v>
      </c>
    </row>
    <row r="309" spans="1:5" x14ac:dyDescent="0.3">
      <c r="A309" s="1">
        <v>40025</v>
      </c>
      <c r="B309">
        <v>1.6713</v>
      </c>
      <c r="C309">
        <v>-1.26</v>
      </c>
      <c r="D309">
        <f t="shared" si="6"/>
        <v>1.6711739999999999</v>
      </c>
      <c r="E309" s="4">
        <f t="shared" si="7"/>
        <v>1.5519283200031132E-2</v>
      </c>
    </row>
    <row r="310" spans="1:5" x14ac:dyDescent="0.3">
      <c r="A310" s="1">
        <v>40056</v>
      </c>
      <c r="B310">
        <v>1.6288</v>
      </c>
      <c r="C310">
        <v>-1.1499999999999999</v>
      </c>
      <c r="D310">
        <f t="shared" si="6"/>
        <v>1.6286849999999999</v>
      </c>
      <c r="E310" s="4">
        <f t="shared" si="7"/>
        <v>-2.5355827699569233E-2</v>
      </c>
    </row>
    <row r="311" spans="1:5" x14ac:dyDescent="0.3">
      <c r="A311" s="1">
        <v>40086</v>
      </c>
      <c r="B311">
        <v>1.5982000000000001</v>
      </c>
      <c r="C311">
        <v>-2.15</v>
      </c>
      <c r="D311">
        <f t="shared" si="6"/>
        <v>1.597985</v>
      </c>
      <c r="E311" s="4">
        <f t="shared" si="7"/>
        <v>-1.8717554345990706E-2</v>
      </c>
    </row>
    <row r="312" spans="1:5" x14ac:dyDescent="0.3">
      <c r="A312" s="1">
        <v>40116</v>
      </c>
      <c r="B312">
        <v>1.6453</v>
      </c>
      <c r="C312">
        <v>-3.08</v>
      </c>
      <c r="D312">
        <f t="shared" si="6"/>
        <v>1.644992</v>
      </c>
      <c r="E312" s="4">
        <f t="shared" si="7"/>
        <v>2.9609164040964087E-2</v>
      </c>
    </row>
    <row r="313" spans="1:5" x14ac:dyDescent="0.3">
      <c r="A313" s="1">
        <v>40147</v>
      </c>
      <c r="B313">
        <v>1.6439999999999999</v>
      </c>
      <c r="C313">
        <v>-3.25</v>
      </c>
      <c r="D313">
        <f t="shared" si="6"/>
        <v>1.643675</v>
      </c>
      <c r="E313" s="4">
        <f t="shared" si="7"/>
        <v>-6.0304244640709741E-4</v>
      </c>
    </row>
    <row r="314" spans="1:5" x14ac:dyDescent="0.3">
      <c r="A314" s="1">
        <v>40178</v>
      </c>
      <c r="B314">
        <v>1.617</v>
      </c>
      <c r="C314">
        <v>-3.05</v>
      </c>
      <c r="D314">
        <f t="shared" si="6"/>
        <v>1.616695</v>
      </c>
      <c r="E314" s="4">
        <f t="shared" si="7"/>
        <v>-1.6228877363225702E-2</v>
      </c>
    </row>
    <row r="315" spans="1:5" x14ac:dyDescent="0.3">
      <c r="A315" s="1">
        <v>40207</v>
      </c>
      <c r="B315">
        <v>1.5986</v>
      </c>
      <c r="C315">
        <v>-3.39</v>
      </c>
      <c r="D315">
        <f t="shared" si="6"/>
        <v>1.5982609999999999</v>
      </c>
      <c r="E315" s="4">
        <f t="shared" si="7"/>
        <v>-1.1192587346407315E-2</v>
      </c>
    </row>
    <row r="316" spans="1:5" x14ac:dyDescent="0.3">
      <c r="A316" s="1">
        <v>40235</v>
      </c>
      <c r="B316">
        <v>1.5238</v>
      </c>
      <c r="C316">
        <v>-3.57</v>
      </c>
      <c r="D316">
        <f t="shared" si="6"/>
        <v>1.5234430000000001</v>
      </c>
      <c r="E316" s="4">
        <f t="shared" si="7"/>
        <v>-4.6588761159785476E-2</v>
      </c>
    </row>
    <row r="317" spans="1:5" x14ac:dyDescent="0.3">
      <c r="A317" s="1">
        <v>40268</v>
      </c>
      <c r="B317">
        <v>1.5184</v>
      </c>
      <c r="C317">
        <v>-3.06</v>
      </c>
      <c r="D317">
        <f t="shared" si="6"/>
        <v>1.5180940000000001</v>
      </c>
      <c r="E317" s="4">
        <f t="shared" si="7"/>
        <v>-3.3102649721716733E-3</v>
      </c>
    </row>
    <row r="318" spans="1:5" x14ac:dyDescent="0.3">
      <c r="A318" s="1">
        <v>40298</v>
      </c>
      <c r="B318">
        <v>1.5274000000000001</v>
      </c>
      <c r="C318">
        <v>-2.0499999999999998</v>
      </c>
      <c r="D318">
        <f t="shared" si="6"/>
        <v>1.5271950000000001</v>
      </c>
      <c r="E318" s="4">
        <f t="shared" si="7"/>
        <v>6.1300551876234512E-3</v>
      </c>
    </row>
    <row r="319" spans="1:5" x14ac:dyDescent="0.3">
      <c r="A319" s="1">
        <v>40329</v>
      </c>
      <c r="B319">
        <v>1.4538</v>
      </c>
      <c r="C319">
        <v>0.7</v>
      </c>
      <c r="D319">
        <f t="shared" ref="D319:D382" si="8">B319+C319/10^4</f>
        <v>1.45387</v>
      </c>
      <c r="E319" s="4">
        <f t="shared" si="7"/>
        <v>-4.8058695844342143E-2</v>
      </c>
    </row>
    <row r="320" spans="1:5" x14ac:dyDescent="0.3">
      <c r="A320" s="1">
        <v>40359</v>
      </c>
      <c r="B320">
        <v>1.4944999999999999</v>
      </c>
      <c r="C320">
        <v>-0.35</v>
      </c>
      <c r="D320">
        <f t="shared" si="8"/>
        <v>1.4944649999999999</v>
      </c>
      <c r="E320" s="4">
        <f t="shared" ref="E320:E383" si="9">(B320-D319)/D319</f>
        <v>2.7946102471335089E-2</v>
      </c>
    </row>
    <row r="321" spans="1:5" x14ac:dyDescent="0.3">
      <c r="A321" s="1">
        <v>40389</v>
      </c>
      <c r="B321">
        <v>1.5689</v>
      </c>
      <c r="C321">
        <v>-2.29</v>
      </c>
      <c r="D321">
        <f t="shared" si="8"/>
        <v>1.5686709999999999</v>
      </c>
      <c r="E321" s="4">
        <f t="shared" si="9"/>
        <v>4.9807121612081937E-2</v>
      </c>
    </row>
    <row r="322" spans="1:5" x14ac:dyDescent="0.3">
      <c r="A322" s="1">
        <v>40421</v>
      </c>
      <c r="B322">
        <v>1.5347999999999999</v>
      </c>
      <c r="C322">
        <v>-3.35</v>
      </c>
      <c r="D322">
        <f t="shared" si="8"/>
        <v>1.534465</v>
      </c>
      <c r="E322" s="4">
        <f t="shared" si="9"/>
        <v>-2.1592163047573384E-2</v>
      </c>
    </row>
    <row r="323" spans="1:5" x14ac:dyDescent="0.3">
      <c r="A323" s="1">
        <v>40451</v>
      </c>
      <c r="B323">
        <v>1.5716000000000001</v>
      </c>
      <c r="C323">
        <v>-3.55</v>
      </c>
      <c r="D323">
        <f t="shared" si="8"/>
        <v>1.571245</v>
      </c>
      <c r="E323" s="4">
        <f t="shared" si="9"/>
        <v>2.4200617153209841E-2</v>
      </c>
    </row>
    <row r="324" spans="1:5" x14ac:dyDescent="0.3">
      <c r="A324" s="1">
        <v>40480</v>
      </c>
      <c r="B324">
        <v>1.6037999999999999</v>
      </c>
      <c r="C324">
        <v>-3.5</v>
      </c>
      <c r="D324">
        <f t="shared" si="8"/>
        <v>1.6034499999999998</v>
      </c>
      <c r="E324" s="4">
        <f t="shared" si="9"/>
        <v>2.0719238565596002E-2</v>
      </c>
    </row>
    <row r="325" spans="1:5" x14ac:dyDescent="0.3">
      <c r="A325" s="1">
        <v>40512</v>
      </c>
      <c r="B325">
        <v>1.5562</v>
      </c>
      <c r="C325">
        <v>-3.27</v>
      </c>
      <c r="D325">
        <f t="shared" si="8"/>
        <v>1.5558730000000001</v>
      </c>
      <c r="E325" s="4">
        <f t="shared" si="9"/>
        <v>-2.94677102497738E-2</v>
      </c>
    </row>
    <row r="326" spans="1:5" x14ac:dyDescent="0.3">
      <c r="A326" s="1">
        <v>40543</v>
      </c>
      <c r="B326">
        <v>1.5611999999999999</v>
      </c>
      <c r="C326">
        <v>-3.74</v>
      </c>
      <c r="D326">
        <f t="shared" si="8"/>
        <v>1.5608259999999998</v>
      </c>
      <c r="E326" s="4">
        <f t="shared" si="9"/>
        <v>3.4238012999774784E-3</v>
      </c>
    </row>
    <row r="327" spans="1:5" x14ac:dyDescent="0.3">
      <c r="A327" s="1">
        <v>40574</v>
      </c>
      <c r="B327">
        <v>1.6013999999999999</v>
      </c>
      <c r="C327">
        <v>-3.33</v>
      </c>
      <c r="D327">
        <f t="shared" si="8"/>
        <v>1.601067</v>
      </c>
      <c r="E327" s="4">
        <f t="shared" si="9"/>
        <v>2.5995210228430404E-2</v>
      </c>
    </row>
    <row r="328" spans="1:5" x14ac:dyDescent="0.3">
      <c r="A328" s="1">
        <v>40602</v>
      </c>
      <c r="B328">
        <v>1.6256999999999999</v>
      </c>
      <c r="C328">
        <v>-4.33</v>
      </c>
      <c r="D328">
        <f t="shared" si="8"/>
        <v>1.625267</v>
      </c>
      <c r="E328" s="4">
        <f t="shared" si="9"/>
        <v>1.5385364884792394E-2</v>
      </c>
    </row>
    <row r="329" spans="1:5" x14ac:dyDescent="0.3">
      <c r="A329" s="1">
        <v>40633</v>
      </c>
      <c r="B329">
        <v>1.6028</v>
      </c>
      <c r="C329">
        <v>-5.44</v>
      </c>
      <c r="D329">
        <f t="shared" si="8"/>
        <v>1.6022559999999999</v>
      </c>
      <c r="E329" s="4">
        <f t="shared" si="9"/>
        <v>-1.3823574834165719E-2</v>
      </c>
    </row>
    <row r="330" spans="1:5" x14ac:dyDescent="0.3">
      <c r="A330" s="1">
        <v>40662</v>
      </c>
      <c r="B330">
        <v>1.6707000000000001</v>
      </c>
      <c r="C330">
        <v>-6.92</v>
      </c>
      <c r="D330">
        <f t="shared" si="8"/>
        <v>1.6700080000000002</v>
      </c>
      <c r="E330" s="4">
        <f t="shared" si="9"/>
        <v>4.2717268651201915E-2</v>
      </c>
    </row>
    <row r="331" spans="1:5" x14ac:dyDescent="0.3">
      <c r="A331" s="1">
        <v>40694</v>
      </c>
      <c r="B331">
        <v>1.6448</v>
      </c>
      <c r="C331">
        <v>-6.61</v>
      </c>
      <c r="D331">
        <f t="shared" si="8"/>
        <v>1.644139</v>
      </c>
      <c r="E331" s="4">
        <f t="shared" si="9"/>
        <v>-1.5094538469276863E-2</v>
      </c>
    </row>
    <row r="332" spans="1:5" x14ac:dyDescent="0.3">
      <c r="A332" s="1">
        <v>40724</v>
      </c>
      <c r="B332">
        <v>1.6052999999999999</v>
      </c>
      <c r="C332">
        <v>-6.11</v>
      </c>
      <c r="D332">
        <f t="shared" si="8"/>
        <v>1.604689</v>
      </c>
      <c r="E332" s="4">
        <f t="shared" si="9"/>
        <v>-2.362269856745693E-2</v>
      </c>
    </row>
    <row r="333" spans="1:5" x14ac:dyDescent="0.3">
      <c r="A333" s="1">
        <v>40753</v>
      </c>
      <c r="B333">
        <v>1.6426000000000001</v>
      </c>
      <c r="C333">
        <v>-5.27</v>
      </c>
      <c r="D333">
        <f t="shared" si="8"/>
        <v>1.6420730000000001</v>
      </c>
      <c r="E333" s="4">
        <f t="shared" si="9"/>
        <v>2.3625138578254122E-2</v>
      </c>
    </row>
    <row r="334" spans="1:5" x14ac:dyDescent="0.3">
      <c r="A334" s="1">
        <v>40786</v>
      </c>
      <c r="B334">
        <v>1.625</v>
      </c>
      <c r="C334">
        <v>-5.63</v>
      </c>
      <c r="D334">
        <f t="shared" si="8"/>
        <v>1.6244369999999999</v>
      </c>
      <c r="E334" s="4">
        <f t="shared" si="9"/>
        <v>-1.0397223509551716E-2</v>
      </c>
    </row>
    <row r="335" spans="1:5" x14ac:dyDescent="0.3">
      <c r="A335" s="1">
        <v>40816</v>
      </c>
      <c r="B335">
        <v>1.5584</v>
      </c>
      <c r="C335">
        <v>-4.7300000000000004</v>
      </c>
      <c r="D335">
        <f t="shared" si="8"/>
        <v>1.5579270000000001</v>
      </c>
      <c r="E335" s="4">
        <f t="shared" si="9"/>
        <v>-4.0652238283171278E-2</v>
      </c>
    </row>
    <row r="336" spans="1:5" x14ac:dyDescent="0.3">
      <c r="A336" s="1">
        <v>40847</v>
      </c>
      <c r="B336">
        <v>1.6087</v>
      </c>
      <c r="C336">
        <v>-4.7699999999999996</v>
      </c>
      <c r="D336">
        <f t="shared" si="8"/>
        <v>1.608223</v>
      </c>
      <c r="E336" s="4">
        <f t="shared" si="9"/>
        <v>3.2590102103628706E-2</v>
      </c>
    </row>
    <row r="337" spans="1:5" x14ac:dyDescent="0.3">
      <c r="A337" s="1">
        <v>40877</v>
      </c>
      <c r="B337">
        <v>1.5704</v>
      </c>
      <c r="C337">
        <v>-4.59</v>
      </c>
      <c r="D337">
        <f t="shared" si="8"/>
        <v>1.569941</v>
      </c>
      <c r="E337" s="4">
        <f t="shared" si="9"/>
        <v>-2.351850458549588E-2</v>
      </c>
    </row>
    <row r="338" spans="1:5" x14ac:dyDescent="0.3">
      <c r="A338" s="1">
        <v>40907</v>
      </c>
      <c r="B338">
        <v>1.5543</v>
      </c>
      <c r="C338">
        <v>-4.5</v>
      </c>
      <c r="D338">
        <f t="shared" si="8"/>
        <v>1.55385</v>
      </c>
      <c r="E338" s="4">
        <f t="shared" si="9"/>
        <v>-9.962794780186017E-3</v>
      </c>
    </row>
    <row r="339" spans="1:5" x14ac:dyDescent="0.3">
      <c r="A339" s="1">
        <v>40939</v>
      </c>
      <c r="B339">
        <v>1.5760000000000001</v>
      </c>
      <c r="C339">
        <v>-3.59</v>
      </c>
      <c r="D339">
        <f t="shared" si="8"/>
        <v>1.5756410000000001</v>
      </c>
      <c r="E339" s="4">
        <f t="shared" si="9"/>
        <v>1.4254915210605987E-2</v>
      </c>
    </row>
    <row r="340" spans="1:5" x14ac:dyDescent="0.3">
      <c r="A340" s="1">
        <v>40968</v>
      </c>
      <c r="B340">
        <v>1.5916999999999999</v>
      </c>
      <c r="C340">
        <v>-3.44</v>
      </c>
      <c r="D340">
        <f t="shared" si="8"/>
        <v>1.591356</v>
      </c>
      <c r="E340" s="4">
        <f t="shared" si="9"/>
        <v>1.0192042476680806E-2</v>
      </c>
    </row>
    <row r="341" spans="1:5" x14ac:dyDescent="0.3">
      <c r="A341" s="1">
        <v>40998</v>
      </c>
      <c r="B341">
        <v>1.6008</v>
      </c>
      <c r="C341">
        <v>-3.11</v>
      </c>
      <c r="D341">
        <f t="shared" si="8"/>
        <v>1.6004890000000001</v>
      </c>
      <c r="E341" s="4">
        <f t="shared" si="9"/>
        <v>5.9345614683326726E-3</v>
      </c>
    </row>
    <row r="342" spans="1:5" x14ac:dyDescent="0.3">
      <c r="A342" s="1">
        <v>41029</v>
      </c>
      <c r="B342">
        <v>1.6234</v>
      </c>
      <c r="C342">
        <v>-3.45</v>
      </c>
      <c r="D342">
        <f t="shared" si="8"/>
        <v>1.6230549999999999</v>
      </c>
      <c r="E342" s="4">
        <f t="shared" si="9"/>
        <v>1.4314999978131623E-2</v>
      </c>
    </row>
    <row r="343" spans="1:5" x14ac:dyDescent="0.3">
      <c r="A343" s="1">
        <v>41060</v>
      </c>
      <c r="B343">
        <v>1.5405</v>
      </c>
      <c r="C343">
        <v>-2.2400000000000002</v>
      </c>
      <c r="D343">
        <f t="shared" si="8"/>
        <v>1.540276</v>
      </c>
      <c r="E343" s="4">
        <f t="shared" si="9"/>
        <v>-5.0863957167193927E-2</v>
      </c>
    </row>
    <row r="344" spans="1:5" x14ac:dyDescent="0.3">
      <c r="A344" s="1">
        <v>41089</v>
      </c>
      <c r="B344">
        <v>1.5707</v>
      </c>
      <c r="C344">
        <v>-1.1399999999999999</v>
      </c>
      <c r="D344">
        <f t="shared" si="8"/>
        <v>1.570586</v>
      </c>
      <c r="E344" s="4">
        <f t="shared" si="9"/>
        <v>1.9752304132506126E-2</v>
      </c>
    </row>
    <row r="345" spans="1:5" x14ac:dyDescent="0.3">
      <c r="A345" s="1">
        <v>41121</v>
      </c>
      <c r="B345">
        <v>1.5678000000000001</v>
      </c>
      <c r="C345">
        <v>-0.23</v>
      </c>
      <c r="D345">
        <f t="shared" si="8"/>
        <v>1.567777</v>
      </c>
      <c r="E345" s="4">
        <f t="shared" si="9"/>
        <v>-1.7738602024976379E-3</v>
      </c>
    </row>
    <row r="346" spans="1:5" x14ac:dyDescent="0.3">
      <c r="A346" s="1">
        <v>41152</v>
      </c>
      <c r="B346">
        <v>1.5866</v>
      </c>
      <c r="C346">
        <v>-1.77</v>
      </c>
      <c r="D346">
        <f t="shared" si="8"/>
        <v>1.5864229999999999</v>
      </c>
      <c r="E346" s="4">
        <f t="shared" si="9"/>
        <v>1.2006171796116434E-2</v>
      </c>
    </row>
    <row r="347" spans="1:5" x14ac:dyDescent="0.3">
      <c r="A347" s="1">
        <v>41180</v>
      </c>
      <c r="B347">
        <v>1.6167</v>
      </c>
      <c r="C347">
        <v>-1.53</v>
      </c>
      <c r="D347">
        <f t="shared" si="8"/>
        <v>1.616547</v>
      </c>
      <c r="E347" s="4">
        <f t="shared" si="9"/>
        <v>1.9085073779187587E-2</v>
      </c>
    </row>
    <row r="348" spans="1:5" x14ac:dyDescent="0.3">
      <c r="A348" s="1">
        <v>41213</v>
      </c>
      <c r="B348">
        <v>1.6129</v>
      </c>
      <c r="C348">
        <v>-1.65</v>
      </c>
      <c r="D348">
        <f t="shared" si="8"/>
        <v>1.612735</v>
      </c>
      <c r="E348" s="4">
        <f t="shared" si="9"/>
        <v>-2.2560432823790191E-3</v>
      </c>
    </row>
    <row r="349" spans="1:5" x14ac:dyDescent="0.3">
      <c r="A349" s="1">
        <v>41243</v>
      </c>
      <c r="B349">
        <v>1.6012999999999999</v>
      </c>
      <c r="C349">
        <v>-0.6</v>
      </c>
      <c r="D349">
        <f t="shared" si="8"/>
        <v>1.60124</v>
      </c>
      <c r="E349" s="4">
        <f t="shared" si="9"/>
        <v>-7.0904395328433272E-3</v>
      </c>
    </row>
    <row r="350" spans="1:5" x14ac:dyDescent="0.3">
      <c r="A350" s="1">
        <v>41274</v>
      </c>
      <c r="B350">
        <v>1.6254999999999999</v>
      </c>
      <c r="C350">
        <v>-1.43</v>
      </c>
      <c r="D350">
        <f t="shared" si="8"/>
        <v>1.6253569999999999</v>
      </c>
      <c r="E350" s="4">
        <f t="shared" si="9"/>
        <v>1.5150758162424088E-2</v>
      </c>
    </row>
    <row r="351" spans="1:5" x14ac:dyDescent="0.3">
      <c r="A351" s="1">
        <v>41305</v>
      </c>
      <c r="B351">
        <v>1.5857000000000001</v>
      </c>
      <c r="C351">
        <v>-2.5</v>
      </c>
      <c r="D351">
        <f t="shared" si="8"/>
        <v>1.58545</v>
      </c>
      <c r="E351" s="4">
        <f t="shared" si="9"/>
        <v>-2.4398947431241158E-2</v>
      </c>
    </row>
    <row r="352" spans="1:5" x14ac:dyDescent="0.3">
      <c r="A352" s="1">
        <v>41333</v>
      </c>
      <c r="B352">
        <v>1.5163</v>
      </c>
      <c r="C352">
        <v>-2.6</v>
      </c>
      <c r="D352">
        <f t="shared" si="8"/>
        <v>1.5160400000000001</v>
      </c>
      <c r="E352" s="4">
        <f t="shared" si="9"/>
        <v>-4.3615377337664414E-2</v>
      </c>
    </row>
    <row r="353" spans="1:5" x14ac:dyDescent="0.3">
      <c r="A353" s="1">
        <v>41362</v>
      </c>
      <c r="B353">
        <v>1.5198</v>
      </c>
      <c r="C353">
        <v>-3.06</v>
      </c>
      <c r="D353">
        <f t="shared" si="8"/>
        <v>1.5194940000000001</v>
      </c>
      <c r="E353" s="4">
        <f t="shared" si="9"/>
        <v>2.4801456425951724E-3</v>
      </c>
    </row>
    <row r="354" spans="1:5" x14ac:dyDescent="0.3">
      <c r="A354" s="1">
        <v>41394</v>
      </c>
      <c r="B354">
        <v>1.5531999999999999</v>
      </c>
      <c r="C354">
        <v>-3.26</v>
      </c>
      <c r="D354">
        <f t="shared" si="8"/>
        <v>1.5528739999999999</v>
      </c>
      <c r="E354" s="4">
        <f t="shared" si="9"/>
        <v>2.2182384399016902E-2</v>
      </c>
    </row>
    <row r="355" spans="1:5" x14ac:dyDescent="0.3">
      <c r="A355" s="1">
        <v>41425</v>
      </c>
      <c r="B355">
        <v>1.5198</v>
      </c>
      <c r="C355">
        <v>-3.18</v>
      </c>
      <c r="D355">
        <f t="shared" si="8"/>
        <v>1.519482</v>
      </c>
      <c r="E355" s="4">
        <f t="shared" si="9"/>
        <v>-2.129857283977955E-2</v>
      </c>
    </row>
    <row r="356" spans="1:5" x14ac:dyDescent="0.3">
      <c r="A356" s="1">
        <v>41453</v>
      </c>
      <c r="B356">
        <v>1.5213000000000001</v>
      </c>
      <c r="C356">
        <v>-3.2</v>
      </c>
      <c r="D356">
        <f t="shared" si="8"/>
        <v>1.52098</v>
      </c>
      <c r="E356" s="4">
        <f t="shared" si="9"/>
        <v>1.196460372679701E-3</v>
      </c>
    </row>
    <row r="357" spans="1:5" x14ac:dyDescent="0.3">
      <c r="A357" s="1">
        <v>41486</v>
      </c>
      <c r="B357">
        <v>1.5206999999999999</v>
      </c>
      <c r="C357">
        <v>-3.43</v>
      </c>
      <c r="D357">
        <f t="shared" si="8"/>
        <v>1.520357</v>
      </c>
      <c r="E357" s="4">
        <f t="shared" si="9"/>
        <v>-1.840918355271325E-4</v>
      </c>
    </row>
    <row r="358" spans="1:5" x14ac:dyDescent="0.3">
      <c r="A358" s="1">
        <v>41516</v>
      </c>
      <c r="B358">
        <v>1.5504</v>
      </c>
      <c r="C358">
        <v>-3.6</v>
      </c>
      <c r="D358">
        <f t="shared" si="8"/>
        <v>1.5500400000000001</v>
      </c>
      <c r="E358" s="4">
        <f t="shared" si="9"/>
        <v>1.9760490463752948E-2</v>
      </c>
    </row>
    <row r="359" spans="1:5" x14ac:dyDescent="0.3">
      <c r="A359" s="1">
        <v>41547</v>
      </c>
      <c r="B359">
        <v>1.6186</v>
      </c>
      <c r="C359">
        <v>-4.1100000000000003</v>
      </c>
      <c r="D359">
        <f t="shared" si="8"/>
        <v>1.6181890000000001</v>
      </c>
      <c r="E359" s="4">
        <f t="shared" si="9"/>
        <v>4.4231116616345351E-2</v>
      </c>
    </row>
    <row r="360" spans="1:5" x14ac:dyDescent="0.3">
      <c r="A360" s="1">
        <v>41578</v>
      </c>
      <c r="B360">
        <v>1.6040000000000001</v>
      </c>
      <c r="C360">
        <v>-3.55</v>
      </c>
      <c r="D360">
        <f t="shared" si="8"/>
        <v>1.603645</v>
      </c>
      <c r="E360" s="4">
        <f t="shared" si="9"/>
        <v>-8.7684442299385337E-3</v>
      </c>
    </row>
    <row r="361" spans="1:5" x14ac:dyDescent="0.3">
      <c r="A361" s="1">
        <v>41607</v>
      </c>
      <c r="B361">
        <v>1.6368</v>
      </c>
      <c r="C361">
        <v>-3.6</v>
      </c>
      <c r="D361">
        <f t="shared" si="8"/>
        <v>1.6364400000000001</v>
      </c>
      <c r="E361" s="4">
        <f t="shared" si="9"/>
        <v>2.0674775277570813E-2</v>
      </c>
    </row>
    <row r="362" spans="1:5" x14ac:dyDescent="0.3">
      <c r="A362" s="1">
        <v>41639</v>
      </c>
      <c r="B362">
        <v>1.6556999999999999</v>
      </c>
      <c r="C362">
        <v>-3.3</v>
      </c>
      <c r="D362">
        <f t="shared" si="8"/>
        <v>1.65537</v>
      </c>
      <c r="E362" s="4">
        <f t="shared" si="9"/>
        <v>1.1769450758964479E-2</v>
      </c>
    </row>
    <row r="363" spans="1:5" x14ac:dyDescent="0.3">
      <c r="A363" s="1">
        <v>41670</v>
      </c>
      <c r="B363">
        <v>1.6438999999999999</v>
      </c>
      <c r="C363">
        <v>-3.39</v>
      </c>
      <c r="D363">
        <f t="shared" si="8"/>
        <v>1.6435609999999998</v>
      </c>
      <c r="E363" s="4">
        <f t="shared" si="9"/>
        <v>-6.9289645215269641E-3</v>
      </c>
    </row>
    <row r="364" spans="1:5" x14ac:dyDescent="0.3">
      <c r="A364" s="1">
        <v>41698</v>
      </c>
      <c r="B364">
        <v>1.6745000000000001</v>
      </c>
      <c r="C364">
        <v>-3.82</v>
      </c>
      <c r="D364">
        <f t="shared" si="8"/>
        <v>1.674118</v>
      </c>
      <c r="E364" s="4">
        <f t="shared" si="9"/>
        <v>1.8824369767839633E-2</v>
      </c>
    </row>
    <row r="365" spans="1:5" x14ac:dyDescent="0.3">
      <c r="A365" s="1">
        <v>41729</v>
      </c>
      <c r="B365">
        <v>1.6661999999999999</v>
      </c>
      <c r="C365">
        <v>-3.7</v>
      </c>
      <c r="D365">
        <f t="shared" si="8"/>
        <v>1.6658299999999999</v>
      </c>
      <c r="E365" s="4">
        <f t="shared" si="9"/>
        <v>-4.7296546599463665E-3</v>
      </c>
    </row>
    <row r="366" spans="1:5" x14ac:dyDescent="0.3">
      <c r="A366" s="1">
        <v>41759</v>
      </c>
      <c r="B366">
        <v>1.6873</v>
      </c>
      <c r="C366">
        <v>-4.0199999999999996</v>
      </c>
      <c r="D366">
        <f t="shared" si="8"/>
        <v>1.686898</v>
      </c>
      <c r="E366" s="4">
        <f t="shared" si="9"/>
        <v>1.2888470011946058E-2</v>
      </c>
    </row>
    <row r="367" spans="1:5" x14ac:dyDescent="0.3">
      <c r="A367" s="1">
        <v>41789</v>
      </c>
      <c r="B367">
        <v>1.6755</v>
      </c>
      <c r="C367">
        <v>-3.78</v>
      </c>
      <c r="D367">
        <f t="shared" si="8"/>
        <v>1.675122</v>
      </c>
      <c r="E367" s="4">
        <f t="shared" si="9"/>
        <v>-6.7567807893541987E-3</v>
      </c>
    </row>
    <row r="368" spans="1:5" x14ac:dyDescent="0.3">
      <c r="A368" s="1">
        <v>41820</v>
      </c>
      <c r="B368">
        <v>1.7105999999999999</v>
      </c>
      <c r="C368">
        <v>-4.3099999999999996</v>
      </c>
      <c r="D368">
        <f t="shared" si="8"/>
        <v>1.7101689999999998</v>
      </c>
      <c r="E368" s="4">
        <f t="shared" si="9"/>
        <v>2.1179352906832993E-2</v>
      </c>
    </row>
    <row r="369" spans="1:5" x14ac:dyDescent="0.3">
      <c r="A369" s="1">
        <v>41851</v>
      </c>
      <c r="B369">
        <v>1.6886000000000001</v>
      </c>
      <c r="C369">
        <v>-4.18</v>
      </c>
      <c r="D369">
        <f t="shared" si="8"/>
        <v>1.6881820000000001</v>
      </c>
      <c r="E369" s="4">
        <f t="shared" si="9"/>
        <v>-1.2612203823130773E-2</v>
      </c>
    </row>
    <row r="370" spans="1:5" x14ac:dyDescent="0.3">
      <c r="A370" s="1">
        <v>41880</v>
      </c>
      <c r="B370">
        <v>1.6597999999999999</v>
      </c>
      <c r="C370">
        <v>-3.84</v>
      </c>
      <c r="D370">
        <f t="shared" si="8"/>
        <v>1.659416</v>
      </c>
      <c r="E370" s="4">
        <f t="shared" si="9"/>
        <v>-1.6812168356255503E-2</v>
      </c>
    </row>
    <row r="371" spans="1:5" x14ac:dyDescent="0.3">
      <c r="A371" s="1">
        <v>41912</v>
      </c>
      <c r="B371">
        <v>1.6213</v>
      </c>
      <c r="C371">
        <v>-4.4000000000000004</v>
      </c>
      <c r="D371">
        <f t="shared" si="8"/>
        <v>1.62086</v>
      </c>
      <c r="E371" s="4">
        <f t="shared" si="9"/>
        <v>-2.2969526628645282E-2</v>
      </c>
    </row>
    <row r="372" spans="1:5" x14ac:dyDescent="0.3">
      <c r="A372" s="1">
        <v>41943</v>
      </c>
      <c r="B372">
        <v>1.5994999999999999</v>
      </c>
      <c r="C372">
        <v>-3.95</v>
      </c>
      <c r="D372">
        <f t="shared" si="8"/>
        <v>1.599105</v>
      </c>
      <c r="E372" s="4">
        <f t="shared" si="9"/>
        <v>-1.3178189356267689E-2</v>
      </c>
    </row>
    <row r="373" spans="1:5" x14ac:dyDescent="0.3">
      <c r="A373" s="1">
        <v>41971</v>
      </c>
      <c r="B373">
        <v>1.5645</v>
      </c>
      <c r="C373">
        <v>-2.57</v>
      </c>
      <c r="D373">
        <f t="shared" si="8"/>
        <v>1.5642430000000001</v>
      </c>
      <c r="E373" s="4">
        <f t="shared" si="9"/>
        <v>-2.1640230003658296E-2</v>
      </c>
    </row>
    <row r="374" spans="1:5" x14ac:dyDescent="0.3">
      <c r="A374" s="1">
        <v>42004</v>
      </c>
      <c r="B374">
        <v>1.5577000000000001</v>
      </c>
      <c r="C374">
        <v>-3.74</v>
      </c>
      <c r="D374">
        <f t="shared" si="8"/>
        <v>1.557326</v>
      </c>
      <c r="E374" s="4">
        <f t="shared" si="9"/>
        <v>-4.1828539427697393E-3</v>
      </c>
    </row>
    <row r="375" spans="1:5" x14ac:dyDescent="0.3">
      <c r="A375" s="1">
        <v>42034</v>
      </c>
      <c r="B375">
        <v>1.506</v>
      </c>
      <c r="C375">
        <v>-2.76</v>
      </c>
      <c r="D375">
        <f t="shared" si="8"/>
        <v>1.5057240000000001</v>
      </c>
      <c r="E375" s="4">
        <f t="shared" si="9"/>
        <v>-3.2957775058016101E-2</v>
      </c>
    </row>
    <row r="376" spans="1:5" x14ac:dyDescent="0.3">
      <c r="A376" s="1">
        <v>42062</v>
      </c>
      <c r="B376">
        <v>1.5438000000000001</v>
      </c>
      <c r="C376">
        <v>-3.59</v>
      </c>
      <c r="D376">
        <f t="shared" si="8"/>
        <v>1.5434410000000001</v>
      </c>
      <c r="E376" s="4">
        <f t="shared" si="9"/>
        <v>2.5287502888975667E-2</v>
      </c>
    </row>
    <row r="377" spans="1:5" x14ac:dyDescent="0.3">
      <c r="A377" s="1">
        <v>42094</v>
      </c>
      <c r="B377">
        <v>1.4818</v>
      </c>
      <c r="C377">
        <v>-3.16</v>
      </c>
      <c r="D377">
        <f t="shared" si="8"/>
        <v>1.481484</v>
      </c>
      <c r="E377" s="4">
        <f t="shared" si="9"/>
        <v>-3.9937386657475121E-2</v>
      </c>
    </row>
    <row r="378" spans="1:5" x14ac:dyDescent="0.3">
      <c r="A378" s="1">
        <v>42124</v>
      </c>
      <c r="B378">
        <v>1.5350999999999999</v>
      </c>
      <c r="C378">
        <v>-3.36</v>
      </c>
      <c r="D378">
        <f t="shared" si="8"/>
        <v>1.534764</v>
      </c>
      <c r="E378" s="4">
        <f t="shared" si="9"/>
        <v>3.6190738475744513E-2</v>
      </c>
    </row>
    <row r="379" spans="1:5" x14ac:dyDescent="0.3">
      <c r="A379" s="1">
        <v>42153</v>
      </c>
      <c r="B379">
        <v>1.5290999999999999</v>
      </c>
      <c r="C379">
        <v>-3.28</v>
      </c>
      <c r="D379">
        <f t="shared" si="8"/>
        <v>1.5287719999999998</v>
      </c>
      <c r="E379" s="4">
        <f t="shared" si="9"/>
        <v>-3.6904696748165278E-3</v>
      </c>
    </row>
    <row r="380" spans="1:5" x14ac:dyDescent="0.3">
      <c r="A380" s="1">
        <v>42185</v>
      </c>
      <c r="B380">
        <v>1.5711999999999999</v>
      </c>
      <c r="C380">
        <v>-3.35</v>
      </c>
      <c r="D380">
        <f t="shared" si="8"/>
        <v>1.570865</v>
      </c>
      <c r="E380" s="4">
        <f t="shared" si="9"/>
        <v>2.7752993906220245E-2</v>
      </c>
    </row>
    <row r="381" spans="1:5" x14ac:dyDescent="0.3">
      <c r="A381" s="1">
        <v>42216</v>
      </c>
      <c r="B381">
        <v>1.5622</v>
      </c>
      <c r="C381">
        <v>-3.48</v>
      </c>
      <c r="D381">
        <f t="shared" si="8"/>
        <v>1.561852</v>
      </c>
      <c r="E381" s="4">
        <f t="shared" si="9"/>
        <v>-5.5160691720803016E-3</v>
      </c>
    </row>
    <row r="382" spans="1:5" x14ac:dyDescent="0.3">
      <c r="A382" s="1">
        <v>42247</v>
      </c>
      <c r="B382">
        <v>1.5345</v>
      </c>
      <c r="C382">
        <v>-2.6</v>
      </c>
      <c r="D382">
        <f t="shared" si="8"/>
        <v>1.53424</v>
      </c>
      <c r="E382" s="4">
        <f t="shared" si="9"/>
        <v>-1.7512542801750769E-2</v>
      </c>
    </row>
    <row r="383" spans="1:5" x14ac:dyDescent="0.3">
      <c r="A383" s="1">
        <v>42277</v>
      </c>
      <c r="B383">
        <v>1.5127999999999999</v>
      </c>
      <c r="C383">
        <v>-2.12</v>
      </c>
      <c r="D383">
        <f t="shared" ref="D383:D446" si="10">B383+C383/10^4</f>
        <v>1.5125879999999998</v>
      </c>
      <c r="E383" s="4">
        <f t="shared" si="9"/>
        <v>-1.3974345604338386E-2</v>
      </c>
    </row>
    <row r="384" spans="1:5" x14ac:dyDescent="0.3">
      <c r="A384" s="1">
        <v>42307</v>
      </c>
      <c r="B384">
        <v>1.5427999999999999</v>
      </c>
      <c r="C384">
        <v>-2.75</v>
      </c>
      <c r="D384">
        <f t="shared" si="10"/>
        <v>1.5425249999999999</v>
      </c>
      <c r="E384" s="4">
        <f t="shared" ref="E384:E447" si="11">(B384-D383)/D383</f>
        <v>1.9973713926065877E-2</v>
      </c>
    </row>
    <row r="385" spans="1:5" x14ac:dyDescent="0.3">
      <c r="A385" s="1">
        <v>42338</v>
      </c>
      <c r="B385">
        <v>1.5056</v>
      </c>
      <c r="C385">
        <v>2.65</v>
      </c>
      <c r="D385">
        <f t="shared" si="10"/>
        <v>1.505865</v>
      </c>
      <c r="E385" s="4">
        <f t="shared" si="11"/>
        <v>-2.3938023694915725E-2</v>
      </c>
    </row>
    <row r="386" spans="1:5" x14ac:dyDescent="0.3">
      <c r="A386" s="1">
        <v>42369</v>
      </c>
      <c r="B386">
        <v>1.4736</v>
      </c>
      <c r="C386">
        <v>1.22</v>
      </c>
      <c r="D386">
        <f t="shared" si="10"/>
        <v>1.473722</v>
      </c>
      <c r="E386" s="4">
        <f t="shared" si="11"/>
        <v>-2.1426223466246966E-2</v>
      </c>
    </row>
    <row r="387" spans="1:5" x14ac:dyDescent="0.3">
      <c r="A387" s="1">
        <v>42398</v>
      </c>
      <c r="B387">
        <v>1.4244000000000001</v>
      </c>
      <c r="C387">
        <v>0.45</v>
      </c>
      <c r="D387">
        <f t="shared" si="10"/>
        <v>1.4244450000000002</v>
      </c>
      <c r="E387" s="4">
        <f t="shared" si="11"/>
        <v>-3.3467641794042477E-2</v>
      </c>
    </row>
    <row r="388" spans="1:5" x14ac:dyDescent="0.3">
      <c r="A388" s="1">
        <v>42429</v>
      </c>
      <c r="B388">
        <v>1.3916999999999999</v>
      </c>
      <c r="C388">
        <v>1.75</v>
      </c>
      <c r="D388">
        <f t="shared" si="10"/>
        <v>1.391875</v>
      </c>
      <c r="E388" s="4">
        <f t="shared" si="11"/>
        <v>-2.2987900550740986E-2</v>
      </c>
    </row>
    <row r="389" spans="1:5" x14ac:dyDescent="0.3">
      <c r="A389" s="1">
        <v>42460</v>
      </c>
      <c r="B389">
        <v>1.4359999999999999</v>
      </c>
      <c r="C389">
        <v>1.25</v>
      </c>
      <c r="D389">
        <f t="shared" si="10"/>
        <v>1.4361249999999999</v>
      </c>
      <c r="E389" s="4">
        <f t="shared" si="11"/>
        <v>3.1701841041760194E-2</v>
      </c>
    </row>
    <row r="390" spans="1:5" x14ac:dyDescent="0.3">
      <c r="A390" s="1">
        <v>42489</v>
      </c>
      <c r="B390">
        <v>1.4612000000000001</v>
      </c>
      <c r="C390">
        <v>1.1000000000000001</v>
      </c>
      <c r="D390">
        <f t="shared" si="10"/>
        <v>1.4613100000000001</v>
      </c>
      <c r="E390" s="4">
        <f t="shared" si="11"/>
        <v>1.7460179301941114E-2</v>
      </c>
    </row>
    <row r="391" spans="1:5" x14ac:dyDescent="0.3">
      <c r="A391" s="1">
        <v>42521</v>
      </c>
      <c r="B391">
        <v>1.4482999999999999</v>
      </c>
      <c r="C391">
        <v>3.4</v>
      </c>
      <c r="D391">
        <f t="shared" si="10"/>
        <v>1.4486399999999999</v>
      </c>
      <c r="E391" s="4">
        <f t="shared" si="11"/>
        <v>-8.9029706222500272E-3</v>
      </c>
    </row>
    <row r="392" spans="1:5" x14ac:dyDescent="0.3">
      <c r="A392" s="1">
        <v>42551</v>
      </c>
      <c r="B392">
        <v>1.3310999999999999</v>
      </c>
      <c r="C392">
        <v>3.51</v>
      </c>
      <c r="D392">
        <f t="shared" si="10"/>
        <v>1.3314509999999999</v>
      </c>
      <c r="E392" s="4">
        <f t="shared" si="11"/>
        <v>-8.1138170974155058E-2</v>
      </c>
    </row>
    <row r="393" spans="1:5" x14ac:dyDescent="0.3">
      <c r="A393" s="1">
        <v>42580</v>
      </c>
      <c r="B393">
        <v>1.323</v>
      </c>
      <c r="C393">
        <v>6.15</v>
      </c>
      <c r="D393">
        <f t="shared" si="10"/>
        <v>1.323615</v>
      </c>
      <c r="E393" s="4">
        <f t="shared" si="11"/>
        <v>-6.3472106746699552E-3</v>
      </c>
    </row>
    <row r="394" spans="1:5" x14ac:dyDescent="0.3">
      <c r="A394" s="1">
        <v>42613</v>
      </c>
      <c r="B394">
        <v>1.3138000000000001</v>
      </c>
      <c r="C394">
        <v>10.16</v>
      </c>
      <c r="D394">
        <f t="shared" si="10"/>
        <v>1.314816</v>
      </c>
      <c r="E394" s="4">
        <f t="shared" si="11"/>
        <v>-7.4152982551572077E-3</v>
      </c>
    </row>
    <row r="395" spans="1:5" x14ac:dyDescent="0.3">
      <c r="A395" s="1">
        <v>42643</v>
      </c>
      <c r="B395">
        <v>1.2971999999999999</v>
      </c>
      <c r="C395">
        <v>8.08</v>
      </c>
      <c r="D395">
        <f t="shared" si="10"/>
        <v>1.2980079999999998</v>
      </c>
      <c r="E395" s="4">
        <f t="shared" si="11"/>
        <v>-1.33980724299066E-2</v>
      </c>
    </row>
    <row r="396" spans="1:5" x14ac:dyDescent="0.3">
      <c r="A396" s="1">
        <v>42674</v>
      </c>
      <c r="B396">
        <v>1.2242</v>
      </c>
      <c r="C396">
        <v>7.01</v>
      </c>
      <c r="D396">
        <f t="shared" si="10"/>
        <v>1.224901</v>
      </c>
      <c r="E396" s="4">
        <f t="shared" si="11"/>
        <v>-5.6862515485266565E-2</v>
      </c>
    </row>
    <row r="397" spans="1:5" x14ac:dyDescent="0.3">
      <c r="A397" s="1">
        <v>42704</v>
      </c>
      <c r="B397">
        <v>1.2505999999999999</v>
      </c>
      <c r="C397">
        <v>13.54</v>
      </c>
      <c r="D397">
        <f t="shared" si="10"/>
        <v>1.251954</v>
      </c>
      <c r="E397" s="4">
        <f t="shared" si="11"/>
        <v>2.0980471074805159E-2</v>
      </c>
    </row>
    <row r="398" spans="1:5" x14ac:dyDescent="0.3">
      <c r="A398" s="1">
        <v>42734</v>
      </c>
      <c r="B398">
        <v>1.234</v>
      </c>
      <c r="C398">
        <v>10.74</v>
      </c>
      <c r="D398">
        <f t="shared" si="10"/>
        <v>1.235074</v>
      </c>
      <c r="E398" s="4">
        <f t="shared" si="11"/>
        <v>-1.4340782488813507E-2</v>
      </c>
    </row>
    <row r="399" spans="1:5" x14ac:dyDescent="0.3">
      <c r="A399" s="1">
        <v>42766</v>
      </c>
      <c r="B399">
        <v>1.2579</v>
      </c>
      <c r="C399">
        <v>6.15</v>
      </c>
      <c r="D399">
        <f t="shared" si="10"/>
        <v>1.2585150000000001</v>
      </c>
      <c r="E399" s="4">
        <f t="shared" si="11"/>
        <v>1.8481483700571798E-2</v>
      </c>
    </row>
    <row r="400" spans="1:5" x14ac:dyDescent="0.3">
      <c r="A400" s="1">
        <v>42794</v>
      </c>
      <c r="B400">
        <v>1.238</v>
      </c>
      <c r="C400">
        <v>10.35</v>
      </c>
      <c r="D400">
        <f t="shared" si="10"/>
        <v>1.2390349999999999</v>
      </c>
      <c r="E400" s="4">
        <f t="shared" si="11"/>
        <v>-1.6300957874955849E-2</v>
      </c>
    </row>
    <row r="401" spans="1:5" x14ac:dyDescent="0.3">
      <c r="A401" s="1">
        <v>42825</v>
      </c>
      <c r="B401">
        <v>1.2549999999999999</v>
      </c>
      <c r="C401">
        <v>8.85</v>
      </c>
      <c r="D401">
        <f t="shared" si="10"/>
        <v>1.2558849999999999</v>
      </c>
      <c r="E401" s="4">
        <f t="shared" si="11"/>
        <v>1.2885027460886907E-2</v>
      </c>
    </row>
    <row r="402" spans="1:5" x14ac:dyDescent="0.3">
      <c r="A402" s="1">
        <v>42853</v>
      </c>
      <c r="B402">
        <v>1.2950999999999999</v>
      </c>
      <c r="C402">
        <v>11.5</v>
      </c>
      <c r="D402">
        <f t="shared" si="10"/>
        <v>1.2962499999999999</v>
      </c>
      <c r="E402" s="4">
        <f t="shared" si="11"/>
        <v>3.1224992734207355E-2</v>
      </c>
    </row>
    <row r="403" spans="1:5" x14ac:dyDescent="0.3">
      <c r="A403" s="1">
        <v>42886</v>
      </c>
      <c r="B403">
        <v>1.2889999999999999</v>
      </c>
      <c r="C403">
        <v>12.89</v>
      </c>
      <c r="D403">
        <f t="shared" si="10"/>
        <v>1.290289</v>
      </c>
      <c r="E403" s="4">
        <f t="shared" si="11"/>
        <v>-5.5930568948890872E-3</v>
      </c>
    </row>
    <row r="404" spans="1:5" x14ac:dyDescent="0.3">
      <c r="A404" s="1">
        <v>42916</v>
      </c>
      <c r="B404">
        <v>1.3025</v>
      </c>
      <c r="C404">
        <v>13.51</v>
      </c>
      <c r="D404">
        <f t="shared" si="10"/>
        <v>1.3038510000000001</v>
      </c>
      <c r="E404" s="4">
        <f t="shared" si="11"/>
        <v>9.4637712946479217E-3</v>
      </c>
    </row>
    <row r="405" spans="1:5" x14ac:dyDescent="0.3">
      <c r="A405" s="1">
        <v>42947</v>
      </c>
      <c r="B405">
        <v>1.3214999999999999</v>
      </c>
      <c r="C405">
        <v>14.69</v>
      </c>
      <c r="D405">
        <f t="shared" si="10"/>
        <v>1.3229689999999998</v>
      </c>
      <c r="E405" s="4">
        <f t="shared" si="11"/>
        <v>1.3536055883685944E-2</v>
      </c>
    </row>
    <row r="406" spans="1:5" x14ac:dyDescent="0.3">
      <c r="A406" s="1">
        <v>42978</v>
      </c>
      <c r="B406">
        <v>1.2929999999999999</v>
      </c>
      <c r="C406">
        <v>13.6</v>
      </c>
      <c r="D406">
        <f t="shared" si="10"/>
        <v>1.29436</v>
      </c>
      <c r="E406" s="4">
        <f t="shared" si="11"/>
        <v>-2.2652836158670323E-2</v>
      </c>
    </row>
    <row r="407" spans="1:5" x14ac:dyDescent="0.3">
      <c r="A407" s="1">
        <v>43007</v>
      </c>
      <c r="B407">
        <v>1.3398000000000001</v>
      </c>
      <c r="C407">
        <v>13.49</v>
      </c>
      <c r="D407">
        <f t="shared" si="10"/>
        <v>1.3411490000000001</v>
      </c>
      <c r="E407" s="4">
        <f t="shared" si="11"/>
        <v>3.510615284773954E-2</v>
      </c>
    </row>
    <row r="408" spans="1:5" x14ac:dyDescent="0.3">
      <c r="A408" s="1">
        <v>43039</v>
      </c>
      <c r="B408">
        <v>1.3283</v>
      </c>
      <c r="C408">
        <v>11.58</v>
      </c>
      <c r="D408">
        <f t="shared" si="10"/>
        <v>1.329458</v>
      </c>
      <c r="E408" s="4">
        <f t="shared" si="11"/>
        <v>-9.5805909708765458E-3</v>
      </c>
    </row>
    <row r="409" spans="1:5" x14ac:dyDescent="0.3">
      <c r="A409" s="1">
        <v>43069</v>
      </c>
      <c r="B409">
        <v>1.3525</v>
      </c>
      <c r="C409">
        <v>18.309999999999999</v>
      </c>
      <c r="D409">
        <f t="shared" si="10"/>
        <v>1.354331</v>
      </c>
      <c r="E409" s="4">
        <f t="shared" si="11"/>
        <v>1.7331875094963516E-2</v>
      </c>
    </row>
    <row r="410" spans="1:5" x14ac:dyDescent="0.3">
      <c r="A410" s="1">
        <v>43098</v>
      </c>
      <c r="B410">
        <v>1.3512999999999999</v>
      </c>
      <c r="C410">
        <v>14.35</v>
      </c>
      <c r="D410">
        <f t="shared" si="10"/>
        <v>1.352735</v>
      </c>
      <c r="E410" s="4">
        <f t="shared" si="11"/>
        <v>-2.2380053325221131E-3</v>
      </c>
    </row>
    <row r="411" spans="1:5" x14ac:dyDescent="0.3">
      <c r="A411" s="1">
        <v>43131</v>
      </c>
      <c r="B411">
        <v>1.4191</v>
      </c>
      <c r="C411">
        <v>14.57</v>
      </c>
      <c r="D411">
        <f t="shared" si="10"/>
        <v>1.4205570000000001</v>
      </c>
      <c r="E411" s="4">
        <f t="shared" si="11"/>
        <v>4.9059867601562765E-2</v>
      </c>
    </row>
    <row r="412" spans="1:5" x14ac:dyDescent="0.3">
      <c r="A412" s="1">
        <v>43159</v>
      </c>
      <c r="B412">
        <v>1.3759999999999999</v>
      </c>
      <c r="C412">
        <v>21.18</v>
      </c>
      <c r="D412">
        <f t="shared" si="10"/>
        <v>1.378118</v>
      </c>
      <c r="E412" s="4">
        <f t="shared" si="11"/>
        <v>-3.1365865642843035E-2</v>
      </c>
    </row>
    <row r="413" spans="1:5" x14ac:dyDescent="0.3">
      <c r="A413" s="1">
        <v>43189</v>
      </c>
      <c r="B413">
        <v>1.4015</v>
      </c>
      <c r="C413">
        <v>17.86</v>
      </c>
      <c r="D413">
        <f t="shared" si="10"/>
        <v>1.403286</v>
      </c>
      <c r="E413" s="4">
        <f t="shared" si="11"/>
        <v>1.6966616791885755E-2</v>
      </c>
    </row>
    <row r="414" spans="1:5" x14ac:dyDescent="0.3">
      <c r="A414" s="1">
        <v>43220</v>
      </c>
      <c r="B414">
        <v>1.3763000000000001</v>
      </c>
      <c r="C414">
        <v>20.02</v>
      </c>
      <c r="D414">
        <f t="shared" si="10"/>
        <v>1.3783020000000001</v>
      </c>
      <c r="E414" s="4">
        <f t="shared" si="11"/>
        <v>-1.9230577373393558E-2</v>
      </c>
    </row>
    <row r="415" spans="1:5" x14ac:dyDescent="0.3">
      <c r="A415" s="1">
        <v>43251</v>
      </c>
      <c r="B415">
        <v>1.3298000000000001</v>
      </c>
      <c r="C415">
        <v>21.35</v>
      </c>
      <c r="D415">
        <f t="shared" si="10"/>
        <v>1.3319350000000001</v>
      </c>
      <c r="E415" s="4">
        <f t="shared" si="11"/>
        <v>-3.5189675412210124E-2</v>
      </c>
    </row>
    <row r="416" spans="1:5" x14ac:dyDescent="0.3">
      <c r="A416" s="1">
        <v>43280</v>
      </c>
      <c r="B416">
        <v>1.3207</v>
      </c>
      <c r="C416">
        <v>18.57</v>
      </c>
      <c r="D416">
        <f t="shared" si="10"/>
        <v>1.322557</v>
      </c>
      <c r="E416" s="4">
        <f t="shared" si="11"/>
        <v>-8.43509630725231E-3</v>
      </c>
    </row>
    <row r="417" spans="1:5" x14ac:dyDescent="0.3">
      <c r="A417" s="1">
        <v>43312</v>
      </c>
      <c r="B417">
        <v>1.3124</v>
      </c>
      <c r="C417">
        <v>17.489999999999998</v>
      </c>
      <c r="D417">
        <f t="shared" si="10"/>
        <v>1.314149</v>
      </c>
      <c r="E417" s="4">
        <f t="shared" si="11"/>
        <v>-7.6798202270298909E-3</v>
      </c>
    </row>
    <row r="418" spans="1:5" x14ac:dyDescent="0.3">
      <c r="A418" s="1">
        <v>43343</v>
      </c>
      <c r="B418">
        <v>1.296</v>
      </c>
      <c r="C418">
        <v>15.79</v>
      </c>
      <c r="D418">
        <f t="shared" si="10"/>
        <v>1.297579</v>
      </c>
      <c r="E418" s="4">
        <f t="shared" si="11"/>
        <v>-1.3810458327023777E-2</v>
      </c>
    </row>
    <row r="419" spans="1:5" x14ac:dyDescent="0.3">
      <c r="A419" s="1">
        <v>43371</v>
      </c>
      <c r="B419">
        <v>1.3030999999999999</v>
      </c>
      <c r="C419">
        <v>17.809999999999999</v>
      </c>
      <c r="D419">
        <f t="shared" si="10"/>
        <v>1.304881</v>
      </c>
      <c r="E419" s="4">
        <f t="shared" si="11"/>
        <v>4.2548469110550392E-3</v>
      </c>
    </row>
    <row r="420" spans="1:5" x14ac:dyDescent="0.3">
      <c r="A420" s="1">
        <v>43404</v>
      </c>
      <c r="B420">
        <v>1.2766</v>
      </c>
      <c r="C420">
        <v>16.89</v>
      </c>
      <c r="D420">
        <f t="shared" si="10"/>
        <v>1.278289</v>
      </c>
      <c r="E420" s="4">
        <f t="shared" si="11"/>
        <v>-2.1673240701642525E-2</v>
      </c>
    </row>
    <row r="421" spans="1:5" x14ac:dyDescent="0.3">
      <c r="A421" s="1">
        <v>43434</v>
      </c>
      <c r="B421">
        <v>1.2748999999999999</v>
      </c>
      <c r="C421">
        <v>25.55</v>
      </c>
      <c r="D421">
        <f t="shared" si="10"/>
        <v>1.277455</v>
      </c>
      <c r="E421" s="4">
        <f t="shared" si="11"/>
        <v>-2.6512001589625556E-3</v>
      </c>
    </row>
    <row r="422" spans="1:5" x14ac:dyDescent="0.3">
      <c r="A422" s="1">
        <v>43465</v>
      </c>
      <c r="B422">
        <v>1.2754000000000001</v>
      </c>
      <c r="C422">
        <v>20.11</v>
      </c>
      <c r="D422">
        <f t="shared" si="10"/>
        <v>1.2774110000000001</v>
      </c>
      <c r="E422" s="4">
        <f t="shared" si="11"/>
        <v>-1.6086672328965935E-3</v>
      </c>
    </row>
    <row r="423" spans="1:5" x14ac:dyDescent="0.3">
      <c r="A423" s="1">
        <v>43496</v>
      </c>
      <c r="B423">
        <v>1.3109</v>
      </c>
      <c r="C423">
        <v>18.760000000000002</v>
      </c>
      <c r="D423">
        <f t="shared" si="10"/>
        <v>1.3127759999999999</v>
      </c>
      <c r="E423" s="4">
        <f t="shared" si="11"/>
        <v>2.6216307828881916E-2</v>
      </c>
    </row>
    <row r="424" spans="1:5" x14ac:dyDescent="0.3">
      <c r="A424" s="1">
        <v>43524</v>
      </c>
      <c r="B424">
        <v>1.3263</v>
      </c>
      <c r="C424">
        <v>21.3</v>
      </c>
      <c r="D424">
        <f t="shared" si="10"/>
        <v>1.32843</v>
      </c>
      <c r="E424" s="4">
        <f t="shared" si="11"/>
        <v>1.0301833671547996E-2</v>
      </c>
    </row>
    <row r="425" spans="1:5" x14ac:dyDescent="0.3">
      <c r="A425" s="1">
        <v>43553</v>
      </c>
      <c r="B425">
        <v>1.3035000000000001</v>
      </c>
      <c r="C425">
        <v>19.7</v>
      </c>
      <c r="D425">
        <f t="shared" si="10"/>
        <v>1.3054700000000001</v>
      </c>
      <c r="E425" s="4">
        <f t="shared" si="11"/>
        <v>-1.8766513854700583E-2</v>
      </c>
    </row>
    <row r="426" spans="1:5" x14ac:dyDescent="0.3">
      <c r="A426" s="1">
        <v>43585</v>
      </c>
      <c r="B426">
        <v>1.3031999999999999</v>
      </c>
      <c r="C426">
        <v>22.21</v>
      </c>
      <c r="D426">
        <f t="shared" si="10"/>
        <v>1.3054209999999999</v>
      </c>
      <c r="E426" s="4">
        <f t="shared" si="11"/>
        <v>-1.7388373535969545E-3</v>
      </c>
    </row>
    <row r="427" spans="1:5" x14ac:dyDescent="0.3">
      <c r="A427" s="1">
        <v>43616</v>
      </c>
      <c r="B427">
        <v>1.2628999999999999</v>
      </c>
      <c r="C427">
        <v>20.420000000000002</v>
      </c>
      <c r="D427">
        <f t="shared" si="10"/>
        <v>1.264942</v>
      </c>
      <c r="E427" s="4">
        <f t="shared" si="11"/>
        <v>-3.2572633656115561E-2</v>
      </c>
    </row>
    <row r="428" spans="1:5" x14ac:dyDescent="0.3">
      <c r="A428" s="1">
        <v>43644</v>
      </c>
      <c r="B428">
        <v>1.2696000000000001</v>
      </c>
      <c r="C428">
        <v>19.739999999999998</v>
      </c>
      <c r="D428">
        <f t="shared" si="10"/>
        <v>1.271574</v>
      </c>
      <c r="E428" s="4">
        <f t="shared" si="11"/>
        <v>3.6823822752347943E-3</v>
      </c>
    </row>
    <row r="429" spans="1:5" x14ac:dyDescent="0.3">
      <c r="A429" s="1">
        <v>43677</v>
      </c>
      <c r="B429">
        <v>1.2159</v>
      </c>
      <c r="C429">
        <v>18.989999999999998</v>
      </c>
      <c r="D429">
        <f t="shared" si="10"/>
        <v>1.2177990000000001</v>
      </c>
      <c r="E429" s="4">
        <f t="shared" si="11"/>
        <v>-4.3783531276984276E-2</v>
      </c>
    </row>
    <row r="430" spans="1:5" x14ac:dyDescent="0.3">
      <c r="A430" s="1">
        <v>43707</v>
      </c>
      <c r="B430">
        <v>1.2156</v>
      </c>
      <c r="C430">
        <v>16.350000000000001</v>
      </c>
      <c r="D430">
        <f t="shared" si="10"/>
        <v>1.2172350000000001</v>
      </c>
      <c r="E430" s="4">
        <f t="shared" si="11"/>
        <v>-1.8057167069443002E-3</v>
      </c>
    </row>
    <row r="431" spans="1:5" x14ac:dyDescent="0.3">
      <c r="A431" s="1">
        <v>43738</v>
      </c>
      <c r="B431">
        <v>1.2289000000000001</v>
      </c>
      <c r="C431">
        <v>16.55</v>
      </c>
      <c r="D431">
        <f t="shared" si="10"/>
        <v>1.2305550000000001</v>
      </c>
      <c r="E431" s="4">
        <f t="shared" si="11"/>
        <v>9.583194699462335E-3</v>
      </c>
    </row>
    <row r="432" spans="1:5" x14ac:dyDescent="0.3">
      <c r="A432" s="1">
        <v>43769</v>
      </c>
      <c r="B432">
        <v>1.2942</v>
      </c>
      <c r="C432">
        <v>12.06</v>
      </c>
      <c r="D432">
        <f t="shared" si="10"/>
        <v>1.2954060000000001</v>
      </c>
      <c r="E432" s="4">
        <f t="shared" si="11"/>
        <v>5.1720565110864571E-2</v>
      </c>
    </row>
    <row r="433" spans="1:5" x14ac:dyDescent="0.3">
      <c r="A433" s="1">
        <v>43798</v>
      </c>
      <c r="B433">
        <v>1.2925</v>
      </c>
      <c r="C433">
        <v>18.55</v>
      </c>
      <c r="D433">
        <f t="shared" si="10"/>
        <v>1.2943549999999999</v>
      </c>
      <c r="E433" s="4">
        <f t="shared" si="11"/>
        <v>-2.243312135346042E-3</v>
      </c>
    </row>
    <row r="434" spans="1:5" x14ac:dyDescent="0.3">
      <c r="A434" s="1">
        <v>43830</v>
      </c>
      <c r="B434">
        <v>1.3257000000000001</v>
      </c>
      <c r="C434">
        <v>11.86</v>
      </c>
      <c r="D434">
        <f t="shared" si="10"/>
        <v>1.326886</v>
      </c>
      <c r="E434" s="4">
        <f t="shared" si="11"/>
        <v>2.4216694801658108E-2</v>
      </c>
    </row>
    <row r="435" spans="1:5" x14ac:dyDescent="0.3">
      <c r="A435" s="1">
        <v>43861</v>
      </c>
      <c r="B435">
        <v>1.3206</v>
      </c>
      <c r="C435">
        <v>10.220000000000001</v>
      </c>
      <c r="D435">
        <f t="shared" si="10"/>
        <v>1.3216220000000001</v>
      </c>
      <c r="E435" s="4">
        <f t="shared" si="11"/>
        <v>-4.7374077351031016E-3</v>
      </c>
    </row>
    <row r="436" spans="1:5" x14ac:dyDescent="0.3">
      <c r="A436" s="1">
        <v>43889</v>
      </c>
      <c r="B436">
        <v>1.2823</v>
      </c>
      <c r="C436">
        <v>11.19</v>
      </c>
      <c r="D436">
        <f t="shared" si="10"/>
        <v>1.2834190000000001</v>
      </c>
      <c r="E436" s="4">
        <f t="shared" si="11"/>
        <v>-2.9752834017593592E-2</v>
      </c>
    </row>
    <row r="437" spans="1:5" x14ac:dyDescent="0.3">
      <c r="A437" s="1">
        <v>43921</v>
      </c>
      <c r="B437">
        <v>1.242</v>
      </c>
      <c r="C437">
        <v>8.75</v>
      </c>
      <c r="D437">
        <f t="shared" si="10"/>
        <v>1.242875</v>
      </c>
      <c r="E437" s="4">
        <f t="shared" si="11"/>
        <v>-3.2272391167654596E-2</v>
      </c>
    </row>
    <row r="438" spans="1:5" x14ac:dyDescent="0.3">
      <c r="A438" s="1">
        <v>43951</v>
      </c>
      <c r="B438">
        <v>1.2594000000000001</v>
      </c>
      <c r="C438">
        <v>1.49</v>
      </c>
      <c r="D438">
        <f t="shared" si="10"/>
        <v>1.259549</v>
      </c>
      <c r="E438" s="4">
        <f t="shared" si="11"/>
        <v>1.3295785980086593E-2</v>
      </c>
    </row>
    <row r="439" spans="1:5" x14ac:dyDescent="0.3">
      <c r="A439" s="1">
        <v>43980</v>
      </c>
      <c r="B439">
        <v>1.2343</v>
      </c>
      <c r="C439">
        <v>1.62</v>
      </c>
      <c r="D439">
        <f t="shared" si="10"/>
        <v>1.2344619999999999</v>
      </c>
      <c r="E439" s="4">
        <f t="shared" si="11"/>
        <v>-2.0046064107073307E-2</v>
      </c>
    </row>
    <row r="440" spans="1:5" x14ac:dyDescent="0.3">
      <c r="A440" s="1">
        <v>44012</v>
      </c>
      <c r="B440">
        <v>1.2401</v>
      </c>
      <c r="C440">
        <v>2.56</v>
      </c>
      <c r="D440">
        <f t="shared" si="10"/>
        <v>1.240356</v>
      </c>
      <c r="E440" s="4">
        <f t="shared" si="11"/>
        <v>4.567171771994628E-3</v>
      </c>
    </row>
    <row r="441" spans="1:5" x14ac:dyDescent="0.3">
      <c r="A441" s="1">
        <v>44043</v>
      </c>
      <c r="B441">
        <v>1.3085</v>
      </c>
      <c r="C441">
        <v>2.15</v>
      </c>
      <c r="D441">
        <f t="shared" si="10"/>
        <v>1.3087150000000001</v>
      </c>
      <c r="E441" s="4">
        <f t="shared" si="11"/>
        <v>5.4939065881085741E-2</v>
      </c>
    </row>
    <row r="442" spans="1:5" x14ac:dyDescent="0.3">
      <c r="A442" s="1">
        <v>44074</v>
      </c>
      <c r="B442">
        <v>1.337</v>
      </c>
      <c r="C442">
        <v>2.9</v>
      </c>
      <c r="D442">
        <f t="shared" si="10"/>
        <v>1.3372899999999999</v>
      </c>
      <c r="E442" s="4">
        <f t="shared" si="11"/>
        <v>2.1612803398753658E-2</v>
      </c>
    </row>
    <row r="443" spans="1:5" x14ac:dyDescent="0.3">
      <c r="A443" s="1">
        <v>44104</v>
      </c>
      <c r="B443">
        <v>1.292</v>
      </c>
      <c r="C443">
        <v>2.04</v>
      </c>
      <c r="D443">
        <f t="shared" si="10"/>
        <v>1.2922040000000001</v>
      </c>
      <c r="E443" s="4">
        <f t="shared" si="11"/>
        <v>-3.3866999678454066E-2</v>
      </c>
    </row>
    <row r="444" spans="1:5" x14ac:dyDescent="0.3">
      <c r="A444" s="1">
        <v>44134</v>
      </c>
      <c r="B444">
        <v>1.2947</v>
      </c>
      <c r="C444">
        <v>2.38</v>
      </c>
      <c r="D444">
        <f t="shared" si="10"/>
        <v>1.2949379999999999</v>
      </c>
      <c r="E444" s="4">
        <f t="shared" si="11"/>
        <v>1.9315835580139293E-3</v>
      </c>
    </row>
    <row r="445" spans="1:5" x14ac:dyDescent="0.3">
      <c r="A445" s="1">
        <v>44165</v>
      </c>
      <c r="B445">
        <v>1.3323</v>
      </c>
      <c r="C445">
        <v>8.24</v>
      </c>
      <c r="D445">
        <f t="shared" si="10"/>
        <v>1.333124</v>
      </c>
      <c r="E445" s="4">
        <f t="shared" si="11"/>
        <v>2.8852346598833397E-2</v>
      </c>
    </row>
    <row r="446" spans="1:5" x14ac:dyDescent="0.3">
      <c r="A446" s="1">
        <v>44196</v>
      </c>
      <c r="B446">
        <v>1.367</v>
      </c>
      <c r="C446">
        <v>3.33</v>
      </c>
      <c r="D446">
        <f t="shared" si="10"/>
        <v>1.3673329999999999</v>
      </c>
      <c r="E446" s="4">
        <f t="shared" si="11"/>
        <v>2.5410989525355494E-2</v>
      </c>
    </row>
    <row r="447" spans="1:5" x14ac:dyDescent="0.3">
      <c r="A447" s="1">
        <v>44225</v>
      </c>
      <c r="B447">
        <v>1.3708</v>
      </c>
      <c r="C447">
        <v>1.85</v>
      </c>
      <c r="D447">
        <f t="shared" ref="D447:D504" si="12">B447+C447/10^4</f>
        <v>1.3709850000000001</v>
      </c>
      <c r="E447" s="4">
        <f t="shared" si="11"/>
        <v>2.5355930120900387E-3</v>
      </c>
    </row>
    <row r="448" spans="1:5" x14ac:dyDescent="0.3">
      <c r="A448" s="1">
        <v>44253</v>
      </c>
      <c r="B448">
        <v>1.3933</v>
      </c>
      <c r="C448">
        <v>3.1</v>
      </c>
      <c r="D448">
        <f t="shared" si="12"/>
        <v>1.39361</v>
      </c>
      <c r="E448" s="4">
        <f t="shared" ref="E448:E504" si="13">(B448-D447)/D447</f>
        <v>1.6276618635506487E-2</v>
      </c>
    </row>
    <row r="449" spans="1:5" x14ac:dyDescent="0.3">
      <c r="A449" s="1">
        <v>44286</v>
      </c>
      <c r="B449">
        <v>1.3783000000000001</v>
      </c>
      <c r="C449">
        <v>1.38</v>
      </c>
      <c r="D449">
        <f t="shared" si="12"/>
        <v>1.3784380000000001</v>
      </c>
      <c r="E449" s="4">
        <f t="shared" si="13"/>
        <v>-1.0985856875309402E-2</v>
      </c>
    </row>
    <row r="450" spans="1:5" x14ac:dyDescent="0.3">
      <c r="A450" s="1">
        <v>44316</v>
      </c>
      <c r="B450">
        <v>1.3822000000000001</v>
      </c>
      <c r="C450">
        <v>0.91</v>
      </c>
      <c r="D450">
        <f t="shared" si="12"/>
        <v>1.3822910000000002</v>
      </c>
      <c r="E450" s="4">
        <f t="shared" si="13"/>
        <v>2.7291760674038605E-3</v>
      </c>
    </row>
    <row r="451" spans="1:5" x14ac:dyDescent="0.3">
      <c r="A451" s="1">
        <v>44347</v>
      </c>
      <c r="B451">
        <v>1.4212</v>
      </c>
      <c r="C451">
        <v>0.56999999999999995</v>
      </c>
      <c r="D451">
        <f t="shared" si="12"/>
        <v>1.421257</v>
      </c>
      <c r="E451" s="4">
        <f t="shared" si="13"/>
        <v>2.8148197449017504E-2</v>
      </c>
    </row>
    <row r="452" spans="1:5" x14ac:dyDescent="0.3">
      <c r="A452" s="1">
        <v>44377</v>
      </c>
      <c r="B452">
        <v>1.3831</v>
      </c>
      <c r="C452">
        <v>1.2</v>
      </c>
      <c r="D452">
        <f t="shared" si="12"/>
        <v>1.3832199999999999</v>
      </c>
      <c r="E452" s="4">
        <f t="shared" si="13"/>
        <v>-2.6847361173946722E-2</v>
      </c>
    </row>
    <row r="453" spans="1:5" x14ac:dyDescent="0.3">
      <c r="A453" s="1">
        <v>44407</v>
      </c>
      <c r="B453">
        <v>1.3904000000000001</v>
      </c>
      <c r="C453">
        <v>0.97</v>
      </c>
      <c r="D453">
        <f t="shared" si="12"/>
        <v>1.3904970000000001</v>
      </c>
      <c r="E453" s="4">
        <f t="shared" si="13"/>
        <v>5.1907867150563086E-3</v>
      </c>
    </row>
    <row r="454" spans="1:5" x14ac:dyDescent="0.3">
      <c r="A454" s="1">
        <v>44439</v>
      </c>
      <c r="B454">
        <v>1.3754999999999999</v>
      </c>
      <c r="C454">
        <v>1.17</v>
      </c>
      <c r="D454">
        <f t="shared" si="12"/>
        <v>1.3756169999999999</v>
      </c>
      <c r="E454" s="4">
        <f t="shared" si="13"/>
        <v>-1.0785352287707307E-2</v>
      </c>
    </row>
    <row r="455" spans="1:5" x14ac:dyDescent="0.3">
      <c r="A455" s="1">
        <v>44469</v>
      </c>
      <c r="B455">
        <v>1.3473999999999999</v>
      </c>
      <c r="C455">
        <v>0.56000000000000005</v>
      </c>
      <c r="D455">
        <f t="shared" si="12"/>
        <v>1.347456</v>
      </c>
      <c r="E455" s="4">
        <f t="shared" si="13"/>
        <v>-2.0512250139391952E-2</v>
      </c>
    </row>
    <row r="456" spans="1:5" x14ac:dyDescent="0.3">
      <c r="A456" s="1">
        <v>44498</v>
      </c>
      <c r="B456">
        <v>1.3682000000000001</v>
      </c>
      <c r="C456">
        <v>0.22</v>
      </c>
      <c r="D456">
        <f t="shared" si="12"/>
        <v>1.368222</v>
      </c>
      <c r="E456" s="4">
        <f t="shared" si="13"/>
        <v>1.5394936829106179E-2</v>
      </c>
    </row>
    <row r="457" spans="1:5" x14ac:dyDescent="0.3">
      <c r="A457" s="1">
        <v>44530</v>
      </c>
      <c r="B457">
        <v>1.3299000000000001</v>
      </c>
      <c r="C457">
        <v>11.34</v>
      </c>
      <c r="D457">
        <f t="shared" si="12"/>
        <v>1.3310340000000001</v>
      </c>
      <c r="E457" s="4">
        <f t="shared" si="13"/>
        <v>-2.8008612637422849E-2</v>
      </c>
    </row>
    <row r="458" spans="1:5" x14ac:dyDescent="0.3">
      <c r="A458" s="1">
        <v>44561</v>
      </c>
      <c r="B458">
        <v>1.3532</v>
      </c>
      <c r="C458">
        <v>-0.92</v>
      </c>
      <c r="D458">
        <f t="shared" si="12"/>
        <v>1.353108</v>
      </c>
      <c r="E458" s="4">
        <f t="shared" si="13"/>
        <v>1.6653218475260516E-2</v>
      </c>
    </row>
    <row r="459" spans="1:5" x14ac:dyDescent="0.3">
      <c r="A459" s="1">
        <v>44592</v>
      </c>
      <c r="B459">
        <v>1.3447</v>
      </c>
      <c r="C459">
        <v>-2.5</v>
      </c>
      <c r="D459">
        <f t="shared" si="12"/>
        <v>1.3444499999999999</v>
      </c>
      <c r="E459" s="4">
        <f t="shared" si="13"/>
        <v>-6.2138425018549671E-3</v>
      </c>
    </row>
    <row r="460" spans="1:5" x14ac:dyDescent="0.3">
      <c r="A460" s="1">
        <v>44620</v>
      </c>
      <c r="B460">
        <v>1.3420000000000001</v>
      </c>
      <c r="C460">
        <v>4.0999999999999996</v>
      </c>
      <c r="D460">
        <f t="shared" si="12"/>
        <v>1.3424100000000001</v>
      </c>
      <c r="E460" s="4">
        <f t="shared" si="13"/>
        <v>-1.8223065193944299E-3</v>
      </c>
    </row>
    <row r="461" spans="1:5" x14ac:dyDescent="0.3">
      <c r="A461" s="1">
        <v>44651</v>
      </c>
      <c r="B461">
        <v>1.3138000000000001</v>
      </c>
      <c r="C461">
        <v>-2.5</v>
      </c>
      <c r="D461">
        <f t="shared" si="12"/>
        <v>1.31355</v>
      </c>
      <c r="E461" s="4">
        <f t="shared" si="13"/>
        <v>-2.1312415729918596E-2</v>
      </c>
    </row>
    <row r="462" spans="1:5" x14ac:dyDescent="0.3">
      <c r="A462" s="1">
        <v>44680</v>
      </c>
      <c r="B462">
        <v>1.2574000000000001</v>
      </c>
      <c r="C462">
        <v>-0.25</v>
      </c>
      <c r="D462">
        <f t="shared" si="12"/>
        <v>1.2573750000000001</v>
      </c>
      <c r="E462" s="4">
        <f t="shared" si="13"/>
        <v>-4.2746754976970745E-2</v>
      </c>
    </row>
    <row r="463" spans="1:5" x14ac:dyDescent="0.3">
      <c r="A463" s="1">
        <v>44712</v>
      </c>
      <c r="B463">
        <v>1.2602</v>
      </c>
      <c r="C463">
        <v>1.98</v>
      </c>
      <c r="D463">
        <f t="shared" si="12"/>
        <v>1.2603979999999999</v>
      </c>
      <c r="E463" s="4">
        <f t="shared" si="13"/>
        <v>2.2467442091658059E-3</v>
      </c>
    </row>
    <row r="464" spans="1:5" x14ac:dyDescent="0.3">
      <c r="A464" s="1">
        <v>44742</v>
      </c>
      <c r="B464">
        <v>1.2178</v>
      </c>
      <c r="C464">
        <v>6.57</v>
      </c>
      <c r="D464">
        <f t="shared" si="12"/>
        <v>1.2184569999999999</v>
      </c>
      <c r="E464" s="4">
        <f t="shared" si="13"/>
        <v>-3.3797260865218698E-2</v>
      </c>
    </row>
    <row r="465" spans="1:5" x14ac:dyDescent="0.3">
      <c r="A465" s="1">
        <v>44771</v>
      </c>
      <c r="B465">
        <v>1.2171000000000001</v>
      </c>
      <c r="C465">
        <v>8.52</v>
      </c>
      <c r="D465">
        <f t="shared" si="12"/>
        <v>1.2179520000000001</v>
      </c>
      <c r="E465" s="4">
        <f t="shared" si="13"/>
        <v>-1.1137036432141887E-3</v>
      </c>
    </row>
    <row r="466" spans="1:5" x14ac:dyDescent="0.3">
      <c r="A466" s="1">
        <v>44804</v>
      </c>
      <c r="B466">
        <v>1.1621999999999999</v>
      </c>
      <c r="C466">
        <v>6.82</v>
      </c>
      <c r="D466">
        <f t="shared" si="12"/>
        <v>1.162882</v>
      </c>
      <c r="E466" s="4">
        <f t="shared" si="13"/>
        <v>-4.5775202963663789E-2</v>
      </c>
    </row>
    <row r="467" spans="1:5" x14ac:dyDescent="0.3">
      <c r="A467" s="1">
        <v>44834</v>
      </c>
      <c r="B467">
        <v>1.117</v>
      </c>
      <c r="C467">
        <v>7.59</v>
      </c>
      <c r="D467">
        <f t="shared" si="12"/>
        <v>1.1177589999999999</v>
      </c>
      <c r="E467" s="4">
        <f t="shared" si="13"/>
        <v>-3.9455421960267661E-2</v>
      </c>
    </row>
    <row r="468" spans="1:5" x14ac:dyDescent="0.3">
      <c r="A468" s="1">
        <v>44865</v>
      </c>
      <c r="B468">
        <v>1.1469</v>
      </c>
      <c r="C468">
        <v>9.4</v>
      </c>
      <c r="D468">
        <f t="shared" si="12"/>
        <v>1.14784</v>
      </c>
      <c r="E468" s="4">
        <f t="shared" si="13"/>
        <v>2.6070915107818487E-2</v>
      </c>
    </row>
    <row r="469" spans="1:5" x14ac:dyDescent="0.3">
      <c r="A469" s="1">
        <v>44895</v>
      </c>
      <c r="B469">
        <v>1.2058</v>
      </c>
      <c r="C469">
        <v>15.14</v>
      </c>
      <c r="D469">
        <f t="shared" si="12"/>
        <v>1.207314</v>
      </c>
      <c r="E469" s="4">
        <f t="shared" si="13"/>
        <v>5.049484248675775E-2</v>
      </c>
    </row>
    <row r="470" spans="1:5" x14ac:dyDescent="0.3">
      <c r="A470" s="1">
        <v>44925</v>
      </c>
      <c r="B470">
        <v>1.2082999999999999</v>
      </c>
      <c r="C470">
        <v>10.47</v>
      </c>
      <c r="D470">
        <f t="shared" si="12"/>
        <v>1.2093469999999999</v>
      </c>
      <c r="E470" s="4">
        <f t="shared" si="13"/>
        <v>8.1668894753140554E-4</v>
      </c>
    </row>
    <row r="471" spans="1:5" x14ac:dyDescent="0.3">
      <c r="A471" s="1">
        <v>44957</v>
      </c>
      <c r="B471">
        <v>1.232</v>
      </c>
      <c r="C471">
        <v>7.54</v>
      </c>
      <c r="D471">
        <f t="shared" si="12"/>
        <v>1.2327539999999999</v>
      </c>
      <c r="E471" s="4">
        <f t="shared" si="13"/>
        <v>1.8731596473138011E-2</v>
      </c>
    </row>
    <row r="472" spans="1:5" x14ac:dyDescent="0.3">
      <c r="A472" s="1">
        <v>44985</v>
      </c>
      <c r="B472">
        <v>1.2021999999999999</v>
      </c>
      <c r="C472">
        <v>6.99</v>
      </c>
      <c r="D472">
        <f t="shared" si="12"/>
        <v>1.2028989999999999</v>
      </c>
      <c r="E472" s="4">
        <f t="shared" si="13"/>
        <v>-2.4785155838066616E-2</v>
      </c>
    </row>
    <row r="473" spans="1:5" x14ac:dyDescent="0.3">
      <c r="A473" s="1">
        <v>45016</v>
      </c>
      <c r="B473">
        <v>1.2337</v>
      </c>
      <c r="C473">
        <v>7.69</v>
      </c>
      <c r="D473">
        <f t="shared" si="12"/>
        <v>1.234469</v>
      </c>
      <c r="E473" s="4">
        <f t="shared" si="13"/>
        <v>2.5605641038857027E-2</v>
      </c>
    </row>
    <row r="474" spans="1:5" x14ac:dyDescent="0.3">
      <c r="A474" s="1">
        <v>45044</v>
      </c>
      <c r="B474">
        <v>1.2566999999999999</v>
      </c>
      <c r="C474">
        <v>9.0399999999999991</v>
      </c>
      <c r="D474">
        <f t="shared" si="12"/>
        <v>1.2576039999999999</v>
      </c>
      <c r="E474" s="4">
        <f t="shared" si="13"/>
        <v>1.8008552665153915E-2</v>
      </c>
    </row>
    <row r="475" spans="1:5" x14ac:dyDescent="0.3">
      <c r="A475" s="1">
        <v>45077</v>
      </c>
      <c r="B475">
        <v>1.2441</v>
      </c>
      <c r="C475">
        <v>8.25</v>
      </c>
      <c r="D475">
        <f t="shared" si="12"/>
        <v>1.2449250000000001</v>
      </c>
      <c r="E475" s="4">
        <f t="shared" si="13"/>
        <v>-1.0737879332444841E-2</v>
      </c>
    </row>
    <row r="476" spans="1:5" x14ac:dyDescent="0.3">
      <c r="A476" s="1">
        <v>45107</v>
      </c>
      <c r="B476">
        <v>1.2703</v>
      </c>
      <c r="C476">
        <v>3.02</v>
      </c>
      <c r="D476">
        <f t="shared" si="12"/>
        <v>1.270602</v>
      </c>
      <c r="E476" s="4">
        <f t="shared" si="13"/>
        <v>2.0382753981163463E-2</v>
      </c>
    </row>
    <row r="477" spans="1:5" x14ac:dyDescent="0.3">
      <c r="A477" s="1">
        <v>45138</v>
      </c>
      <c r="B477">
        <v>1.2835000000000001</v>
      </c>
      <c r="C477">
        <v>2.13</v>
      </c>
      <c r="D477">
        <f t="shared" si="12"/>
        <v>1.2837130000000001</v>
      </c>
      <c r="E477" s="4">
        <f t="shared" si="13"/>
        <v>1.015109373352165E-2</v>
      </c>
    </row>
    <row r="478" spans="1:5" x14ac:dyDescent="0.3">
      <c r="A478" s="1">
        <v>45169</v>
      </c>
      <c r="B478">
        <v>1.2673000000000001</v>
      </c>
      <c r="C478">
        <v>1.75</v>
      </c>
      <c r="D478">
        <f t="shared" si="12"/>
        <v>1.2674750000000001</v>
      </c>
      <c r="E478" s="4">
        <f t="shared" si="13"/>
        <v>-1.2785568113745057E-2</v>
      </c>
    </row>
    <row r="479" spans="1:5" x14ac:dyDescent="0.3">
      <c r="A479" s="1">
        <v>45198</v>
      </c>
      <c r="B479">
        <v>1.2199</v>
      </c>
      <c r="C479">
        <v>2.34</v>
      </c>
      <c r="D479">
        <f t="shared" si="12"/>
        <v>1.2201340000000001</v>
      </c>
      <c r="E479" s="4">
        <f t="shared" si="13"/>
        <v>-3.7535257105662946E-2</v>
      </c>
    </row>
    <row r="480" spans="1:5" x14ac:dyDescent="0.3">
      <c r="A480" s="1">
        <v>45230</v>
      </c>
      <c r="B480">
        <v>1.2153</v>
      </c>
      <c r="C480">
        <v>2.25</v>
      </c>
      <c r="D480">
        <f t="shared" si="12"/>
        <v>1.215525</v>
      </c>
      <c r="E480" s="4">
        <f t="shared" si="13"/>
        <v>-3.9618599268604962E-3</v>
      </c>
    </row>
    <row r="481" spans="1:5" x14ac:dyDescent="0.3">
      <c r="A481" s="1">
        <v>45260</v>
      </c>
      <c r="B481">
        <v>1.2624</v>
      </c>
      <c r="C481">
        <v>3.82</v>
      </c>
      <c r="D481">
        <f t="shared" si="12"/>
        <v>1.2627820000000001</v>
      </c>
      <c r="E481" s="4">
        <f t="shared" si="13"/>
        <v>3.8563583636700191E-2</v>
      </c>
    </row>
    <row r="482" spans="1:5" x14ac:dyDescent="0.3">
      <c r="A482" s="1">
        <v>45289</v>
      </c>
      <c r="B482">
        <v>1.2730999999999999</v>
      </c>
      <c r="C482">
        <v>2.2799999999999998</v>
      </c>
      <c r="D482">
        <f t="shared" si="12"/>
        <v>1.2733279999999998</v>
      </c>
      <c r="E482" s="4">
        <f t="shared" si="13"/>
        <v>8.1708481749025782E-3</v>
      </c>
    </row>
    <row r="483" spans="1:5" x14ac:dyDescent="0.3">
      <c r="A483" s="1">
        <v>45322</v>
      </c>
      <c r="B483">
        <v>1.2687999999999999</v>
      </c>
      <c r="C483">
        <v>3.08</v>
      </c>
      <c r="D483">
        <f t="shared" si="12"/>
        <v>1.2691079999999999</v>
      </c>
      <c r="E483" s="4">
        <f t="shared" si="13"/>
        <v>-3.5560358367992114E-3</v>
      </c>
    </row>
    <row r="484" spans="1:5" x14ac:dyDescent="0.3">
      <c r="A484" s="1">
        <v>45351</v>
      </c>
      <c r="B484">
        <v>1.2625</v>
      </c>
      <c r="C484">
        <v>2.38</v>
      </c>
      <c r="D484">
        <f t="shared" si="12"/>
        <v>1.2627379999999999</v>
      </c>
      <c r="E484" s="4">
        <f t="shared" si="13"/>
        <v>-5.2068066705118462E-3</v>
      </c>
    </row>
    <row r="485" spans="1:5" x14ac:dyDescent="0.3">
      <c r="A485" s="1">
        <v>45380</v>
      </c>
      <c r="B485">
        <v>1.2623</v>
      </c>
      <c r="C485">
        <v>2.08</v>
      </c>
      <c r="D485">
        <f t="shared" si="12"/>
        <v>1.262508</v>
      </c>
      <c r="E485" s="4">
        <f t="shared" si="13"/>
        <v>-3.4686530380802547E-4</v>
      </c>
    </row>
    <row r="486" spans="1:5" x14ac:dyDescent="0.3">
      <c r="A486" s="1">
        <v>45412</v>
      </c>
      <c r="B486">
        <v>1.2492000000000001</v>
      </c>
      <c r="C486">
        <v>2.02</v>
      </c>
      <c r="D486">
        <f t="shared" si="12"/>
        <v>1.2494020000000001</v>
      </c>
      <c r="E486" s="4">
        <f t="shared" si="13"/>
        <v>-1.0540923305040344E-2</v>
      </c>
    </row>
    <row r="487" spans="1:5" x14ac:dyDescent="0.3">
      <c r="A487" s="1">
        <v>45443</v>
      </c>
      <c r="B487">
        <v>1.2742</v>
      </c>
      <c r="C487">
        <v>1.97</v>
      </c>
      <c r="D487">
        <f t="shared" si="12"/>
        <v>1.274397</v>
      </c>
      <c r="E487" s="4">
        <f t="shared" si="13"/>
        <v>1.9847895233079404E-2</v>
      </c>
    </row>
    <row r="488" spans="1:5" x14ac:dyDescent="0.3">
      <c r="A488" s="1">
        <v>45471</v>
      </c>
      <c r="B488">
        <v>1.2645</v>
      </c>
      <c r="C488">
        <v>2.2799999999999998</v>
      </c>
      <c r="D488">
        <f t="shared" si="12"/>
        <v>1.2647279999999999</v>
      </c>
      <c r="E488" s="4">
        <f t="shared" si="13"/>
        <v>-7.7660258145617455E-3</v>
      </c>
    </row>
    <row r="489" spans="1:5" x14ac:dyDescent="0.3">
      <c r="A489" s="1">
        <v>45504</v>
      </c>
      <c r="B489">
        <v>1.2856000000000001</v>
      </c>
      <c r="C489">
        <v>4.0199999999999996</v>
      </c>
      <c r="D489">
        <f t="shared" si="12"/>
        <v>1.2860020000000001</v>
      </c>
      <c r="E489" s="4">
        <f t="shared" si="13"/>
        <v>1.6503153247180598E-2</v>
      </c>
    </row>
    <row r="490" spans="1:5" x14ac:dyDescent="0.3">
      <c r="A490" s="1">
        <v>45534</v>
      </c>
      <c r="B490">
        <v>1.3127</v>
      </c>
      <c r="C490">
        <v>3.63</v>
      </c>
      <c r="D490">
        <f t="shared" si="12"/>
        <v>1.3130629999999999</v>
      </c>
      <c r="E490" s="4">
        <f t="shared" si="13"/>
        <v>2.0760465380302587E-2</v>
      </c>
    </row>
    <row r="491" spans="1:5" x14ac:dyDescent="0.3">
      <c r="A491" s="1">
        <v>45565</v>
      </c>
      <c r="B491">
        <v>1.3374999999999999</v>
      </c>
      <c r="C491">
        <v>-0.25</v>
      </c>
      <c r="D491">
        <f t="shared" si="12"/>
        <v>1.337475</v>
      </c>
      <c r="E491" s="4">
        <f t="shared" si="13"/>
        <v>1.8610683569638353E-2</v>
      </c>
    </row>
    <row r="492" spans="1:5" x14ac:dyDescent="0.3">
      <c r="A492" s="1">
        <v>45596</v>
      </c>
      <c r="B492">
        <v>1.2899</v>
      </c>
      <c r="C492">
        <v>-0.56000000000000005</v>
      </c>
      <c r="D492">
        <f t="shared" si="12"/>
        <v>1.289844</v>
      </c>
      <c r="E492" s="4">
        <f t="shared" si="13"/>
        <v>-3.5570758331931379E-2</v>
      </c>
    </row>
    <row r="493" spans="1:5" x14ac:dyDescent="0.3">
      <c r="A493" s="1">
        <v>45625</v>
      </c>
      <c r="B493">
        <v>1.2735000000000001</v>
      </c>
      <c r="C493">
        <v>-0.2</v>
      </c>
      <c r="D493">
        <f t="shared" si="12"/>
        <v>1.2734800000000002</v>
      </c>
      <c r="E493" s="4">
        <f t="shared" si="13"/>
        <v>-1.2671299785090224E-2</v>
      </c>
    </row>
    <row r="494" spans="1:5" x14ac:dyDescent="0.3">
      <c r="A494" s="1">
        <v>45657</v>
      </c>
      <c r="B494">
        <v>1.2516</v>
      </c>
      <c r="C494">
        <v>-3.33</v>
      </c>
      <c r="D494">
        <f t="shared" si="12"/>
        <v>1.2512670000000001</v>
      </c>
      <c r="E494" s="4">
        <f t="shared" si="13"/>
        <v>-1.718126707918469E-2</v>
      </c>
    </row>
    <row r="495" spans="1:5" x14ac:dyDescent="0.3">
      <c r="A495" s="1">
        <v>45688</v>
      </c>
      <c r="B495">
        <v>1.2395</v>
      </c>
      <c r="C495">
        <v>-1.05</v>
      </c>
      <c r="D495">
        <f t="shared" si="12"/>
        <v>1.239395</v>
      </c>
      <c r="E495" s="4">
        <f t="shared" si="13"/>
        <v>-9.4040680366381298E-3</v>
      </c>
    </row>
    <row r="496" spans="1:5" x14ac:dyDescent="0.3">
      <c r="A496" s="1">
        <v>45716</v>
      </c>
      <c r="B496">
        <v>1.2577</v>
      </c>
      <c r="C496">
        <v>-0.86</v>
      </c>
      <c r="D496">
        <f t="shared" si="12"/>
        <v>1.257614</v>
      </c>
      <c r="E496" s="4">
        <f t="shared" si="13"/>
        <v>1.4769302764655347E-2</v>
      </c>
    </row>
    <row r="497" spans="1:5" x14ac:dyDescent="0.3">
      <c r="A497" s="1">
        <v>45747</v>
      </c>
      <c r="B497">
        <v>1.2918000000000001</v>
      </c>
      <c r="C497">
        <v>-0.88</v>
      </c>
      <c r="D497">
        <f t="shared" si="12"/>
        <v>1.291712</v>
      </c>
      <c r="E497" s="4">
        <f t="shared" si="13"/>
        <v>2.7183221560828721E-2</v>
      </c>
    </row>
    <row r="498" spans="1:5" x14ac:dyDescent="0.3">
      <c r="A498" s="1">
        <v>45777</v>
      </c>
      <c r="B498">
        <v>1.3329</v>
      </c>
      <c r="C498">
        <v>1.46</v>
      </c>
      <c r="D498">
        <f t="shared" si="12"/>
        <v>1.333046</v>
      </c>
      <c r="E498" s="4">
        <f t="shared" si="13"/>
        <v>3.1886364762423826E-2</v>
      </c>
    </row>
    <row r="499" spans="1:5" x14ac:dyDescent="0.3">
      <c r="A499" s="1">
        <v>45807</v>
      </c>
      <c r="B499">
        <v>1.3459000000000001</v>
      </c>
      <c r="C499">
        <v>1.89</v>
      </c>
      <c r="D499">
        <f t="shared" si="12"/>
        <v>1.3460890000000001</v>
      </c>
      <c r="E499" s="4">
        <f t="shared" si="13"/>
        <v>9.6425779755538402E-3</v>
      </c>
    </row>
    <row r="500" spans="1:5" x14ac:dyDescent="0.3">
      <c r="A500" s="1">
        <v>45838</v>
      </c>
      <c r="B500">
        <v>1.3732</v>
      </c>
      <c r="C500">
        <v>2</v>
      </c>
      <c r="D500">
        <f t="shared" si="12"/>
        <v>1.3734</v>
      </c>
      <c r="E500" s="4">
        <f t="shared" si="13"/>
        <v>2.0140570200038694E-2</v>
      </c>
    </row>
    <row r="501" spans="1:5" x14ac:dyDescent="0.3">
      <c r="A501" s="1">
        <v>45869</v>
      </c>
      <c r="B501">
        <v>1.3207</v>
      </c>
      <c r="C501">
        <v>4</v>
      </c>
      <c r="D501">
        <f t="shared" si="12"/>
        <v>1.3210999999999999</v>
      </c>
      <c r="E501" s="4">
        <f t="shared" si="13"/>
        <v>-3.8371923693024591E-2</v>
      </c>
    </row>
    <row r="502" spans="1:5" x14ac:dyDescent="0.3">
      <c r="A502" s="1">
        <v>45898</v>
      </c>
      <c r="B502">
        <v>1.3504</v>
      </c>
      <c r="C502">
        <v>3.87</v>
      </c>
      <c r="D502">
        <f t="shared" si="12"/>
        <v>1.350787</v>
      </c>
      <c r="E502" s="4">
        <f t="shared" si="13"/>
        <v>2.2178487623949819E-2</v>
      </c>
    </row>
    <row r="503" spans="1:5" x14ac:dyDescent="0.3">
      <c r="A503" s="1">
        <v>45930</v>
      </c>
      <c r="B503">
        <v>1.3446</v>
      </c>
      <c r="C503">
        <v>2.37</v>
      </c>
      <c r="D503">
        <f t="shared" si="12"/>
        <v>1.3448370000000001</v>
      </c>
      <c r="E503" s="4">
        <f t="shared" si="13"/>
        <v>-4.5802928218882343E-3</v>
      </c>
    </row>
    <row r="504" spans="1:5" x14ac:dyDescent="0.3">
      <c r="A504" s="1">
        <v>45961</v>
      </c>
      <c r="B504">
        <v>1.3151999999999999</v>
      </c>
      <c r="C504">
        <v>0.95</v>
      </c>
      <c r="D504">
        <f t="shared" si="12"/>
        <v>1.3152949999999999</v>
      </c>
      <c r="E504" s="4">
        <f t="shared" si="13"/>
        <v>-2.2037614967464557E-2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499984740745262"/>
  </sheetPr>
  <dimension ref="A1:G185"/>
  <sheetViews>
    <sheetView workbookViewId="0">
      <selection activeCell="A3" sqref="A3"/>
    </sheetView>
  </sheetViews>
  <sheetFormatPr defaultColWidth="8.77734375" defaultRowHeight="14.4" x14ac:dyDescent="0.3"/>
  <cols>
    <col min="1" max="1" width="10.109375" bestFit="1" customWidth="1"/>
    <col min="2" max="2" width="9.77734375" bestFit="1" customWidth="1"/>
    <col min="3" max="3" width="12" bestFit="1" customWidth="1"/>
    <col min="4" max="6" width="12.77734375" bestFit="1" customWidth="1"/>
    <col min="7" max="7" width="11.109375" bestFit="1" customWidth="1"/>
  </cols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s="1">
        <v>40421</v>
      </c>
      <c r="B2">
        <v>0.14760000000000001</v>
      </c>
      <c r="C2">
        <f>1/B2</f>
        <v>6.7750677506775068</v>
      </c>
      <c r="D2" t="e">
        <f ca="1">_xll.BDH("CNH1M BGN Curncy","PX_LAST","1985-01-01","","Period=M","cols=1;rows=184","DTS=H")</f>
        <v>#NAME?</v>
      </c>
      <c r="E2" t="e">
        <f ca="1">C2+D2/10^4</f>
        <v>#NAME?</v>
      </c>
      <c r="F2" t="e">
        <f ca="1">1/E2</f>
        <v>#NAME?</v>
      </c>
    </row>
    <row r="3" spans="1:7" x14ac:dyDescent="0.3">
      <c r="A3" s="1">
        <v>40451</v>
      </c>
      <c r="B3">
        <v>0.151</v>
      </c>
      <c r="C3">
        <f t="shared" ref="C3:C66" si="0">1/B3</f>
        <v>6.6225165562913908</v>
      </c>
      <c r="D3">
        <v>21</v>
      </c>
      <c r="E3">
        <f t="shared" ref="E3:E66" si="1">C3+D3/10^4</f>
        <v>6.6246165562913912</v>
      </c>
      <c r="F3">
        <f t="shared" ref="F3:F66" si="2">1/E3</f>
        <v>0.15095213307860075</v>
      </c>
      <c r="G3" s="4" t="e">
        <f ca="1">(B3-F2)/F2</f>
        <v>#NAME?</v>
      </c>
    </row>
    <row r="4" spans="1:7" x14ac:dyDescent="0.3">
      <c r="A4" s="1">
        <v>40480</v>
      </c>
      <c r="B4">
        <v>0.15190000000000001</v>
      </c>
      <c r="C4">
        <f t="shared" si="0"/>
        <v>6.5832784726793943</v>
      </c>
      <c r="D4">
        <v>-25</v>
      </c>
      <c r="E4">
        <f t="shared" si="1"/>
        <v>6.5807784726793939</v>
      </c>
      <c r="F4">
        <f t="shared" si="2"/>
        <v>0.15195770593883029</v>
      </c>
      <c r="G4" s="4">
        <f t="shared" ref="G4:G67" si="3">(B4-F3)/F3</f>
        <v>6.2792549006624497E-3</v>
      </c>
    </row>
    <row r="5" spans="1:7" x14ac:dyDescent="0.3">
      <c r="A5" s="1">
        <v>40512</v>
      </c>
      <c r="B5">
        <v>0.15029999999999999</v>
      </c>
      <c r="C5">
        <f t="shared" si="0"/>
        <v>6.6533599467731213</v>
      </c>
      <c r="D5">
        <v>0</v>
      </c>
      <c r="E5">
        <f t="shared" si="1"/>
        <v>6.6533599467731213</v>
      </c>
      <c r="F5">
        <f t="shared" si="2"/>
        <v>0.15029999999999999</v>
      </c>
      <c r="G5" s="4">
        <f t="shared" si="3"/>
        <v>-1.0908995556287226E-2</v>
      </c>
    </row>
    <row r="6" spans="1:7" x14ac:dyDescent="0.3">
      <c r="A6" s="1">
        <v>40543</v>
      </c>
      <c r="B6">
        <v>0.15190000000000001</v>
      </c>
      <c r="C6">
        <f t="shared" si="0"/>
        <v>6.5832784726793943</v>
      </c>
      <c r="D6">
        <v>-55</v>
      </c>
      <c r="E6">
        <f t="shared" si="1"/>
        <v>6.5777784726793946</v>
      </c>
      <c r="F6">
        <f t="shared" si="2"/>
        <v>0.1520270109663118</v>
      </c>
      <c r="G6" s="4">
        <f t="shared" si="3"/>
        <v>1.0645375914837114E-2</v>
      </c>
    </row>
    <row r="7" spans="1:7" x14ac:dyDescent="0.3">
      <c r="A7" s="1">
        <v>40574</v>
      </c>
      <c r="B7">
        <v>0.15179999999999999</v>
      </c>
      <c r="C7">
        <f t="shared" si="0"/>
        <v>6.5876152832674579</v>
      </c>
      <c r="D7">
        <v>-20</v>
      </c>
      <c r="E7">
        <f t="shared" si="1"/>
        <v>6.5856152832674582</v>
      </c>
      <c r="F7">
        <f t="shared" si="2"/>
        <v>0.15184610047610453</v>
      </c>
      <c r="G7" s="4">
        <f t="shared" si="3"/>
        <v>-1.4932278472679582E-3</v>
      </c>
    </row>
    <row r="8" spans="1:7" x14ac:dyDescent="0.3">
      <c r="A8" s="1">
        <v>40602</v>
      </c>
      <c r="B8">
        <v>0.15229999999999999</v>
      </c>
      <c r="C8">
        <f t="shared" si="0"/>
        <v>6.5659881812212744</v>
      </c>
      <c r="D8">
        <v>-65</v>
      </c>
      <c r="E8">
        <f t="shared" si="1"/>
        <v>6.5594881812212744</v>
      </c>
      <c r="F8">
        <f t="shared" si="2"/>
        <v>0.15245091878705322</v>
      </c>
      <c r="G8" s="4">
        <f t="shared" si="3"/>
        <v>2.9892076416337798E-3</v>
      </c>
    </row>
    <row r="9" spans="1:7" x14ac:dyDescent="0.3">
      <c r="A9" s="1">
        <v>40633</v>
      </c>
      <c r="B9">
        <v>0.1527</v>
      </c>
      <c r="C9">
        <f t="shared" si="0"/>
        <v>6.5487884741322855</v>
      </c>
      <c r="D9">
        <v>-72.5</v>
      </c>
      <c r="E9">
        <f t="shared" si="1"/>
        <v>6.5415384741322855</v>
      </c>
      <c r="F9">
        <f t="shared" si="2"/>
        <v>0.15286923771133928</v>
      </c>
      <c r="G9" s="4">
        <f t="shared" si="3"/>
        <v>1.6338452724886856E-3</v>
      </c>
    </row>
    <row r="10" spans="1:7" x14ac:dyDescent="0.3">
      <c r="A10" s="1">
        <v>40662</v>
      </c>
      <c r="B10">
        <v>0.15479999999999999</v>
      </c>
      <c r="C10">
        <f t="shared" si="0"/>
        <v>6.4599483204134369</v>
      </c>
      <c r="D10">
        <v>-50</v>
      </c>
      <c r="E10">
        <f t="shared" si="1"/>
        <v>6.454948320413437</v>
      </c>
      <c r="F10">
        <f t="shared" si="2"/>
        <v>0.15491990800879879</v>
      </c>
      <c r="G10" s="4">
        <f t="shared" si="3"/>
        <v>1.2630155795677733E-2</v>
      </c>
    </row>
    <row r="11" spans="1:7" x14ac:dyDescent="0.3">
      <c r="A11" s="1">
        <v>40694</v>
      </c>
      <c r="B11">
        <v>0.15429999999999999</v>
      </c>
      <c r="C11">
        <f t="shared" si="0"/>
        <v>6.4808813998703823</v>
      </c>
      <c r="D11">
        <v>-32.5</v>
      </c>
      <c r="E11">
        <f t="shared" si="1"/>
        <v>6.4776313998703818</v>
      </c>
      <c r="F11">
        <f t="shared" si="2"/>
        <v>0.15437741641489666</v>
      </c>
      <c r="G11" s="4">
        <f t="shared" si="3"/>
        <v>-4.0014741602066358E-3</v>
      </c>
    </row>
    <row r="12" spans="1:7" x14ac:dyDescent="0.3">
      <c r="A12" s="1">
        <v>40724</v>
      </c>
      <c r="B12">
        <v>0.1547</v>
      </c>
      <c r="C12">
        <f t="shared" si="0"/>
        <v>6.4641241111829348</v>
      </c>
      <c r="D12">
        <v>0</v>
      </c>
      <c r="E12">
        <f t="shared" si="1"/>
        <v>6.4641241111829348</v>
      </c>
      <c r="F12">
        <f t="shared" si="2"/>
        <v>0.1547</v>
      </c>
      <c r="G12" s="4">
        <f t="shared" si="3"/>
        <v>2.0895775599481681E-3</v>
      </c>
    </row>
    <row r="13" spans="1:7" x14ac:dyDescent="0.3">
      <c r="A13" s="1">
        <v>40753</v>
      </c>
      <c r="B13">
        <v>0.1555</v>
      </c>
      <c r="C13">
        <f t="shared" si="0"/>
        <v>6.430868167202572</v>
      </c>
      <c r="D13">
        <v>1.5</v>
      </c>
      <c r="E13">
        <f t="shared" si="1"/>
        <v>6.4310181672025717</v>
      </c>
      <c r="F13">
        <f t="shared" si="2"/>
        <v>0.15549637304709868</v>
      </c>
      <c r="G13" s="4">
        <f t="shared" si="3"/>
        <v>5.1712992889463164E-3</v>
      </c>
    </row>
    <row r="14" spans="1:7" x14ac:dyDescent="0.3">
      <c r="A14" s="1">
        <v>40786</v>
      </c>
      <c r="B14">
        <v>0.1573</v>
      </c>
      <c r="C14">
        <f t="shared" si="0"/>
        <v>6.3572790845518119</v>
      </c>
      <c r="D14">
        <v>-6.7</v>
      </c>
      <c r="E14">
        <f t="shared" si="1"/>
        <v>6.3566090845518115</v>
      </c>
      <c r="F14">
        <f t="shared" si="2"/>
        <v>0.15731657975165661</v>
      </c>
      <c r="G14" s="4">
        <f t="shared" si="3"/>
        <v>1.1599157700964582E-2</v>
      </c>
    </row>
    <row r="15" spans="1:7" x14ac:dyDescent="0.3">
      <c r="A15" s="1">
        <v>40816</v>
      </c>
      <c r="B15">
        <v>0.15379999999999999</v>
      </c>
      <c r="C15">
        <f t="shared" si="0"/>
        <v>6.5019505851755532</v>
      </c>
      <c r="D15">
        <v>0</v>
      </c>
      <c r="E15">
        <f t="shared" si="1"/>
        <v>6.5019505851755532</v>
      </c>
      <c r="F15">
        <f t="shared" si="2"/>
        <v>0.15379999999999999</v>
      </c>
      <c r="G15" s="4">
        <f t="shared" si="3"/>
        <v>-2.2353522795931412E-2</v>
      </c>
    </row>
    <row r="16" spans="1:7" x14ac:dyDescent="0.3">
      <c r="A16" s="1">
        <v>40847</v>
      </c>
      <c r="B16">
        <v>0.1565</v>
      </c>
      <c r="C16">
        <f t="shared" si="0"/>
        <v>6.3897763578274764</v>
      </c>
      <c r="D16">
        <v>17.5</v>
      </c>
      <c r="E16">
        <f t="shared" si="1"/>
        <v>6.3915263578274768</v>
      </c>
      <c r="F16">
        <f t="shared" si="2"/>
        <v>0.15645715029796212</v>
      </c>
      <c r="G16" s="4">
        <f t="shared" si="3"/>
        <v>1.7555266579974044E-2</v>
      </c>
    </row>
    <row r="17" spans="1:7" x14ac:dyDescent="0.3">
      <c r="A17" s="1">
        <v>40877</v>
      </c>
      <c r="B17">
        <v>0.1565</v>
      </c>
      <c r="C17">
        <f t="shared" si="0"/>
        <v>6.3897763578274764</v>
      </c>
      <c r="D17">
        <v>51.7</v>
      </c>
      <c r="E17">
        <f t="shared" si="1"/>
        <v>6.3949463578274761</v>
      </c>
      <c r="F17">
        <f t="shared" si="2"/>
        <v>0.15637347743753791</v>
      </c>
      <c r="G17" s="4">
        <f t="shared" si="3"/>
        <v>2.7387500000018771E-4</v>
      </c>
    </row>
    <row r="18" spans="1:7" x14ac:dyDescent="0.3">
      <c r="A18" s="1">
        <v>40907</v>
      </c>
      <c r="B18">
        <v>0.15759999999999999</v>
      </c>
      <c r="C18">
        <f t="shared" si="0"/>
        <v>6.3451776649746199</v>
      </c>
      <c r="D18">
        <v>169.7</v>
      </c>
      <c r="E18">
        <f t="shared" si="1"/>
        <v>6.3621476649746196</v>
      </c>
      <c r="F18">
        <f t="shared" si="2"/>
        <v>0.15717962748731473</v>
      </c>
      <c r="G18" s="4">
        <f t="shared" si="3"/>
        <v>7.8435459936101303E-3</v>
      </c>
    </row>
    <row r="19" spans="1:7" x14ac:dyDescent="0.3">
      <c r="A19" s="1">
        <v>40939</v>
      </c>
      <c r="B19">
        <v>0.15870000000000001</v>
      </c>
      <c r="C19">
        <f t="shared" si="0"/>
        <v>6.30119722747322</v>
      </c>
      <c r="D19">
        <v>47.5</v>
      </c>
      <c r="E19">
        <f t="shared" si="1"/>
        <v>6.3059472274732196</v>
      </c>
      <c r="F19">
        <f t="shared" si="2"/>
        <v>0.15858045808618318</v>
      </c>
      <c r="G19" s="4">
        <f t="shared" si="3"/>
        <v>9.672834431472219E-3</v>
      </c>
    </row>
    <row r="20" spans="1:7" x14ac:dyDescent="0.3">
      <c r="A20" s="1">
        <v>40968</v>
      </c>
      <c r="B20">
        <v>0.15890000000000001</v>
      </c>
      <c r="C20">
        <f t="shared" si="0"/>
        <v>6.293266205160478</v>
      </c>
      <c r="D20">
        <v>55.5</v>
      </c>
      <c r="E20">
        <f t="shared" si="1"/>
        <v>6.2988162051604784</v>
      </c>
      <c r="F20">
        <f t="shared" si="2"/>
        <v>0.15875999035830296</v>
      </c>
      <c r="G20" s="4">
        <f t="shared" si="3"/>
        <v>2.0150144454947529E-3</v>
      </c>
    </row>
    <row r="21" spans="1:7" x14ac:dyDescent="0.3">
      <c r="A21" s="1">
        <v>40998</v>
      </c>
      <c r="B21">
        <v>0.15840000000000001</v>
      </c>
      <c r="C21">
        <f t="shared" si="0"/>
        <v>6.3131313131313123</v>
      </c>
      <c r="D21">
        <v>75</v>
      </c>
      <c r="E21">
        <f t="shared" si="1"/>
        <v>6.3206313131313125</v>
      </c>
      <c r="F21">
        <f t="shared" si="2"/>
        <v>0.15821204409161918</v>
      </c>
      <c r="G21" s="4">
        <f t="shared" si="3"/>
        <v>-2.2675131025801315E-3</v>
      </c>
    </row>
    <row r="22" spans="1:7" x14ac:dyDescent="0.3">
      <c r="A22" s="1">
        <v>41029</v>
      </c>
      <c r="B22">
        <v>0.15870000000000001</v>
      </c>
      <c r="C22">
        <f t="shared" si="0"/>
        <v>6.30119722747322</v>
      </c>
      <c r="D22">
        <v>90</v>
      </c>
      <c r="E22">
        <f t="shared" si="1"/>
        <v>6.3101972274732203</v>
      </c>
      <c r="F22">
        <f t="shared" si="2"/>
        <v>0.15847365208273023</v>
      </c>
      <c r="G22" s="4">
        <f t="shared" si="3"/>
        <v>3.0841893939392898E-3</v>
      </c>
    </row>
    <row r="23" spans="1:7" x14ac:dyDescent="0.3">
      <c r="A23" s="1">
        <v>41060</v>
      </c>
      <c r="B23">
        <v>0.15709999999999999</v>
      </c>
      <c r="C23">
        <f t="shared" si="0"/>
        <v>6.3653723742838961</v>
      </c>
      <c r="D23">
        <v>122.5</v>
      </c>
      <c r="E23">
        <f t="shared" si="1"/>
        <v>6.377622374283896</v>
      </c>
      <c r="F23">
        <f t="shared" si="2"/>
        <v>0.15679824569611397</v>
      </c>
      <c r="G23" s="4">
        <f t="shared" si="3"/>
        <v>-8.6680155639571894E-3</v>
      </c>
    </row>
    <row r="24" spans="1:7" x14ac:dyDescent="0.3">
      <c r="A24" s="1">
        <v>41089</v>
      </c>
      <c r="B24">
        <v>0.15720000000000001</v>
      </c>
      <c r="C24">
        <f t="shared" si="0"/>
        <v>6.3613231552162848</v>
      </c>
      <c r="D24">
        <v>115</v>
      </c>
      <c r="E24">
        <f t="shared" si="1"/>
        <v>6.3728231552162846</v>
      </c>
      <c r="F24">
        <f t="shared" si="2"/>
        <v>0.15691632666465563</v>
      </c>
      <c r="G24" s="4">
        <f t="shared" si="3"/>
        <v>2.5622372374284066E-3</v>
      </c>
    </row>
    <row r="25" spans="1:7" x14ac:dyDescent="0.3">
      <c r="A25" s="1">
        <v>41121</v>
      </c>
      <c r="B25">
        <v>0.15690000000000001</v>
      </c>
      <c r="C25">
        <f t="shared" si="0"/>
        <v>6.3734862970044608</v>
      </c>
      <c r="D25">
        <v>95</v>
      </c>
      <c r="E25">
        <f t="shared" si="1"/>
        <v>6.3829862970044609</v>
      </c>
      <c r="F25">
        <f t="shared" si="2"/>
        <v>0.15666648077707773</v>
      </c>
      <c r="G25" s="4">
        <f t="shared" si="3"/>
        <v>-1.0404694656478181E-4</v>
      </c>
    </row>
    <row r="26" spans="1:7" x14ac:dyDescent="0.3">
      <c r="A26" s="1">
        <v>41152</v>
      </c>
      <c r="B26">
        <v>0.15740000000000001</v>
      </c>
      <c r="C26">
        <f t="shared" si="0"/>
        <v>6.3532401524777633</v>
      </c>
      <c r="D26">
        <v>215</v>
      </c>
      <c r="E26">
        <f t="shared" si="1"/>
        <v>6.3747401524777629</v>
      </c>
      <c r="F26">
        <f t="shared" si="2"/>
        <v>0.15686913914621531</v>
      </c>
      <c r="G26" s="4">
        <f t="shared" si="3"/>
        <v>4.6820431485022724E-3</v>
      </c>
    </row>
    <row r="27" spans="1:7" x14ac:dyDescent="0.3">
      <c r="A27" s="1">
        <v>41180</v>
      </c>
      <c r="B27">
        <v>0.15870000000000001</v>
      </c>
      <c r="C27">
        <f t="shared" si="0"/>
        <v>6.30119722747322</v>
      </c>
      <c r="D27">
        <v>185</v>
      </c>
      <c r="E27">
        <f t="shared" si="1"/>
        <v>6.3196972274732204</v>
      </c>
      <c r="F27">
        <f t="shared" si="2"/>
        <v>0.1582354286931284</v>
      </c>
      <c r="G27" s="4">
        <f t="shared" si="3"/>
        <v>1.1671262198221042E-2</v>
      </c>
    </row>
    <row r="28" spans="1:7" x14ac:dyDescent="0.3">
      <c r="A28" s="1">
        <v>41213</v>
      </c>
      <c r="B28">
        <v>0.16020000000000001</v>
      </c>
      <c r="C28">
        <f t="shared" si="0"/>
        <v>6.2421972534332077</v>
      </c>
      <c r="D28">
        <v>145</v>
      </c>
      <c r="E28">
        <f t="shared" si="1"/>
        <v>6.2566972534332077</v>
      </c>
      <c r="F28">
        <f t="shared" si="2"/>
        <v>0.15982873383417662</v>
      </c>
      <c r="G28" s="4">
        <f t="shared" si="3"/>
        <v>1.2415495841209953E-2</v>
      </c>
    </row>
    <row r="29" spans="1:7" x14ac:dyDescent="0.3">
      <c r="A29" s="1">
        <v>41243</v>
      </c>
      <c r="B29">
        <v>0.16089999999999999</v>
      </c>
      <c r="C29">
        <f t="shared" si="0"/>
        <v>6.2150403977625857</v>
      </c>
      <c r="D29">
        <v>157.5</v>
      </c>
      <c r="E29">
        <f t="shared" si="1"/>
        <v>6.2307903977625854</v>
      </c>
      <c r="F29">
        <f t="shared" si="2"/>
        <v>0.16049328193724668</v>
      </c>
      <c r="G29" s="4">
        <f t="shared" si="3"/>
        <v>6.7025880774030031E-3</v>
      </c>
    </row>
    <row r="30" spans="1:7" x14ac:dyDescent="0.3">
      <c r="A30" s="1">
        <v>41274</v>
      </c>
      <c r="B30">
        <v>0.16070000000000001</v>
      </c>
      <c r="C30">
        <f t="shared" si="0"/>
        <v>6.2227753578095824</v>
      </c>
      <c r="D30">
        <v>125</v>
      </c>
      <c r="E30">
        <f t="shared" si="1"/>
        <v>6.2352753578095825</v>
      </c>
      <c r="F30">
        <f t="shared" si="2"/>
        <v>0.16037784101186742</v>
      </c>
      <c r="G30" s="4">
        <f t="shared" si="3"/>
        <v>1.2880169204475005E-3</v>
      </c>
    </row>
    <row r="31" spans="1:7" x14ac:dyDescent="0.3">
      <c r="A31" s="1">
        <v>41305</v>
      </c>
      <c r="B31">
        <v>0.161</v>
      </c>
      <c r="C31">
        <f t="shared" si="0"/>
        <v>6.2111801242236027</v>
      </c>
      <c r="D31">
        <v>113.92</v>
      </c>
      <c r="E31">
        <f t="shared" si="1"/>
        <v>6.2225721242236025</v>
      </c>
      <c r="F31">
        <f t="shared" si="2"/>
        <v>0.16070524857512539</v>
      </c>
      <c r="G31" s="4">
        <f t="shared" si="3"/>
        <v>3.8793326073428662E-3</v>
      </c>
    </row>
    <row r="32" spans="1:7" x14ac:dyDescent="0.3">
      <c r="A32" s="1">
        <v>41333</v>
      </c>
      <c r="B32">
        <v>0.16070000000000001</v>
      </c>
      <c r="C32">
        <f t="shared" si="0"/>
        <v>6.2227753578095824</v>
      </c>
      <c r="D32">
        <v>112</v>
      </c>
      <c r="E32">
        <f t="shared" si="1"/>
        <v>6.233975357809582</v>
      </c>
      <c r="F32">
        <f t="shared" si="2"/>
        <v>0.16041128535217178</v>
      </c>
      <c r="G32" s="4">
        <f t="shared" si="3"/>
        <v>-3.2659637267065825E-5</v>
      </c>
    </row>
    <row r="33" spans="1:7" x14ac:dyDescent="0.3">
      <c r="A33" s="1">
        <v>41362</v>
      </c>
      <c r="B33">
        <v>0.16120000000000001</v>
      </c>
      <c r="C33">
        <f t="shared" si="0"/>
        <v>6.2034739454094288</v>
      </c>
      <c r="D33">
        <v>87</v>
      </c>
      <c r="E33">
        <f t="shared" si="1"/>
        <v>6.2121739454094289</v>
      </c>
      <c r="F33">
        <f t="shared" si="2"/>
        <v>0.16097424328225124</v>
      </c>
      <c r="G33" s="4">
        <f t="shared" si="3"/>
        <v>4.9168276789046577E-3</v>
      </c>
    </row>
    <row r="34" spans="1:7" x14ac:dyDescent="0.3">
      <c r="A34" s="1">
        <v>41394</v>
      </c>
      <c r="B34">
        <v>0.1623</v>
      </c>
      <c r="C34">
        <f t="shared" si="0"/>
        <v>6.1614294516327792</v>
      </c>
      <c r="D34">
        <v>67.5</v>
      </c>
      <c r="E34">
        <f t="shared" si="1"/>
        <v>6.1681794516327795</v>
      </c>
      <c r="F34">
        <f t="shared" si="2"/>
        <v>0.1621223908677446</v>
      </c>
      <c r="G34" s="4">
        <f t="shared" si="3"/>
        <v>8.2358313399503724E-3</v>
      </c>
    </row>
    <row r="35" spans="1:7" x14ac:dyDescent="0.3">
      <c r="A35" s="1">
        <v>41425</v>
      </c>
      <c r="B35">
        <v>0.16259999999999999</v>
      </c>
      <c r="C35">
        <f t="shared" si="0"/>
        <v>6.1500615006150063</v>
      </c>
      <c r="D35">
        <v>121.5</v>
      </c>
      <c r="E35">
        <f t="shared" si="1"/>
        <v>6.1622115006150064</v>
      </c>
      <c r="F35">
        <f t="shared" si="2"/>
        <v>0.16227940243534275</v>
      </c>
      <c r="G35" s="4">
        <f t="shared" si="3"/>
        <v>2.9459788354898654E-3</v>
      </c>
    </row>
    <row r="36" spans="1:7" x14ac:dyDescent="0.3">
      <c r="A36" s="1">
        <v>41453</v>
      </c>
      <c r="B36">
        <v>0.16289999999999999</v>
      </c>
      <c r="C36">
        <f t="shared" si="0"/>
        <v>6.1387354205033766</v>
      </c>
      <c r="D36">
        <v>190</v>
      </c>
      <c r="E36">
        <f t="shared" si="1"/>
        <v>6.1577354205033767</v>
      </c>
      <c r="F36">
        <f t="shared" si="2"/>
        <v>0.1623973639189345</v>
      </c>
      <c r="G36" s="4">
        <f t="shared" si="3"/>
        <v>3.8242534501844979E-3</v>
      </c>
    </row>
    <row r="37" spans="1:7" x14ac:dyDescent="0.3">
      <c r="A37" s="1">
        <v>41486</v>
      </c>
      <c r="B37">
        <v>0.16309999999999999</v>
      </c>
      <c r="C37">
        <f t="shared" si="0"/>
        <v>6.1312078479460457</v>
      </c>
      <c r="D37">
        <v>125</v>
      </c>
      <c r="E37">
        <f t="shared" si="1"/>
        <v>6.1437078479460459</v>
      </c>
      <c r="F37">
        <f t="shared" si="2"/>
        <v>0.16276815642109649</v>
      </c>
      <c r="G37" s="4">
        <f t="shared" si="3"/>
        <v>4.3266470841006746E-3</v>
      </c>
    </row>
    <row r="38" spans="1:7" x14ac:dyDescent="0.3">
      <c r="A38" s="1">
        <v>41516</v>
      </c>
      <c r="B38">
        <v>0.16350000000000001</v>
      </c>
      <c r="C38">
        <f t="shared" si="0"/>
        <v>6.1162079510703364</v>
      </c>
      <c r="D38">
        <v>124.5</v>
      </c>
      <c r="E38">
        <f t="shared" si="1"/>
        <v>6.1286579510703367</v>
      </c>
      <c r="F38">
        <f t="shared" si="2"/>
        <v>0.16316785958422683</v>
      </c>
      <c r="G38" s="4">
        <f t="shared" si="3"/>
        <v>4.4962331391784661E-3</v>
      </c>
    </row>
    <row r="39" spans="1:7" x14ac:dyDescent="0.3">
      <c r="A39" s="1">
        <v>41547</v>
      </c>
      <c r="B39">
        <v>0.16350000000000001</v>
      </c>
      <c r="C39">
        <f t="shared" si="0"/>
        <v>6.1162079510703364</v>
      </c>
      <c r="D39">
        <v>59.5</v>
      </c>
      <c r="E39">
        <f t="shared" si="1"/>
        <v>6.1221579510703368</v>
      </c>
      <c r="F39">
        <f t="shared" si="2"/>
        <v>0.16334109769663327</v>
      </c>
      <c r="G39" s="4">
        <f t="shared" si="3"/>
        <v>2.0355750000000728E-3</v>
      </c>
    </row>
    <row r="40" spans="1:7" x14ac:dyDescent="0.3">
      <c r="A40" s="1">
        <v>41578</v>
      </c>
      <c r="B40">
        <v>0.16420000000000001</v>
      </c>
      <c r="C40">
        <f t="shared" si="0"/>
        <v>6.0901339829476244</v>
      </c>
      <c r="D40">
        <v>53.5</v>
      </c>
      <c r="E40">
        <f t="shared" si="1"/>
        <v>6.0954839829476244</v>
      </c>
      <c r="F40">
        <f t="shared" si="2"/>
        <v>0.16405588182948927</v>
      </c>
      <c r="G40" s="4">
        <f t="shared" si="3"/>
        <v>5.2583355657493322E-3</v>
      </c>
    </row>
    <row r="41" spans="1:7" x14ac:dyDescent="0.3">
      <c r="A41" s="1">
        <v>41607</v>
      </c>
      <c r="B41">
        <v>0.16439999999999999</v>
      </c>
      <c r="C41">
        <f t="shared" si="0"/>
        <v>6.0827250608272507</v>
      </c>
      <c r="D41">
        <v>44.5</v>
      </c>
      <c r="E41">
        <f t="shared" si="1"/>
        <v>6.087175060827251</v>
      </c>
      <c r="F41">
        <f t="shared" si="2"/>
        <v>0.16427981617208481</v>
      </c>
      <c r="G41" s="4">
        <f t="shared" si="3"/>
        <v>2.0975667965893396E-3</v>
      </c>
    </row>
    <row r="42" spans="1:7" x14ac:dyDescent="0.3">
      <c r="A42" s="1">
        <v>41639</v>
      </c>
      <c r="B42">
        <v>0.1651</v>
      </c>
      <c r="C42">
        <f t="shared" si="0"/>
        <v>6.0569351907934585</v>
      </c>
      <c r="D42">
        <v>35</v>
      </c>
      <c r="E42">
        <f t="shared" si="1"/>
        <v>6.0604351907934584</v>
      </c>
      <c r="F42">
        <f t="shared" si="2"/>
        <v>0.16500465206180609</v>
      </c>
      <c r="G42" s="4">
        <f t="shared" si="3"/>
        <v>4.9926025425791314E-3</v>
      </c>
    </row>
    <row r="43" spans="1:7" x14ac:dyDescent="0.3">
      <c r="A43" s="1">
        <v>41670</v>
      </c>
      <c r="B43">
        <v>0.16569999999999999</v>
      </c>
      <c r="C43">
        <f t="shared" si="0"/>
        <v>6.0350030175015092</v>
      </c>
      <c r="D43">
        <v>59.5</v>
      </c>
      <c r="E43">
        <f t="shared" si="1"/>
        <v>6.0409530175015096</v>
      </c>
      <c r="F43">
        <f t="shared" si="2"/>
        <v>0.16553679479096364</v>
      </c>
      <c r="G43" s="4">
        <f t="shared" si="3"/>
        <v>4.2141111144759647E-3</v>
      </c>
    </row>
    <row r="44" spans="1:7" x14ac:dyDescent="0.3">
      <c r="A44" s="1">
        <v>41698</v>
      </c>
      <c r="B44">
        <v>0.16339999999999999</v>
      </c>
      <c r="C44">
        <f t="shared" si="0"/>
        <v>6.119951040391677</v>
      </c>
      <c r="D44">
        <v>82.5</v>
      </c>
      <c r="E44">
        <f t="shared" si="1"/>
        <v>6.1282010403916773</v>
      </c>
      <c r="F44">
        <f t="shared" si="2"/>
        <v>0.1631800251670735</v>
      </c>
      <c r="G44" s="4">
        <f t="shared" si="3"/>
        <v>-1.2908276940253387E-2</v>
      </c>
    </row>
    <row r="45" spans="1:7" x14ac:dyDescent="0.3">
      <c r="A45" s="1">
        <v>41729</v>
      </c>
      <c r="B45">
        <v>0.16089999999999999</v>
      </c>
      <c r="C45">
        <f t="shared" si="0"/>
        <v>6.2150403977625857</v>
      </c>
      <c r="D45">
        <v>40.75</v>
      </c>
      <c r="E45">
        <f t="shared" si="1"/>
        <v>6.2191153977625859</v>
      </c>
      <c r="F45">
        <f t="shared" si="2"/>
        <v>0.16079457222481577</v>
      </c>
      <c r="G45" s="4">
        <f t="shared" si="3"/>
        <v>-1.397245260097911E-2</v>
      </c>
    </row>
    <row r="46" spans="1:7" x14ac:dyDescent="0.3">
      <c r="A46" s="1">
        <v>41759</v>
      </c>
      <c r="B46">
        <v>0.15989999999999999</v>
      </c>
      <c r="C46">
        <f t="shared" si="0"/>
        <v>6.2539086929330834</v>
      </c>
      <c r="D46">
        <v>72.5</v>
      </c>
      <c r="E46">
        <f t="shared" si="1"/>
        <v>6.2611586929330834</v>
      </c>
      <c r="F46">
        <f t="shared" si="2"/>
        <v>0.15971484657124113</v>
      </c>
      <c r="G46" s="4">
        <f t="shared" si="3"/>
        <v>-5.563447897762596E-3</v>
      </c>
    </row>
    <row r="47" spans="1:7" x14ac:dyDescent="0.3">
      <c r="A47" s="1">
        <v>41789</v>
      </c>
      <c r="B47">
        <v>0.16009999999999999</v>
      </c>
      <c r="C47">
        <f t="shared" si="0"/>
        <v>6.2460961898813245</v>
      </c>
      <c r="D47">
        <v>123.5</v>
      </c>
      <c r="E47">
        <f t="shared" si="1"/>
        <v>6.2584461898813242</v>
      </c>
      <c r="F47">
        <f t="shared" si="2"/>
        <v>0.15978406934564737</v>
      </c>
      <c r="G47" s="4">
        <f t="shared" si="3"/>
        <v>2.4115067385865252E-3</v>
      </c>
    </row>
    <row r="48" spans="1:7" x14ac:dyDescent="0.3">
      <c r="A48" s="1">
        <v>41820</v>
      </c>
      <c r="B48">
        <v>0.16120000000000001</v>
      </c>
      <c r="C48">
        <f t="shared" si="0"/>
        <v>6.2034739454094288</v>
      </c>
      <c r="D48">
        <v>147.5</v>
      </c>
      <c r="E48">
        <f t="shared" si="1"/>
        <v>6.218223945409429</v>
      </c>
      <c r="F48">
        <f t="shared" si="2"/>
        <v>0.16081762393556839</v>
      </c>
      <c r="G48" s="4">
        <f t="shared" si="3"/>
        <v>8.8615258088694318E-3</v>
      </c>
    </row>
    <row r="49" spans="1:7" x14ac:dyDescent="0.3">
      <c r="A49" s="1">
        <v>41851</v>
      </c>
      <c r="B49">
        <v>0.1618</v>
      </c>
      <c r="C49">
        <f t="shared" si="0"/>
        <v>6.1804697156983934</v>
      </c>
      <c r="D49">
        <v>162</v>
      </c>
      <c r="E49">
        <f t="shared" si="1"/>
        <v>6.1966697156983939</v>
      </c>
      <c r="F49">
        <f t="shared" si="2"/>
        <v>0.16137700504944458</v>
      </c>
      <c r="G49" s="4">
        <f t="shared" si="3"/>
        <v>6.1086343672456887E-3</v>
      </c>
    </row>
    <row r="50" spans="1:7" x14ac:dyDescent="0.3">
      <c r="A50" s="1">
        <v>41880</v>
      </c>
      <c r="B50">
        <v>0.16259999999999999</v>
      </c>
      <c r="C50">
        <f t="shared" si="0"/>
        <v>6.1500615006150063</v>
      </c>
      <c r="D50">
        <v>144.5</v>
      </c>
      <c r="E50">
        <f t="shared" si="1"/>
        <v>6.1645115006150064</v>
      </c>
      <c r="F50">
        <f t="shared" si="2"/>
        <v>0.16221885544381487</v>
      </c>
      <c r="G50" s="4">
        <f t="shared" si="3"/>
        <v>7.5784957725588079E-3</v>
      </c>
    </row>
    <row r="51" spans="1:7" x14ac:dyDescent="0.3">
      <c r="A51" s="1">
        <v>41912</v>
      </c>
      <c r="B51">
        <v>0.1618</v>
      </c>
      <c r="C51">
        <f t="shared" si="0"/>
        <v>6.1804697156983934</v>
      </c>
      <c r="D51">
        <v>162.5</v>
      </c>
      <c r="E51">
        <f t="shared" si="1"/>
        <v>6.1967197156983937</v>
      </c>
      <c r="F51">
        <f t="shared" si="2"/>
        <v>0.16137570293306322</v>
      </c>
      <c r="G51" s="4">
        <f t="shared" si="3"/>
        <v>-2.5820392004919659E-3</v>
      </c>
    </row>
    <row r="52" spans="1:7" x14ac:dyDescent="0.3">
      <c r="A52" s="1">
        <v>41943</v>
      </c>
      <c r="B52">
        <v>0.16320000000000001</v>
      </c>
      <c r="C52">
        <f t="shared" si="0"/>
        <v>6.1274509803921564</v>
      </c>
      <c r="D52">
        <v>154.5</v>
      </c>
      <c r="E52">
        <f t="shared" si="1"/>
        <v>6.1429009803921568</v>
      </c>
      <c r="F52">
        <f t="shared" si="2"/>
        <v>0.16278953595246801</v>
      </c>
      <c r="G52" s="4">
        <f t="shared" si="3"/>
        <v>1.1304657601977972E-2</v>
      </c>
    </row>
    <row r="53" spans="1:7" x14ac:dyDescent="0.3">
      <c r="A53" s="1">
        <v>41971</v>
      </c>
      <c r="B53">
        <v>0.1623</v>
      </c>
      <c r="C53">
        <f t="shared" si="0"/>
        <v>6.1614294516327792</v>
      </c>
      <c r="D53">
        <v>191.5</v>
      </c>
      <c r="E53">
        <f t="shared" si="1"/>
        <v>6.180579451632779</v>
      </c>
      <c r="F53">
        <f t="shared" si="2"/>
        <v>0.16179712724764359</v>
      </c>
      <c r="G53" s="4">
        <f t="shared" si="3"/>
        <v>-3.0071708823529255E-3</v>
      </c>
    </row>
    <row r="54" spans="1:7" x14ac:dyDescent="0.3">
      <c r="A54" s="1">
        <v>42004</v>
      </c>
      <c r="B54">
        <v>0.1608</v>
      </c>
      <c r="C54">
        <f t="shared" si="0"/>
        <v>6.2189054726368163</v>
      </c>
      <c r="D54">
        <v>175</v>
      </c>
      <c r="E54">
        <f t="shared" si="1"/>
        <v>6.2364054726368163</v>
      </c>
      <c r="F54">
        <f t="shared" si="2"/>
        <v>0.16034877853719631</v>
      </c>
      <c r="G54" s="4">
        <f t="shared" si="3"/>
        <v>-6.1628241774491013E-3</v>
      </c>
    </row>
    <row r="55" spans="1:7" x14ac:dyDescent="0.3">
      <c r="A55" s="1">
        <v>42034</v>
      </c>
      <c r="B55">
        <v>0.15920000000000001</v>
      </c>
      <c r="C55">
        <f t="shared" si="0"/>
        <v>6.2814070351758788</v>
      </c>
      <c r="D55">
        <v>257.5</v>
      </c>
      <c r="E55">
        <f t="shared" si="1"/>
        <v>6.3071570351758792</v>
      </c>
      <c r="F55">
        <f t="shared" si="2"/>
        <v>0.15855003996616271</v>
      </c>
      <c r="G55" s="4">
        <f t="shared" si="3"/>
        <v>-7.1642487562187497E-3</v>
      </c>
    </row>
    <row r="56" spans="1:7" x14ac:dyDescent="0.3">
      <c r="A56" s="1">
        <v>42062</v>
      </c>
      <c r="B56">
        <v>0.159</v>
      </c>
      <c r="C56">
        <f t="shared" si="0"/>
        <v>6.2893081761006284</v>
      </c>
      <c r="D56">
        <v>255</v>
      </c>
      <c r="E56">
        <f t="shared" si="1"/>
        <v>6.3148081761006285</v>
      </c>
      <c r="F56">
        <f t="shared" si="2"/>
        <v>0.1583579377414274</v>
      </c>
      <c r="G56" s="4">
        <f t="shared" si="3"/>
        <v>2.8379685929648614E-3</v>
      </c>
    </row>
    <row r="57" spans="1:7" x14ac:dyDescent="0.3">
      <c r="A57" s="1">
        <v>42094</v>
      </c>
      <c r="B57">
        <v>0.16109999999999999</v>
      </c>
      <c r="C57">
        <f t="shared" si="0"/>
        <v>6.2073246430788336</v>
      </c>
      <c r="D57">
        <v>238</v>
      </c>
      <c r="E57">
        <f t="shared" si="1"/>
        <v>6.2311246430788332</v>
      </c>
      <c r="F57">
        <f t="shared" si="2"/>
        <v>0.16048467287694865</v>
      </c>
      <c r="G57" s="4">
        <f t="shared" si="3"/>
        <v>1.7315597169811191E-2</v>
      </c>
    </row>
    <row r="58" spans="1:7" x14ac:dyDescent="0.3">
      <c r="A58" s="1">
        <v>42124</v>
      </c>
      <c r="B58">
        <v>0.16109999999999999</v>
      </c>
      <c r="C58">
        <f t="shared" si="0"/>
        <v>6.2073246430788336</v>
      </c>
      <c r="D58">
        <v>169.5</v>
      </c>
      <c r="E58">
        <f t="shared" si="1"/>
        <v>6.2242746430788332</v>
      </c>
      <c r="F58">
        <f t="shared" si="2"/>
        <v>0.16066129104890375</v>
      </c>
      <c r="G58" s="4">
        <f t="shared" si="3"/>
        <v>3.834180000000042E-3</v>
      </c>
    </row>
    <row r="59" spans="1:7" x14ac:dyDescent="0.3">
      <c r="A59" s="1">
        <v>42153</v>
      </c>
      <c r="B59">
        <v>0.16120000000000001</v>
      </c>
      <c r="C59">
        <f t="shared" si="0"/>
        <v>6.2034739454094288</v>
      </c>
      <c r="D59">
        <v>130</v>
      </c>
      <c r="E59">
        <f t="shared" si="1"/>
        <v>6.2164739454094287</v>
      </c>
      <c r="F59">
        <f t="shared" si="2"/>
        <v>0.16086289571573811</v>
      </c>
      <c r="G59" s="4">
        <f t="shared" si="3"/>
        <v>3.3530724643080225E-3</v>
      </c>
    </row>
    <row r="60" spans="1:7" x14ac:dyDescent="0.3">
      <c r="A60" s="1">
        <v>42185</v>
      </c>
      <c r="B60">
        <v>0.16109999999999999</v>
      </c>
      <c r="C60">
        <f t="shared" si="0"/>
        <v>6.2073246430788336</v>
      </c>
      <c r="D60">
        <v>157.5</v>
      </c>
      <c r="E60">
        <f t="shared" si="1"/>
        <v>6.2230746430788333</v>
      </c>
      <c r="F60">
        <f t="shared" si="2"/>
        <v>0.16069227148226126</v>
      </c>
      <c r="G60" s="4">
        <f t="shared" si="3"/>
        <v>1.4739526054589266E-3</v>
      </c>
    </row>
    <row r="61" spans="1:7" x14ac:dyDescent="0.3">
      <c r="A61" s="1">
        <v>42216</v>
      </c>
      <c r="B61">
        <v>0.16070000000000001</v>
      </c>
      <c r="C61">
        <f t="shared" si="0"/>
        <v>6.2227753578095824</v>
      </c>
      <c r="D61">
        <v>169.5</v>
      </c>
      <c r="E61">
        <f t="shared" si="1"/>
        <v>6.2397253578095819</v>
      </c>
      <c r="F61">
        <f t="shared" si="2"/>
        <v>0.16026346395974134</v>
      </c>
      <c r="G61" s="4">
        <f t="shared" si="3"/>
        <v>4.8095142768619754E-5</v>
      </c>
    </row>
    <row r="62" spans="1:7" x14ac:dyDescent="0.3">
      <c r="A62" s="1">
        <v>42247</v>
      </c>
      <c r="B62">
        <v>0.1552</v>
      </c>
      <c r="C62">
        <f t="shared" si="0"/>
        <v>6.4432989690721651</v>
      </c>
      <c r="D62">
        <v>235</v>
      </c>
      <c r="E62">
        <f t="shared" si="1"/>
        <v>6.4667989690721654</v>
      </c>
      <c r="F62">
        <f t="shared" si="2"/>
        <v>0.15463601153871598</v>
      </c>
      <c r="G62" s="4">
        <f t="shared" si="3"/>
        <v>-3.1594624467952907E-2</v>
      </c>
    </row>
    <row r="63" spans="1:7" x14ac:dyDescent="0.3">
      <c r="A63" s="1">
        <v>42277</v>
      </c>
      <c r="B63">
        <v>0.15720000000000001</v>
      </c>
      <c r="C63">
        <f t="shared" si="0"/>
        <v>6.3613231552162848</v>
      </c>
      <c r="D63">
        <v>300</v>
      </c>
      <c r="E63">
        <f t="shared" si="1"/>
        <v>6.391323155216285</v>
      </c>
      <c r="F63">
        <f t="shared" si="2"/>
        <v>0.15646212462029072</v>
      </c>
      <c r="G63" s="4">
        <f t="shared" si="3"/>
        <v>1.658079793814448E-2</v>
      </c>
    </row>
    <row r="64" spans="1:7" x14ac:dyDescent="0.3">
      <c r="A64" s="1">
        <v>42307</v>
      </c>
      <c r="B64">
        <v>0.15820000000000001</v>
      </c>
      <c r="C64">
        <f t="shared" si="0"/>
        <v>6.3211125158027812</v>
      </c>
      <c r="D64">
        <v>210</v>
      </c>
      <c r="E64">
        <f t="shared" si="1"/>
        <v>6.3421125158027811</v>
      </c>
      <c r="F64">
        <f t="shared" si="2"/>
        <v>0.15767616823389335</v>
      </c>
      <c r="G64" s="4">
        <f t="shared" si="3"/>
        <v>1.1107323155216288E-2</v>
      </c>
    </row>
    <row r="65" spans="1:7" x14ac:dyDescent="0.3">
      <c r="A65" s="1">
        <v>42338</v>
      </c>
      <c r="B65">
        <v>0.15570000000000001</v>
      </c>
      <c r="C65">
        <f t="shared" si="0"/>
        <v>6.422607578676943</v>
      </c>
      <c r="D65">
        <v>285</v>
      </c>
      <c r="E65">
        <f t="shared" si="1"/>
        <v>6.4511075786769432</v>
      </c>
      <c r="F65">
        <f t="shared" si="2"/>
        <v>0.15501214137326322</v>
      </c>
      <c r="G65" s="4">
        <f t="shared" si="3"/>
        <v>-1.253308128950689E-2</v>
      </c>
    </row>
    <row r="66" spans="1:7" x14ac:dyDescent="0.3">
      <c r="A66" s="1">
        <v>42369</v>
      </c>
      <c r="B66">
        <v>0.1522</v>
      </c>
      <c r="C66">
        <f t="shared" si="0"/>
        <v>6.5703022339027592</v>
      </c>
      <c r="D66">
        <v>335</v>
      </c>
      <c r="E66">
        <f t="shared" si="1"/>
        <v>6.6038022339027593</v>
      </c>
      <c r="F66">
        <f t="shared" si="2"/>
        <v>0.15142791449237772</v>
      </c>
      <c r="G66" s="4">
        <f t="shared" si="3"/>
        <v>-1.814142652536932E-2</v>
      </c>
    </row>
    <row r="67" spans="1:7" x14ac:dyDescent="0.3">
      <c r="A67" s="1">
        <v>42398</v>
      </c>
      <c r="B67">
        <v>0.1517</v>
      </c>
      <c r="C67">
        <f t="shared" ref="C67:C130" si="4">1/B67</f>
        <v>6.5919578114700066</v>
      </c>
      <c r="D67">
        <v>300</v>
      </c>
      <c r="E67">
        <f t="shared" ref="E67:E130" si="5">C67+D67/10^4</f>
        <v>6.6219578114700068</v>
      </c>
      <c r="F67">
        <f t="shared" ref="F67:F130" si="6">1/E67</f>
        <v>0.15101274101563783</v>
      </c>
      <c r="G67" s="4">
        <f t="shared" si="3"/>
        <v>1.7967988830485972E-3</v>
      </c>
    </row>
    <row r="68" spans="1:7" x14ac:dyDescent="0.3">
      <c r="A68" s="1">
        <v>42429</v>
      </c>
      <c r="B68">
        <v>0.15260000000000001</v>
      </c>
      <c r="C68">
        <f t="shared" si="4"/>
        <v>6.5530799475753598</v>
      </c>
      <c r="D68">
        <v>180</v>
      </c>
      <c r="E68">
        <f t="shared" si="5"/>
        <v>6.5710799475753596</v>
      </c>
      <c r="F68">
        <f t="shared" si="6"/>
        <v>0.15218198651942846</v>
      </c>
      <c r="G68" s="4">
        <f t="shared" ref="G68:G131" si="7">(B68-F67)/F67</f>
        <v>1.0510762030323108E-2</v>
      </c>
    </row>
    <row r="69" spans="1:7" x14ac:dyDescent="0.3">
      <c r="A69" s="1">
        <v>42460</v>
      </c>
      <c r="B69">
        <v>0.1547</v>
      </c>
      <c r="C69">
        <f t="shared" si="4"/>
        <v>6.4641241111829348</v>
      </c>
      <c r="D69">
        <v>65</v>
      </c>
      <c r="E69">
        <f t="shared" si="5"/>
        <v>6.4706241111829348</v>
      </c>
      <c r="F69">
        <f t="shared" si="6"/>
        <v>0.15454459767980308</v>
      </c>
      <c r="G69" s="4">
        <f t="shared" si="7"/>
        <v>1.6546067889908086E-2</v>
      </c>
    </row>
    <row r="70" spans="1:7" x14ac:dyDescent="0.3">
      <c r="A70" s="1">
        <v>42489</v>
      </c>
      <c r="B70">
        <v>0.1542</v>
      </c>
      <c r="C70">
        <f t="shared" si="4"/>
        <v>6.4850843060959793</v>
      </c>
      <c r="D70">
        <v>82.5</v>
      </c>
      <c r="E70">
        <f t="shared" si="5"/>
        <v>6.4933343060959796</v>
      </c>
      <c r="F70">
        <f t="shared" si="6"/>
        <v>0.15400408370491478</v>
      </c>
      <c r="G70" s="4">
        <f t="shared" si="7"/>
        <v>-2.2297620555914864E-3</v>
      </c>
    </row>
    <row r="71" spans="1:7" x14ac:dyDescent="0.3">
      <c r="A71" s="1">
        <v>42521</v>
      </c>
      <c r="B71">
        <v>0.15179999999999999</v>
      </c>
      <c r="C71">
        <f t="shared" si="4"/>
        <v>6.5876152832674579</v>
      </c>
      <c r="D71">
        <v>75</v>
      </c>
      <c r="E71">
        <f t="shared" si="5"/>
        <v>6.5951152832674582</v>
      </c>
      <c r="F71">
        <f t="shared" si="6"/>
        <v>0.1516273722367085</v>
      </c>
      <c r="G71" s="4">
        <f t="shared" si="7"/>
        <v>-1.4311852334630327E-2</v>
      </c>
    </row>
    <row r="72" spans="1:7" x14ac:dyDescent="0.3">
      <c r="A72" s="1">
        <v>42551</v>
      </c>
      <c r="B72">
        <v>0.15</v>
      </c>
      <c r="C72">
        <f t="shared" si="4"/>
        <v>6.666666666666667</v>
      </c>
      <c r="D72">
        <v>74</v>
      </c>
      <c r="E72">
        <f t="shared" si="5"/>
        <v>6.6740666666666666</v>
      </c>
      <c r="F72">
        <f t="shared" si="6"/>
        <v>0.14983368461008281</v>
      </c>
      <c r="G72" s="4">
        <f t="shared" si="7"/>
        <v>-1.0732707509881388E-2</v>
      </c>
    </row>
    <row r="73" spans="1:7" x14ac:dyDescent="0.3">
      <c r="A73" s="1">
        <v>42580</v>
      </c>
      <c r="B73">
        <v>0.15090000000000001</v>
      </c>
      <c r="C73">
        <f t="shared" si="4"/>
        <v>6.6269052352551352</v>
      </c>
      <c r="D73">
        <v>70</v>
      </c>
      <c r="E73">
        <f t="shared" si="5"/>
        <v>6.6339052352551349</v>
      </c>
      <c r="F73">
        <f t="shared" si="6"/>
        <v>0.15074077252198506</v>
      </c>
      <c r="G73" s="4">
        <f t="shared" si="7"/>
        <v>7.1166600000000134E-3</v>
      </c>
    </row>
    <row r="74" spans="1:7" x14ac:dyDescent="0.3">
      <c r="A74" s="1">
        <v>42613</v>
      </c>
      <c r="B74">
        <v>0.14940000000000001</v>
      </c>
      <c r="C74">
        <f t="shared" si="4"/>
        <v>6.6934404283801872</v>
      </c>
      <c r="D74">
        <v>82.5</v>
      </c>
      <c r="E74">
        <f t="shared" si="5"/>
        <v>6.7016904283801875</v>
      </c>
      <c r="F74">
        <f t="shared" si="6"/>
        <v>0.14921608371601583</v>
      </c>
      <c r="G74" s="4">
        <f t="shared" si="7"/>
        <v>-8.8945578528828954E-3</v>
      </c>
    </row>
    <row r="75" spans="1:7" x14ac:dyDescent="0.3">
      <c r="A75" s="1">
        <v>42643</v>
      </c>
      <c r="B75">
        <v>0.1497</v>
      </c>
      <c r="C75">
        <f t="shared" si="4"/>
        <v>6.6800267201068806</v>
      </c>
      <c r="D75">
        <v>155</v>
      </c>
      <c r="E75">
        <f t="shared" si="5"/>
        <v>6.6955267201068809</v>
      </c>
      <c r="F75">
        <f t="shared" si="6"/>
        <v>0.14935344772756534</v>
      </c>
      <c r="G75" s="4">
        <f t="shared" si="7"/>
        <v>3.2430571285140234E-3</v>
      </c>
    </row>
    <row r="76" spans="1:7" x14ac:dyDescent="0.3">
      <c r="A76" s="1">
        <v>42674</v>
      </c>
      <c r="B76">
        <v>0.14749999999999999</v>
      </c>
      <c r="C76">
        <f t="shared" si="4"/>
        <v>6.7796610169491531</v>
      </c>
      <c r="D76">
        <v>155</v>
      </c>
      <c r="E76">
        <f t="shared" si="5"/>
        <v>6.7951610169491534</v>
      </c>
      <c r="F76">
        <f t="shared" si="6"/>
        <v>0.14716354733989415</v>
      </c>
      <c r="G76" s="4">
        <f t="shared" si="7"/>
        <v>-1.2409808784235175E-2</v>
      </c>
    </row>
    <row r="77" spans="1:7" x14ac:dyDescent="0.3">
      <c r="A77" s="1">
        <v>42704</v>
      </c>
      <c r="B77">
        <v>0.14460000000000001</v>
      </c>
      <c r="C77">
        <f t="shared" si="4"/>
        <v>6.9156293222683258</v>
      </c>
      <c r="D77">
        <v>215</v>
      </c>
      <c r="E77">
        <f t="shared" si="5"/>
        <v>6.9371293222683255</v>
      </c>
      <c r="F77">
        <f t="shared" si="6"/>
        <v>0.14415184632496036</v>
      </c>
      <c r="G77" s="4">
        <f t="shared" si="7"/>
        <v>-1.7419716949152363E-2</v>
      </c>
    </row>
    <row r="78" spans="1:7" x14ac:dyDescent="0.3">
      <c r="A78" s="1">
        <v>42734</v>
      </c>
      <c r="B78">
        <v>0.1434</v>
      </c>
      <c r="C78">
        <f t="shared" si="4"/>
        <v>6.9735006973500697</v>
      </c>
      <c r="D78">
        <v>786.27</v>
      </c>
      <c r="E78">
        <f t="shared" si="5"/>
        <v>7.0521276973500697</v>
      </c>
      <c r="F78">
        <f t="shared" si="6"/>
        <v>0.14180117588848587</v>
      </c>
      <c r="G78" s="4">
        <f t="shared" si="7"/>
        <v>-5.215655186722225E-3</v>
      </c>
    </row>
    <row r="79" spans="1:7" x14ac:dyDescent="0.3">
      <c r="A79" s="1">
        <v>42766</v>
      </c>
      <c r="B79">
        <v>0.14649999999999999</v>
      </c>
      <c r="C79">
        <f t="shared" si="4"/>
        <v>6.8259385665529013</v>
      </c>
      <c r="D79">
        <v>335</v>
      </c>
      <c r="E79">
        <f t="shared" si="5"/>
        <v>6.8594385665529014</v>
      </c>
      <c r="F79">
        <f t="shared" si="6"/>
        <v>0.14578452599256</v>
      </c>
      <c r="G79" s="4">
        <f t="shared" si="7"/>
        <v>3.3136707661785066E-2</v>
      </c>
    </row>
    <row r="80" spans="1:7" x14ac:dyDescent="0.3">
      <c r="A80" s="1">
        <v>42794</v>
      </c>
      <c r="B80">
        <v>0.1459</v>
      </c>
      <c r="C80">
        <f t="shared" si="4"/>
        <v>6.8540095956134337</v>
      </c>
      <c r="D80">
        <v>173.75</v>
      </c>
      <c r="E80">
        <f t="shared" si="5"/>
        <v>6.8713845956134341</v>
      </c>
      <c r="F80">
        <f t="shared" si="6"/>
        <v>0.14553107690091771</v>
      </c>
      <c r="G80" s="4">
        <f t="shared" si="7"/>
        <v>7.9208686006833459E-4</v>
      </c>
    </row>
    <row r="81" spans="1:7" x14ac:dyDescent="0.3">
      <c r="A81" s="1">
        <v>42825</v>
      </c>
      <c r="B81">
        <v>0.14549999999999999</v>
      </c>
      <c r="C81">
        <f t="shared" si="4"/>
        <v>6.8728522336769764</v>
      </c>
      <c r="D81">
        <v>184</v>
      </c>
      <c r="E81">
        <f t="shared" si="5"/>
        <v>6.8912522336769761</v>
      </c>
      <c r="F81">
        <f t="shared" si="6"/>
        <v>0.14511150747219542</v>
      </c>
      <c r="G81" s="4">
        <f t="shared" si="7"/>
        <v>-2.1354133824542831E-4</v>
      </c>
    </row>
    <row r="82" spans="1:7" x14ac:dyDescent="0.3">
      <c r="A82" s="1">
        <v>42853</v>
      </c>
      <c r="B82">
        <v>0.14499999999999999</v>
      </c>
      <c r="C82">
        <f t="shared" si="4"/>
        <v>6.8965517241379315</v>
      </c>
      <c r="D82">
        <v>225</v>
      </c>
      <c r="E82">
        <f t="shared" si="5"/>
        <v>6.9190517241379315</v>
      </c>
      <c r="F82">
        <f t="shared" si="6"/>
        <v>0.14452847584754736</v>
      </c>
      <c r="G82" s="4">
        <f t="shared" si="7"/>
        <v>-7.6842611683844647E-4</v>
      </c>
    </row>
    <row r="83" spans="1:7" x14ac:dyDescent="0.3">
      <c r="A83" s="1">
        <v>42886</v>
      </c>
      <c r="B83">
        <v>0.1482</v>
      </c>
      <c r="C83">
        <f t="shared" si="4"/>
        <v>6.7476383265856947</v>
      </c>
      <c r="D83">
        <v>467.5</v>
      </c>
      <c r="E83">
        <f t="shared" si="5"/>
        <v>6.794388326585695</v>
      </c>
      <c r="F83">
        <f t="shared" si="6"/>
        <v>0.14718028348293102</v>
      </c>
      <c r="G83" s="4">
        <f t="shared" si="7"/>
        <v>2.5403465517241521E-2</v>
      </c>
    </row>
    <row r="84" spans="1:7" x14ac:dyDescent="0.3">
      <c r="A84" s="1">
        <v>42916</v>
      </c>
      <c r="B84">
        <v>0.14749999999999999</v>
      </c>
      <c r="C84">
        <f t="shared" si="4"/>
        <v>6.7796610169491531</v>
      </c>
      <c r="D84">
        <v>167.75</v>
      </c>
      <c r="E84">
        <f t="shared" si="5"/>
        <v>6.7964360169491531</v>
      </c>
      <c r="F84">
        <f t="shared" si="6"/>
        <v>0.14713593970518821</v>
      </c>
      <c r="G84" s="4">
        <f t="shared" si="7"/>
        <v>2.1722781713900369E-3</v>
      </c>
    </row>
    <row r="85" spans="1:7" x14ac:dyDescent="0.3">
      <c r="A85" s="1">
        <v>42947</v>
      </c>
      <c r="B85">
        <v>0.1487</v>
      </c>
      <c r="C85">
        <f t="shared" si="4"/>
        <v>6.7249495628782787</v>
      </c>
      <c r="D85">
        <v>100</v>
      </c>
      <c r="E85">
        <f t="shared" si="5"/>
        <v>6.7349495628782785</v>
      </c>
      <c r="F85">
        <f t="shared" si="6"/>
        <v>0.14847921141262943</v>
      </c>
      <c r="G85" s="4">
        <f t="shared" si="7"/>
        <v>1.0630035720338974E-2</v>
      </c>
    </row>
    <row r="86" spans="1:7" x14ac:dyDescent="0.3">
      <c r="A86" s="1">
        <v>42978</v>
      </c>
      <c r="B86">
        <v>0.15160000000000001</v>
      </c>
      <c r="C86">
        <f t="shared" si="4"/>
        <v>6.5963060686015824</v>
      </c>
      <c r="D86">
        <v>104</v>
      </c>
      <c r="E86">
        <f t="shared" si="5"/>
        <v>6.6067060686015822</v>
      </c>
      <c r="F86">
        <f t="shared" si="6"/>
        <v>0.15136135762910766</v>
      </c>
      <c r="G86" s="4">
        <f t="shared" si="7"/>
        <v>2.101835373234702E-2</v>
      </c>
    </row>
    <row r="87" spans="1:7" x14ac:dyDescent="0.3">
      <c r="A87" s="1">
        <v>43007</v>
      </c>
      <c r="B87">
        <v>0.15029999999999999</v>
      </c>
      <c r="C87">
        <f t="shared" si="4"/>
        <v>6.6533599467731213</v>
      </c>
      <c r="D87">
        <v>125</v>
      </c>
      <c r="E87">
        <f t="shared" si="5"/>
        <v>6.6658599467731214</v>
      </c>
      <c r="F87">
        <f t="shared" si="6"/>
        <v>0.15001815339431041</v>
      </c>
      <c r="G87" s="4">
        <f t="shared" si="7"/>
        <v>-7.0120778891822151E-3</v>
      </c>
    </row>
    <row r="88" spans="1:7" x14ac:dyDescent="0.3">
      <c r="A88" s="1">
        <v>43039</v>
      </c>
      <c r="B88">
        <v>0.15079999999999999</v>
      </c>
      <c r="C88">
        <f t="shared" si="4"/>
        <v>6.6312997347480112</v>
      </c>
      <c r="D88">
        <v>123</v>
      </c>
      <c r="E88">
        <f t="shared" si="5"/>
        <v>6.6435997347480109</v>
      </c>
      <c r="F88">
        <f t="shared" si="6"/>
        <v>0.150520807984518</v>
      </c>
      <c r="G88" s="4">
        <f t="shared" si="7"/>
        <v>5.2116799733867196E-3</v>
      </c>
    </row>
    <row r="89" spans="1:7" x14ac:dyDescent="0.3">
      <c r="A89" s="1">
        <v>43069</v>
      </c>
      <c r="B89">
        <v>0.15129999999999999</v>
      </c>
      <c r="C89">
        <f t="shared" si="4"/>
        <v>6.6093853271645742</v>
      </c>
      <c r="D89">
        <v>140</v>
      </c>
      <c r="E89">
        <f t="shared" si="5"/>
        <v>6.6233853271645744</v>
      </c>
      <c r="F89">
        <f t="shared" si="6"/>
        <v>0.15098019375359112</v>
      </c>
      <c r="G89" s="4">
        <f t="shared" si="7"/>
        <v>5.1766398673739073E-3</v>
      </c>
    </row>
    <row r="90" spans="1:7" x14ac:dyDescent="0.3">
      <c r="A90" s="1">
        <v>43098</v>
      </c>
      <c r="B90">
        <v>0.1535</v>
      </c>
      <c r="C90">
        <f t="shared" si="4"/>
        <v>6.5146579804560263</v>
      </c>
      <c r="D90">
        <v>102</v>
      </c>
      <c r="E90">
        <f t="shared" si="5"/>
        <v>6.5248579804560265</v>
      </c>
      <c r="F90">
        <f t="shared" si="6"/>
        <v>0.15326004075419114</v>
      </c>
      <c r="G90" s="4">
        <f t="shared" si="7"/>
        <v>1.668964771976221E-2</v>
      </c>
    </row>
    <row r="91" spans="1:7" x14ac:dyDescent="0.3">
      <c r="A91" s="1">
        <v>43131</v>
      </c>
      <c r="B91">
        <v>0.15870000000000001</v>
      </c>
      <c r="C91">
        <f t="shared" si="4"/>
        <v>6.30119722747322</v>
      </c>
      <c r="D91">
        <v>102.5</v>
      </c>
      <c r="E91">
        <f t="shared" si="5"/>
        <v>6.3114472274732201</v>
      </c>
      <c r="F91">
        <f t="shared" si="6"/>
        <v>0.15844226592707308</v>
      </c>
      <c r="G91" s="4">
        <f t="shared" si="7"/>
        <v>3.5494961498371537E-2</v>
      </c>
    </row>
    <row r="92" spans="1:7" x14ac:dyDescent="0.3">
      <c r="A92" s="1">
        <v>43159</v>
      </c>
      <c r="B92">
        <v>0.158</v>
      </c>
      <c r="C92">
        <f t="shared" si="4"/>
        <v>6.3291139240506329</v>
      </c>
      <c r="D92">
        <v>110</v>
      </c>
      <c r="E92">
        <f t="shared" si="5"/>
        <v>6.340113924050633</v>
      </c>
      <c r="F92">
        <f t="shared" si="6"/>
        <v>0.1577258724337102</v>
      </c>
      <c r="G92" s="4">
        <f t="shared" si="7"/>
        <v>-2.7913380592312778E-3</v>
      </c>
    </row>
    <row r="93" spans="1:7" x14ac:dyDescent="0.3">
      <c r="A93" s="1">
        <v>43189</v>
      </c>
      <c r="B93">
        <v>0.15970000000000001</v>
      </c>
      <c r="C93">
        <f t="shared" si="4"/>
        <v>6.261740763932373</v>
      </c>
      <c r="D93">
        <v>91</v>
      </c>
      <c r="E93">
        <f t="shared" si="5"/>
        <v>6.2708407639323731</v>
      </c>
      <c r="F93">
        <f t="shared" si="6"/>
        <v>0.15946824957693734</v>
      </c>
      <c r="G93" s="4">
        <f t="shared" si="7"/>
        <v>1.2516193670886232E-2</v>
      </c>
    </row>
    <row r="94" spans="1:7" x14ac:dyDescent="0.3">
      <c r="A94" s="1">
        <v>43220</v>
      </c>
      <c r="B94">
        <v>0.1583</v>
      </c>
      <c r="C94">
        <f t="shared" si="4"/>
        <v>6.3171193935565384</v>
      </c>
      <c r="D94">
        <v>96.5</v>
      </c>
      <c r="E94">
        <f t="shared" si="5"/>
        <v>6.3267693935565381</v>
      </c>
      <c r="F94">
        <f t="shared" si="6"/>
        <v>0.1580585505484749</v>
      </c>
      <c r="G94" s="4">
        <f t="shared" si="7"/>
        <v>-7.3259070695054287E-3</v>
      </c>
    </row>
    <row r="95" spans="1:7" x14ac:dyDescent="0.3">
      <c r="A95" s="1">
        <v>43251</v>
      </c>
      <c r="B95">
        <v>0.156</v>
      </c>
      <c r="C95">
        <f t="shared" si="4"/>
        <v>6.4102564102564106</v>
      </c>
      <c r="D95">
        <v>87.5</v>
      </c>
      <c r="E95">
        <f t="shared" si="5"/>
        <v>6.4190064102564106</v>
      </c>
      <c r="F95">
        <f t="shared" si="6"/>
        <v>0.1557873502668857</v>
      </c>
      <c r="G95" s="4">
        <f t="shared" si="7"/>
        <v>-1.3023974605180002E-2</v>
      </c>
    </row>
    <row r="96" spans="1:7" x14ac:dyDescent="0.3">
      <c r="A96" s="1">
        <v>43280</v>
      </c>
      <c r="B96">
        <v>0.1507</v>
      </c>
      <c r="C96">
        <f t="shared" si="4"/>
        <v>6.6357000663570007</v>
      </c>
      <c r="D96">
        <v>66.5</v>
      </c>
      <c r="E96">
        <f t="shared" si="5"/>
        <v>6.6423500663570003</v>
      </c>
      <c r="F96">
        <f t="shared" si="6"/>
        <v>0.15054912644019233</v>
      </c>
      <c r="G96" s="4">
        <f t="shared" si="7"/>
        <v>-3.2655733974358961E-2</v>
      </c>
    </row>
    <row r="97" spans="1:7" x14ac:dyDescent="0.3">
      <c r="A97" s="1">
        <v>43312</v>
      </c>
      <c r="B97">
        <v>0.1469</v>
      </c>
      <c r="C97">
        <f t="shared" si="4"/>
        <v>6.8073519400953026</v>
      </c>
      <c r="D97">
        <v>18</v>
      </c>
      <c r="E97">
        <f t="shared" si="5"/>
        <v>6.8091519400953029</v>
      </c>
      <c r="F97">
        <f t="shared" si="6"/>
        <v>0.14686116697022975</v>
      </c>
      <c r="G97" s="4">
        <f t="shared" si="7"/>
        <v>-2.4238775252156605E-2</v>
      </c>
    </row>
    <row r="98" spans="1:7" x14ac:dyDescent="0.3">
      <c r="A98" s="1">
        <v>43343</v>
      </c>
      <c r="B98">
        <v>0.14630000000000001</v>
      </c>
      <c r="C98">
        <f t="shared" si="4"/>
        <v>6.8352699931647294</v>
      </c>
      <c r="D98">
        <v>45.5</v>
      </c>
      <c r="E98">
        <f t="shared" si="5"/>
        <v>6.8398199931647294</v>
      </c>
      <c r="F98">
        <f t="shared" si="6"/>
        <v>0.14620267799435291</v>
      </c>
      <c r="G98" s="4">
        <f t="shared" si="7"/>
        <v>-3.8210711640571807E-3</v>
      </c>
    </row>
    <row r="99" spans="1:7" x14ac:dyDescent="0.3">
      <c r="A99" s="1">
        <v>43371</v>
      </c>
      <c r="B99">
        <v>0.1454</v>
      </c>
      <c r="C99">
        <f t="shared" si="4"/>
        <v>6.8775790921595599</v>
      </c>
      <c r="D99">
        <v>142.5</v>
      </c>
      <c r="E99">
        <f t="shared" si="5"/>
        <v>6.8918290921595595</v>
      </c>
      <c r="F99">
        <f t="shared" si="6"/>
        <v>0.14509936137819246</v>
      </c>
      <c r="G99" s="4">
        <f t="shared" si="7"/>
        <v>-5.4901729938483801E-3</v>
      </c>
    </row>
    <row r="100" spans="1:7" x14ac:dyDescent="0.3">
      <c r="A100" s="1">
        <v>43404</v>
      </c>
      <c r="B100">
        <v>0.1434</v>
      </c>
      <c r="C100">
        <f t="shared" si="4"/>
        <v>6.9735006973500697</v>
      </c>
      <c r="D100">
        <v>87.5</v>
      </c>
      <c r="E100">
        <f t="shared" si="5"/>
        <v>6.9822506973500698</v>
      </c>
      <c r="F100">
        <f t="shared" si="6"/>
        <v>0.14322029433568231</v>
      </c>
      <c r="G100" s="4">
        <f t="shared" si="7"/>
        <v>-1.1711708184319158E-2</v>
      </c>
    </row>
    <row r="101" spans="1:7" x14ac:dyDescent="0.3">
      <c r="A101" s="1">
        <v>43434</v>
      </c>
      <c r="B101">
        <v>0.1439</v>
      </c>
      <c r="C101">
        <f t="shared" si="4"/>
        <v>6.9492703266157054</v>
      </c>
      <c r="D101">
        <v>75</v>
      </c>
      <c r="E101">
        <f t="shared" si="5"/>
        <v>6.9567703266157057</v>
      </c>
      <c r="F101">
        <f t="shared" si="6"/>
        <v>0.1437448633562228</v>
      </c>
      <c r="G101" s="4">
        <f t="shared" si="7"/>
        <v>4.7458753486749614E-3</v>
      </c>
    </row>
    <row r="102" spans="1:7" x14ac:dyDescent="0.3">
      <c r="A102" s="1">
        <v>43465</v>
      </c>
      <c r="B102">
        <v>0.14560000000000001</v>
      </c>
      <c r="C102">
        <f t="shared" si="4"/>
        <v>6.8681318681318677</v>
      </c>
      <c r="D102">
        <v>7.5</v>
      </c>
      <c r="E102">
        <f t="shared" si="5"/>
        <v>6.8688818681318677</v>
      </c>
      <c r="F102">
        <f t="shared" si="6"/>
        <v>0.14558410221603801</v>
      </c>
      <c r="G102" s="4">
        <f t="shared" si="7"/>
        <v>1.2905759555246712E-2</v>
      </c>
    </row>
    <row r="103" spans="1:7" x14ac:dyDescent="0.3">
      <c r="A103" s="1">
        <v>43496</v>
      </c>
      <c r="B103">
        <v>0.14899999999999999</v>
      </c>
      <c r="C103">
        <f t="shared" si="4"/>
        <v>6.7114093959731544</v>
      </c>
      <c r="D103">
        <v>-34</v>
      </c>
      <c r="E103">
        <f t="shared" si="5"/>
        <v>6.7080093959731544</v>
      </c>
      <c r="F103">
        <f t="shared" si="6"/>
        <v>0.1490755216592726</v>
      </c>
      <c r="G103" s="4">
        <f t="shared" si="7"/>
        <v>2.3463398351648269E-2</v>
      </c>
    </row>
    <row r="104" spans="1:7" x14ac:dyDescent="0.3">
      <c r="A104" s="1">
        <v>43524</v>
      </c>
      <c r="B104">
        <v>0.1492</v>
      </c>
      <c r="C104">
        <f t="shared" si="4"/>
        <v>6.7024128686327078</v>
      </c>
      <c r="D104">
        <v>-2</v>
      </c>
      <c r="E104">
        <f t="shared" si="5"/>
        <v>6.7022128686327074</v>
      </c>
      <c r="F104">
        <f t="shared" si="6"/>
        <v>0.14920445226085546</v>
      </c>
      <c r="G104" s="4">
        <f t="shared" si="7"/>
        <v>8.3500187919455997E-4</v>
      </c>
    </row>
    <row r="105" spans="1:7" x14ac:dyDescent="0.3">
      <c r="A105" s="1">
        <v>43553</v>
      </c>
      <c r="B105">
        <v>0.1487</v>
      </c>
      <c r="C105">
        <f t="shared" si="4"/>
        <v>6.7249495628782787</v>
      </c>
      <c r="D105">
        <v>1</v>
      </c>
      <c r="E105">
        <f t="shared" si="5"/>
        <v>6.7250495628782785</v>
      </c>
      <c r="F105">
        <f t="shared" si="6"/>
        <v>0.1486977888638796</v>
      </c>
      <c r="G105" s="4">
        <f t="shared" si="7"/>
        <v>-3.380946434316359E-3</v>
      </c>
    </row>
    <row r="106" spans="1:7" x14ac:dyDescent="0.3">
      <c r="A106" s="1">
        <v>43585</v>
      </c>
      <c r="B106">
        <v>0.1484</v>
      </c>
      <c r="C106">
        <f t="shared" si="4"/>
        <v>6.7385444743935308</v>
      </c>
      <c r="D106">
        <v>-5</v>
      </c>
      <c r="E106">
        <f t="shared" si="5"/>
        <v>6.738044474393531</v>
      </c>
      <c r="F106">
        <f t="shared" si="6"/>
        <v>0.14841101209709762</v>
      </c>
      <c r="G106" s="4">
        <f t="shared" si="7"/>
        <v>-2.0026448688635233E-3</v>
      </c>
    </row>
    <row r="107" spans="1:7" x14ac:dyDescent="0.3">
      <c r="A107" s="1">
        <v>43616</v>
      </c>
      <c r="B107">
        <v>0.14419999999999999</v>
      </c>
      <c r="C107">
        <f t="shared" si="4"/>
        <v>6.934812760055479</v>
      </c>
      <c r="D107">
        <v>16</v>
      </c>
      <c r="E107">
        <f t="shared" si="5"/>
        <v>6.9364127600554788</v>
      </c>
      <c r="F107">
        <f t="shared" si="6"/>
        <v>0.1441667378502432</v>
      </c>
      <c r="G107" s="4">
        <f t="shared" si="7"/>
        <v>-2.8373986792452944E-2</v>
      </c>
    </row>
    <row r="108" spans="1:7" x14ac:dyDescent="0.3">
      <c r="A108" s="1">
        <v>43644</v>
      </c>
      <c r="B108">
        <v>0.14560000000000001</v>
      </c>
      <c r="C108">
        <f t="shared" si="4"/>
        <v>6.8681318681318677</v>
      </c>
      <c r="D108">
        <v>4</v>
      </c>
      <c r="E108">
        <f t="shared" si="5"/>
        <v>6.8685318681318677</v>
      </c>
      <c r="F108">
        <f t="shared" si="6"/>
        <v>0.14559152074983153</v>
      </c>
      <c r="G108" s="4">
        <f t="shared" si="7"/>
        <v>9.9416978640776733E-3</v>
      </c>
    </row>
    <row r="109" spans="1:7" x14ac:dyDescent="0.3">
      <c r="A109" s="1">
        <v>43677</v>
      </c>
      <c r="B109">
        <v>0.1447</v>
      </c>
      <c r="C109">
        <f t="shared" si="4"/>
        <v>6.9108500345542501</v>
      </c>
      <c r="D109">
        <v>6.5</v>
      </c>
      <c r="E109">
        <f t="shared" si="5"/>
        <v>6.9115000345542503</v>
      </c>
      <c r="F109">
        <f t="shared" si="6"/>
        <v>0.14468639152144544</v>
      </c>
      <c r="G109" s="4">
        <f t="shared" si="7"/>
        <v>-6.1234386813187299E-3</v>
      </c>
    </row>
    <row r="110" spans="1:7" x14ac:dyDescent="0.3">
      <c r="A110" s="1">
        <v>43707</v>
      </c>
      <c r="B110">
        <v>0.1396</v>
      </c>
      <c r="C110">
        <f t="shared" si="4"/>
        <v>7.1633237822349569</v>
      </c>
      <c r="D110">
        <v>78.5</v>
      </c>
      <c r="E110">
        <f t="shared" si="5"/>
        <v>7.1711737822349573</v>
      </c>
      <c r="F110">
        <f t="shared" si="6"/>
        <v>0.13944718540739945</v>
      </c>
      <c r="G110" s="4">
        <f t="shared" si="7"/>
        <v>-3.5154595176226593E-2</v>
      </c>
    </row>
    <row r="111" spans="1:7" x14ac:dyDescent="0.3">
      <c r="A111" s="1">
        <v>43738</v>
      </c>
      <c r="B111">
        <v>0.14000000000000001</v>
      </c>
      <c r="C111">
        <f t="shared" si="4"/>
        <v>7.1428571428571423</v>
      </c>
      <c r="D111">
        <v>62.71</v>
      </c>
      <c r="E111">
        <f t="shared" si="5"/>
        <v>7.1491281428571423</v>
      </c>
      <c r="F111">
        <f t="shared" si="6"/>
        <v>0.13987719621435557</v>
      </c>
      <c r="G111" s="4">
        <f t="shared" si="7"/>
        <v>3.9643295128940674E-3</v>
      </c>
    </row>
    <row r="112" spans="1:7" x14ac:dyDescent="0.3">
      <c r="A112" s="1">
        <v>43769</v>
      </c>
      <c r="B112">
        <v>0.1419</v>
      </c>
      <c r="C112">
        <f t="shared" si="4"/>
        <v>7.0472163495419311</v>
      </c>
      <c r="D112">
        <v>55</v>
      </c>
      <c r="E112">
        <f t="shared" si="5"/>
        <v>7.0527163495419307</v>
      </c>
      <c r="F112">
        <f t="shared" si="6"/>
        <v>0.14178934050919961</v>
      </c>
      <c r="G112" s="4">
        <f t="shared" si="7"/>
        <v>1.4461283471428547E-2</v>
      </c>
    </row>
    <row r="113" spans="1:7" x14ac:dyDescent="0.3">
      <c r="A113" s="1">
        <v>43798</v>
      </c>
      <c r="B113">
        <v>0.14230000000000001</v>
      </c>
      <c r="C113">
        <f t="shared" si="4"/>
        <v>7.0274068868587483</v>
      </c>
      <c r="D113">
        <v>61</v>
      </c>
      <c r="E113">
        <f t="shared" si="5"/>
        <v>7.0335068868587483</v>
      </c>
      <c r="F113">
        <f t="shared" si="6"/>
        <v>0.14217658645765718</v>
      </c>
      <c r="G113" s="4">
        <f t="shared" si="7"/>
        <v>3.6015365398167163E-3</v>
      </c>
    </row>
    <row r="114" spans="1:7" x14ac:dyDescent="0.3">
      <c r="A114" s="1">
        <v>43830</v>
      </c>
      <c r="B114">
        <v>0.14360000000000001</v>
      </c>
      <c r="C114">
        <f t="shared" si="4"/>
        <v>6.9637883008356543</v>
      </c>
      <c r="D114">
        <v>43.5</v>
      </c>
      <c r="E114">
        <f t="shared" si="5"/>
        <v>6.9681383008356539</v>
      </c>
      <c r="F114">
        <f t="shared" si="6"/>
        <v>0.14351035482175706</v>
      </c>
      <c r="G114" s="4">
        <f t="shared" si="7"/>
        <v>1.0011588952916243E-2</v>
      </c>
    </row>
    <row r="115" spans="1:7" x14ac:dyDescent="0.3">
      <c r="A115" s="1">
        <v>43861</v>
      </c>
      <c r="B115">
        <v>0.1429</v>
      </c>
      <c r="C115">
        <f t="shared" si="4"/>
        <v>6.9979006298110571</v>
      </c>
      <c r="D115">
        <v>85</v>
      </c>
      <c r="E115">
        <f t="shared" si="5"/>
        <v>7.0064006298110568</v>
      </c>
      <c r="F115">
        <f t="shared" si="6"/>
        <v>0.14272663709025832</v>
      </c>
      <c r="G115" s="4">
        <f t="shared" si="7"/>
        <v>-4.2530368105850791E-3</v>
      </c>
    </row>
    <row r="116" spans="1:7" x14ac:dyDescent="0.3">
      <c r="A116" s="1">
        <v>43889</v>
      </c>
      <c r="B116">
        <v>0.14330000000000001</v>
      </c>
      <c r="C116">
        <f t="shared" si="4"/>
        <v>6.9783670621074663</v>
      </c>
      <c r="D116">
        <v>57.75</v>
      </c>
      <c r="E116">
        <f t="shared" si="5"/>
        <v>6.9841420621074661</v>
      </c>
      <c r="F116">
        <f t="shared" si="6"/>
        <v>0.1431815090683092</v>
      </c>
      <c r="G116" s="4">
        <f t="shared" si="7"/>
        <v>4.0172102519244945E-3</v>
      </c>
    </row>
    <row r="117" spans="1:7" x14ac:dyDescent="0.3">
      <c r="A117" s="1">
        <v>43921</v>
      </c>
      <c r="B117">
        <v>0.14099999999999999</v>
      </c>
      <c r="C117">
        <f t="shared" si="4"/>
        <v>7.0921985815602842</v>
      </c>
      <c r="D117">
        <v>6</v>
      </c>
      <c r="E117">
        <f t="shared" si="5"/>
        <v>7.0927985815602845</v>
      </c>
      <c r="F117">
        <f t="shared" si="6"/>
        <v>0.14098807240907418</v>
      </c>
      <c r="G117" s="4">
        <f t="shared" si="7"/>
        <v>-1.5235969242847277E-2</v>
      </c>
    </row>
    <row r="118" spans="1:7" x14ac:dyDescent="0.3">
      <c r="A118" s="1">
        <v>43951</v>
      </c>
      <c r="B118">
        <v>0.14119999999999999</v>
      </c>
      <c r="C118">
        <f t="shared" si="4"/>
        <v>7.0821529745042495</v>
      </c>
      <c r="D118">
        <v>59</v>
      </c>
      <c r="E118">
        <f t="shared" si="5"/>
        <v>7.0880529745042491</v>
      </c>
      <c r="F118">
        <f t="shared" si="6"/>
        <v>0.14108246701837635</v>
      </c>
      <c r="G118" s="4">
        <f t="shared" si="7"/>
        <v>1.5031597163120657E-3</v>
      </c>
    </row>
    <row r="119" spans="1:7" x14ac:dyDescent="0.3">
      <c r="A119" s="1">
        <v>43980</v>
      </c>
      <c r="B119">
        <v>0.14019999999999999</v>
      </c>
      <c r="C119">
        <f t="shared" si="4"/>
        <v>7.132667617689016</v>
      </c>
      <c r="D119">
        <v>153</v>
      </c>
      <c r="E119">
        <f t="shared" si="5"/>
        <v>7.1479676176890159</v>
      </c>
      <c r="F119">
        <f t="shared" si="6"/>
        <v>0.13989990630697716</v>
      </c>
      <c r="G119" s="4">
        <f t="shared" si="7"/>
        <v>-6.2549729745044105E-3</v>
      </c>
    </row>
    <row r="120" spans="1:7" x14ac:dyDescent="0.3">
      <c r="A120" s="1">
        <v>44012</v>
      </c>
      <c r="B120">
        <v>0.1414</v>
      </c>
      <c r="C120">
        <f t="shared" si="4"/>
        <v>7.0721357850070721</v>
      </c>
      <c r="D120">
        <v>116.5</v>
      </c>
      <c r="E120">
        <f t="shared" si="5"/>
        <v>7.0837857850070725</v>
      </c>
      <c r="F120">
        <f t="shared" si="6"/>
        <v>0.14116745344227</v>
      </c>
      <c r="G120" s="4">
        <f t="shared" si="7"/>
        <v>1.0722621141226798E-2</v>
      </c>
    </row>
    <row r="121" spans="1:7" x14ac:dyDescent="0.3">
      <c r="A121" s="1">
        <v>44043</v>
      </c>
      <c r="B121">
        <v>0.1431</v>
      </c>
      <c r="C121">
        <f t="shared" si="4"/>
        <v>6.9881201956673653</v>
      </c>
      <c r="D121">
        <v>137.5</v>
      </c>
      <c r="E121">
        <f t="shared" si="5"/>
        <v>7.0018701956673652</v>
      </c>
      <c r="F121">
        <f t="shared" si="6"/>
        <v>0.14281898579307889</v>
      </c>
      <c r="G121" s="4">
        <f t="shared" si="7"/>
        <v>1.3689745834512183E-2</v>
      </c>
    </row>
    <row r="122" spans="1:7" x14ac:dyDescent="0.3">
      <c r="A122" s="1">
        <v>44074</v>
      </c>
      <c r="B122">
        <v>0.14599999999999999</v>
      </c>
      <c r="C122">
        <f t="shared" si="4"/>
        <v>6.8493150684931514</v>
      </c>
      <c r="D122">
        <v>173.5</v>
      </c>
      <c r="E122">
        <f t="shared" si="5"/>
        <v>6.8666650684931518</v>
      </c>
      <c r="F122">
        <f t="shared" si="6"/>
        <v>0.14563110185588882</v>
      </c>
      <c r="G122" s="4">
        <f t="shared" si="7"/>
        <v>2.2273048567435321E-2</v>
      </c>
    </row>
    <row r="123" spans="1:7" x14ac:dyDescent="0.3">
      <c r="A123" s="1">
        <v>44104</v>
      </c>
      <c r="B123">
        <v>0.1474</v>
      </c>
      <c r="C123">
        <f t="shared" si="4"/>
        <v>6.7842605156037994</v>
      </c>
      <c r="D123">
        <v>153</v>
      </c>
      <c r="E123">
        <f t="shared" si="5"/>
        <v>6.7995605156037993</v>
      </c>
      <c r="F123">
        <f t="shared" si="6"/>
        <v>0.14706832856405577</v>
      </c>
      <c r="G123" s="4">
        <f t="shared" si="7"/>
        <v>1.2146431095890649E-2</v>
      </c>
    </row>
    <row r="124" spans="1:7" x14ac:dyDescent="0.3">
      <c r="A124" s="1">
        <v>44134</v>
      </c>
      <c r="B124">
        <v>0.14929999999999999</v>
      </c>
      <c r="C124">
        <f t="shared" si="4"/>
        <v>6.697923643670463</v>
      </c>
      <c r="D124">
        <v>142.13</v>
      </c>
      <c r="E124">
        <f t="shared" si="5"/>
        <v>6.7121366436704628</v>
      </c>
      <c r="F124">
        <f t="shared" si="6"/>
        <v>0.14898385612322104</v>
      </c>
      <c r="G124" s="4">
        <f t="shared" si="7"/>
        <v>1.5174384979647123E-2</v>
      </c>
    </row>
    <row r="125" spans="1:7" x14ac:dyDescent="0.3">
      <c r="A125" s="1">
        <v>44165</v>
      </c>
      <c r="B125">
        <v>0.15190000000000001</v>
      </c>
      <c r="C125">
        <f t="shared" si="4"/>
        <v>6.5832784726793943</v>
      </c>
      <c r="D125">
        <v>158.88999999999999</v>
      </c>
      <c r="E125">
        <f t="shared" si="5"/>
        <v>6.5991674726793939</v>
      </c>
      <c r="F125">
        <f t="shared" si="6"/>
        <v>0.15153426612372062</v>
      </c>
      <c r="G125" s="4">
        <f t="shared" si="7"/>
        <v>1.9573556173543331E-2</v>
      </c>
    </row>
    <row r="126" spans="1:7" x14ac:dyDescent="0.3">
      <c r="A126" s="1">
        <v>44196</v>
      </c>
      <c r="B126">
        <v>0.15379999999999999</v>
      </c>
      <c r="C126">
        <f t="shared" si="4"/>
        <v>6.5019505851755532</v>
      </c>
      <c r="D126">
        <v>130.5</v>
      </c>
      <c r="E126">
        <f t="shared" si="5"/>
        <v>6.515000585175553</v>
      </c>
      <c r="F126">
        <f t="shared" si="6"/>
        <v>0.15349192788645835</v>
      </c>
      <c r="G126" s="4">
        <f t="shared" si="7"/>
        <v>1.4951957298090644E-2</v>
      </c>
    </row>
    <row r="127" spans="1:7" x14ac:dyDescent="0.3">
      <c r="A127" s="1">
        <v>44225</v>
      </c>
      <c r="B127">
        <v>0.155</v>
      </c>
      <c r="C127">
        <f t="shared" si="4"/>
        <v>6.4516129032258069</v>
      </c>
      <c r="D127">
        <v>142.49</v>
      </c>
      <c r="E127">
        <f t="shared" si="5"/>
        <v>6.4658619032258073</v>
      </c>
      <c r="F127">
        <f t="shared" si="6"/>
        <v>0.1546584221820608</v>
      </c>
      <c r="G127" s="4">
        <f t="shared" si="7"/>
        <v>9.8250907022107668E-3</v>
      </c>
    </row>
    <row r="128" spans="1:7" x14ac:dyDescent="0.3">
      <c r="A128" s="1">
        <v>44253</v>
      </c>
      <c r="B128">
        <v>0.15429999999999999</v>
      </c>
      <c r="C128">
        <f t="shared" si="4"/>
        <v>6.4808813998703823</v>
      </c>
      <c r="D128">
        <v>159.66</v>
      </c>
      <c r="E128">
        <f t="shared" si="5"/>
        <v>6.496847399870382</v>
      </c>
      <c r="F128">
        <f t="shared" si="6"/>
        <v>0.15392080780902301</v>
      </c>
      <c r="G128" s="4">
        <f t="shared" si="7"/>
        <v>-2.3175083322580425E-3</v>
      </c>
    </row>
    <row r="129" spans="1:7" x14ac:dyDescent="0.3">
      <c r="A129" s="1">
        <v>44286</v>
      </c>
      <c r="B129">
        <v>0.15240000000000001</v>
      </c>
      <c r="C129">
        <f t="shared" si="4"/>
        <v>6.561679790026246</v>
      </c>
      <c r="D129">
        <v>151.15</v>
      </c>
      <c r="E129">
        <f t="shared" si="5"/>
        <v>6.5767947900262458</v>
      </c>
      <c r="F129">
        <f t="shared" si="6"/>
        <v>0.15204974944885111</v>
      </c>
      <c r="G129" s="4">
        <f t="shared" si="7"/>
        <v>-9.8804562597536536E-3</v>
      </c>
    </row>
    <row r="130" spans="1:7" x14ac:dyDescent="0.3">
      <c r="A130" s="1">
        <v>44316</v>
      </c>
      <c r="B130">
        <v>0.1545</v>
      </c>
      <c r="C130">
        <f t="shared" si="4"/>
        <v>6.4724919093851137</v>
      </c>
      <c r="D130">
        <v>138</v>
      </c>
      <c r="E130">
        <f t="shared" si="5"/>
        <v>6.4862919093851135</v>
      </c>
      <c r="F130">
        <f t="shared" si="6"/>
        <v>0.15417129138962818</v>
      </c>
      <c r="G130" s="4">
        <f t="shared" si="7"/>
        <v>1.6114795059054967E-2</v>
      </c>
    </row>
    <row r="131" spans="1:7" x14ac:dyDescent="0.3">
      <c r="A131" s="1">
        <v>44347</v>
      </c>
      <c r="B131">
        <v>0.15690000000000001</v>
      </c>
      <c r="C131">
        <f t="shared" ref="C131:C184" si="8">1/B131</f>
        <v>6.3734862970044608</v>
      </c>
      <c r="D131">
        <v>120.31</v>
      </c>
      <c r="E131">
        <f t="shared" ref="E131:E184" si="9">C131+D131/10^4</f>
        <v>6.3855172970044611</v>
      </c>
      <c r="F131">
        <f t="shared" ref="F131:F184" si="10">1/E131</f>
        <v>0.15660438355857473</v>
      </c>
      <c r="G131" s="4">
        <f t="shared" si="7"/>
        <v>1.7699200582524315E-2</v>
      </c>
    </row>
    <row r="132" spans="1:7" x14ac:dyDescent="0.3">
      <c r="A132" s="1">
        <v>44377</v>
      </c>
      <c r="B132">
        <v>0.15459999999999999</v>
      </c>
      <c r="C132">
        <f t="shared" si="8"/>
        <v>6.4683053040103502</v>
      </c>
      <c r="D132">
        <v>144.62</v>
      </c>
      <c r="E132">
        <f t="shared" si="9"/>
        <v>6.4827673040103502</v>
      </c>
      <c r="F132">
        <f t="shared" si="10"/>
        <v>0.15425511253217172</v>
      </c>
      <c r="G132" s="4">
        <f t="shared" ref="G132:G184" si="11">(B132-F131)/F131</f>
        <v>-1.2799025883110359E-2</v>
      </c>
    </row>
    <row r="133" spans="1:7" x14ac:dyDescent="0.3">
      <c r="A133" s="1">
        <v>44407</v>
      </c>
      <c r="B133">
        <v>0.1547</v>
      </c>
      <c r="C133">
        <f t="shared" si="8"/>
        <v>6.4641241111829348</v>
      </c>
      <c r="D133">
        <v>157.07</v>
      </c>
      <c r="E133">
        <f t="shared" si="9"/>
        <v>6.4798311111829348</v>
      </c>
      <c r="F133">
        <f t="shared" si="10"/>
        <v>0.15432500984079561</v>
      </c>
      <c r="G133" s="4">
        <f t="shared" si="11"/>
        <v>2.8841019304011368E-3</v>
      </c>
    </row>
    <row r="134" spans="1:7" x14ac:dyDescent="0.3">
      <c r="A134" s="1">
        <v>44439</v>
      </c>
      <c r="B134">
        <v>0.15490000000000001</v>
      </c>
      <c r="C134">
        <f t="shared" si="8"/>
        <v>6.455777921239509</v>
      </c>
      <c r="D134">
        <v>197</v>
      </c>
      <c r="E134">
        <f t="shared" si="9"/>
        <v>6.4754779212395093</v>
      </c>
      <c r="F134">
        <f t="shared" si="10"/>
        <v>0.15442875601814796</v>
      </c>
      <c r="G134" s="4">
        <f t="shared" si="11"/>
        <v>3.7258391222366812E-3</v>
      </c>
    </row>
    <row r="135" spans="1:7" x14ac:dyDescent="0.3">
      <c r="A135" s="1">
        <v>44469</v>
      </c>
      <c r="B135">
        <v>0.15509999999999999</v>
      </c>
      <c r="C135">
        <f t="shared" si="8"/>
        <v>6.4474532559638948</v>
      </c>
      <c r="D135">
        <v>161</v>
      </c>
      <c r="E135">
        <f t="shared" si="9"/>
        <v>6.4635532559638946</v>
      </c>
      <c r="F135">
        <f t="shared" si="10"/>
        <v>0.15471366296507327</v>
      </c>
      <c r="G135" s="4">
        <f t="shared" si="11"/>
        <v>4.3466255842477281E-3</v>
      </c>
    </row>
    <row r="136" spans="1:7" x14ac:dyDescent="0.3">
      <c r="A136" s="1">
        <v>44498</v>
      </c>
      <c r="B136">
        <v>0.15609999999999999</v>
      </c>
      <c r="C136">
        <f t="shared" si="8"/>
        <v>6.4061499039077523</v>
      </c>
      <c r="D136">
        <v>147</v>
      </c>
      <c r="E136">
        <f t="shared" si="9"/>
        <v>6.4208499039077527</v>
      </c>
      <c r="F136">
        <f t="shared" si="10"/>
        <v>0.15574262207739764</v>
      </c>
      <c r="G136" s="4">
        <f t="shared" si="11"/>
        <v>8.9606632559639052E-3</v>
      </c>
    </row>
    <row r="137" spans="1:7" x14ac:dyDescent="0.3">
      <c r="A137" s="1">
        <v>44530</v>
      </c>
      <c r="B137">
        <v>0.15709999999999999</v>
      </c>
      <c r="C137">
        <f t="shared" si="8"/>
        <v>6.3653723742838961</v>
      </c>
      <c r="D137">
        <v>162.74</v>
      </c>
      <c r="E137">
        <f t="shared" si="9"/>
        <v>6.3816463742838963</v>
      </c>
      <c r="F137">
        <f t="shared" si="10"/>
        <v>0.15669937526305083</v>
      </c>
      <c r="G137" s="4">
        <f t="shared" si="11"/>
        <v>8.7155199039077938E-3</v>
      </c>
    </row>
    <row r="138" spans="1:7" x14ac:dyDescent="0.3">
      <c r="A138" s="1">
        <v>44561</v>
      </c>
      <c r="B138">
        <v>0.15709999999999999</v>
      </c>
      <c r="C138">
        <f t="shared" si="8"/>
        <v>6.3653723742838961</v>
      </c>
      <c r="D138">
        <v>133.09</v>
      </c>
      <c r="E138">
        <f t="shared" si="9"/>
        <v>6.3786813742838957</v>
      </c>
      <c r="F138">
        <f t="shared" si="10"/>
        <v>0.15677221377314293</v>
      </c>
      <c r="G138" s="4">
        <f t="shared" si="11"/>
        <v>2.5566454000000255E-3</v>
      </c>
    </row>
    <row r="139" spans="1:7" x14ac:dyDescent="0.3">
      <c r="A139" s="1">
        <v>44592</v>
      </c>
      <c r="B139">
        <v>0.157</v>
      </c>
      <c r="C139">
        <f t="shared" si="8"/>
        <v>6.369426751592357</v>
      </c>
      <c r="D139">
        <v>129.53</v>
      </c>
      <c r="E139">
        <f t="shared" si="9"/>
        <v>6.3823797515923575</v>
      </c>
      <c r="F139">
        <f t="shared" si="10"/>
        <v>0.15668136947672337</v>
      </c>
      <c r="G139" s="4">
        <f t="shared" si="11"/>
        <v>1.452975762571589E-3</v>
      </c>
    </row>
    <row r="140" spans="1:7" x14ac:dyDescent="0.3">
      <c r="A140" s="1">
        <v>44620</v>
      </c>
      <c r="B140">
        <v>0.15840000000000001</v>
      </c>
      <c r="C140">
        <f t="shared" si="8"/>
        <v>6.3131313131313123</v>
      </c>
      <c r="D140">
        <v>153.01</v>
      </c>
      <c r="E140">
        <f t="shared" si="9"/>
        <v>6.3284323131313123</v>
      </c>
      <c r="F140">
        <f t="shared" si="10"/>
        <v>0.15801701756768879</v>
      </c>
      <c r="G140" s="4">
        <f t="shared" si="11"/>
        <v>1.0968952652229424E-2</v>
      </c>
    </row>
    <row r="141" spans="1:7" x14ac:dyDescent="0.3">
      <c r="A141" s="1">
        <v>44651</v>
      </c>
      <c r="B141">
        <v>0.15740000000000001</v>
      </c>
      <c r="C141">
        <f t="shared" si="8"/>
        <v>6.3532401524777633</v>
      </c>
      <c r="D141">
        <v>124.91</v>
      </c>
      <c r="E141">
        <f t="shared" si="9"/>
        <v>6.3657311524777631</v>
      </c>
      <c r="F141">
        <f t="shared" si="10"/>
        <v>0.15709114570614019</v>
      </c>
      <c r="G141" s="4">
        <f t="shared" si="11"/>
        <v>-3.9047539131313769E-3</v>
      </c>
    </row>
    <row r="142" spans="1:7" x14ac:dyDescent="0.3">
      <c r="A142" s="1">
        <v>44680</v>
      </c>
      <c r="B142">
        <v>0.15060000000000001</v>
      </c>
      <c r="C142">
        <f t="shared" si="8"/>
        <v>6.6401062416998666</v>
      </c>
      <c r="D142">
        <v>147.9</v>
      </c>
      <c r="E142">
        <f t="shared" si="9"/>
        <v>6.6548962416998663</v>
      </c>
      <c r="F142">
        <f t="shared" si="10"/>
        <v>0.15026530297106017</v>
      </c>
      <c r="G142" s="4">
        <f t="shared" si="11"/>
        <v>-4.13208884368488E-2</v>
      </c>
    </row>
    <row r="143" spans="1:7" x14ac:dyDescent="0.3">
      <c r="A143" s="1">
        <v>44712</v>
      </c>
      <c r="B143">
        <v>0.1497</v>
      </c>
      <c r="C143">
        <f t="shared" si="8"/>
        <v>6.6800267201068806</v>
      </c>
      <c r="D143">
        <v>71.900000000000006</v>
      </c>
      <c r="E143">
        <f t="shared" si="9"/>
        <v>6.6872167201068802</v>
      </c>
      <c r="F143">
        <f t="shared" si="10"/>
        <v>0.14953904469601476</v>
      </c>
      <c r="G143" s="4">
        <f t="shared" si="11"/>
        <v>-3.7620326175300698E-3</v>
      </c>
    </row>
    <row r="144" spans="1:7" x14ac:dyDescent="0.3">
      <c r="A144" s="1">
        <v>44742</v>
      </c>
      <c r="B144">
        <v>0.14940000000000001</v>
      </c>
      <c r="C144">
        <f t="shared" si="8"/>
        <v>6.6934404283801872</v>
      </c>
      <c r="D144">
        <v>27.15</v>
      </c>
      <c r="E144">
        <f t="shared" si="9"/>
        <v>6.6961554283801874</v>
      </c>
      <c r="F144">
        <f t="shared" si="10"/>
        <v>0.14933942479317597</v>
      </c>
      <c r="G144" s="4">
        <f t="shared" si="11"/>
        <v>-9.2982201603201921E-4</v>
      </c>
    </row>
    <row r="145" spans="1:7" x14ac:dyDescent="0.3">
      <c r="A145" s="1">
        <v>44771</v>
      </c>
      <c r="B145">
        <v>0.14810000000000001</v>
      </c>
      <c r="C145">
        <f t="shared" si="8"/>
        <v>6.7521944632005395</v>
      </c>
      <c r="D145">
        <v>-38.5</v>
      </c>
      <c r="E145">
        <f t="shared" si="9"/>
        <v>6.7483444632005396</v>
      </c>
      <c r="F145">
        <f t="shared" si="10"/>
        <v>0.14818449257489882</v>
      </c>
      <c r="G145" s="4">
        <f t="shared" si="11"/>
        <v>-8.2993810568941836E-3</v>
      </c>
    </row>
    <row r="146" spans="1:7" x14ac:dyDescent="0.3">
      <c r="A146" s="1">
        <v>44804</v>
      </c>
      <c r="B146">
        <v>0.14480000000000001</v>
      </c>
      <c r="C146">
        <f t="shared" si="8"/>
        <v>6.9060773480662974</v>
      </c>
      <c r="D146">
        <v>-18.28</v>
      </c>
      <c r="E146">
        <f t="shared" si="9"/>
        <v>6.9042493480662976</v>
      </c>
      <c r="F146">
        <f t="shared" si="10"/>
        <v>0.14483833789694664</v>
      </c>
      <c r="G146" s="4">
        <f t="shared" si="11"/>
        <v>-2.2839721728561736E-2</v>
      </c>
    </row>
    <row r="147" spans="1:7" x14ac:dyDescent="0.3">
      <c r="A147" s="1">
        <v>44834</v>
      </c>
      <c r="B147">
        <v>0.14000000000000001</v>
      </c>
      <c r="C147">
        <f t="shared" si="8"/>
        <v>7.1428571428571423</v>
      </c>
      <c r="D147">
        <v>-32.130000000000003</v>
      </c>
      <c r="E147">
        <f t="shared" si="9"/>
        <v>7.1396441428571427</v>
      </c>
      <c r="F147">
        <f t="shared" si="10"/>
        <v>0.14006300314007247</v>
      </c>
      <c r="G147" s="4">
        <f t="shared" si="11"/>
        <v>-3.340509127071821E-2</v>
      </c>
    </row>
    <row r="148" spans="1:7" x14ac:dyDescent="0.3">
      <c r="A148" s="1">
        <v>44865</v>
      </c>
      <c r="B148">
        <v>0.1363</v>
      </c>
      <c r="C148">
        <f t="shared" si="8"/>
        <v>7.3367571533382243</v>
      </c>
      <c r="D148">
        <v>-129</v>
      </c>
      <c r="E148">
        <f t="shared" si="9"/>
        <v>7.3238571533382242</v>
      </c>
      <c r="F148">
        <f t="shared" si="10"/>
        <v>0.13654007431646842</v>
      </c>
      <c r="G148" s="4">
        <f t="shared" si="11"/>
        <v>-2.6866503328571434E-2</v>
      </c>
    </row>
    <row r="149" spans="1:7" x14ac:dyDescent="0.3">
      <c r="A149" s="1">
        <v>44895</v>
      </c>
      <c r="B149">
        <v>0.1419</v>
      </c>
      <c r="C149">
        <f t="shared" si="8"/>
        <v>7.0472163495419311</v>
      </c>
      <c r="D149">
        <v>-185</v>
      </c>
      <c r="E149">
        <f t="shared" si="9"/>
        <v>7.0287163495419307</v>
      </c>
      <c r="F149">
        <f t="shared" si="10"/>
        <v>0.14227348925030545</v>
      </c>
      <c r="G149" s="4">
        <f t="shared" si="11"/>
        <v>3.9255330058694034E-2</v>
      </c>
    </row>
    <row r="150" spans="1:7" x14ac:dyDescent="0.3">
      <c r="A150" s="1">
        <v>44925</v>
      </c>
      <c r="B150">
        <v>0.1444</v>
      </c>
      <c r="C150">
        <f t="shared" si="8"/>
        <v>6.9252077562326866</v>
      </c>
      <c r="D150">
        <v>-171.68</v>
      </c>
      <c r="E150">
        <f t="shared" si="9"/>
        <v>6.9080397562326867</v>
      </c>
      <c r="F150">
        <f t="shared" si="10"/>
        <v>0.14475886579803821</v>
      </c>
      <c r="G150" s="4">
        <f t="shared" si="11"/>
        <v>1.4946640873854784E-2</v>
      </c>
    </row>
    <row r="151" spans="1:7" x14ac:dyDescent="0.3">
      <c r="A151" s="1">
        <v>44957</v>
      </c>
      <c r="B151">
        <v>0.14799999999999999</v>
      </c>
      <c r="C151">
        <f t="shared" si="8"/>
        <v>6.756756756756757</v>
      </c>
      <c r="D151">
        <v>-117.5</v>
      </c>
      <c r="E151">
        <f t="shared" si="9"/>
        <v>6.7450067567567569</v>
      </c>
      <c r="F151">
        <f t="shared" si="10"/>
        <v>0.14825782034958793</v>
      </c>
      <c r="G151" s="4">
        <f t="shared" si="11"/>
        <v>2.2389883922437528E-2</v>
      </c>
    </row>
    <row r="152" spans="1:7" x14ac:dyDescent="0.3">
      <c r="A152" s="1">
        <v>44985</v>
      </c>
      <c r="B152">
        <v>0.14380000000000001</v>
      </c>
      <c r="C152">
        <f t="shared" si="8"/>
        <v>6.9541029207232263</v>
      </c>
      <c r="D152">
        <v>-140</v>
      </c>
      <c r="E152">
        <f t="shared" si="9"/>
        <v>6.9401029207232261</v>
      </c>
      <c r="F152">
        <f t="shared" si="10"/>
        <v>0.14409008215339122</v>
      </c>
      <c r="G152" s="4">
        <f t="shared" si="11"/>
        <v>-3.0068028378378259E-2</v>
      </c>
    </row>
    <row r="153" spans="1:7" x14ac:dyDescent="0.3">
      <c r="A153" s="1">
        <v>45016</v>
      </c>
      <c r="B153">
        <v>0.14560000000000001</v>
      </c>
      <c r="C153">
        <f t="shared" si="8"/>
        <v>6.8681318681318677</v>
      </c>
      <c r="D153">
        <v>-161.5</v>
      </c>
      <c r="E153">
        <f t="shared" si="9"/>
        <v>6.851981868131868</v>
      </c>
      <c r="F153">
        <f t="shared" si="10"/>
        <v>0.14594317662323894</v>
      </c>
      <c r="G153" s="4">
        <f t="shared" si="11"/>
        <v>1.0478985257301735E-2</v>
      </c>
    </row>
    <row r="154" spans="1:7" x14ac:dyDescent="0.3">
      <c r="A154" s="1">
        <v>45044</v>
      </c>
      <c r="B154">
        <v>0.1444</v>
      </c>
      <c r="C154">
        <f t="shared" si="8"/>
        <v>6.9252077562326866</v>
      </c>
      <c r="D154">
        <v>-169.55</v>
      </c>
      <c r="E154">
        <f t="shared" si="9"/>
        <v>6.9082527562326863</v>
      </c>
      <c r="F154">
        <f t="shared" si="10"/>
        <v>0.14475440249313276</v>
      </c>
      <c r="G154" s="4">
        <f t="shared" si="11"/>
        <v>-1.057381824175818E-2</v>
      </c>
    </row>
    <row r="155" spans="1:7" x14ac:dyDescent="0.3">
      <c r="A155" s="1">
        <v>45077</v>
      </c>
      <c r="B155">
        <v>0.14050000000000001</v>
      </c>
      <c r="C155">
        <f t="shared" si="8"/>
        <v>7.1174377224199281</v>
      </c>
      <c r="D155">
        <v>-193.43</v>
      </c>
      <c r="E155">
        <f t="shared" si="9"/>
        <v>7.098094722419928</v>
      </c>
      <c r="F155">
        <f t="shared" si="10"/>
        <v>0.14088287619513107</v>
      </c>
      <c r="G155" s="4">
        <f t="shared" si="11"/>
        <v>-2.9390487749307512E-2</v>
      </c>
    </row>
    <row r="156" spans="1:7" x14ac:dyDescent="0.3">
      <c r="A156" s="1">
        <v>45107</v>
      </c>
      <c r="B156">
        <v>0.1376</v>
      </c>
      <c r="C156">
        <f t="shared" si="8"/>
        <v>7.2674418604651159</v>
      </c>
      <c r="D156">
        <v>-183.23</v>
      </c>
      <c r="E156">
        <f t="shared" si="9"/>
        <v>7.2491188604651162</v>
      </c>
      <c r="F156">
        <f t="shared" si="10"/>
        <v>0.1379478001738598</v>
      </c>
      <c r="G156" s="4">
        <f t="shared" si="11"/>
        <v>-2.3302166195017848E-2</v>
      </c>
    </row>
    <row r="157" spans="1:7" x14ac:dyDescent="0.3">
      <c r="A157" s="1">
        <v>45138</v>
      </c>
      <c r="B157">
        <v>0.1399</v>
      </c>
      <c r="C157">
        <f t="shared" si="8"/>
        <v>7.147962830593281</v>
      </c>
      <c r="D157">
        <v>-224.75</v>
      </c>
      <c r="E157">
        <f t="shared" si="9"/>
        <v>7.1254878305932809</v>
      </c>
      <c r="F157">
        <f t="shared" si="10"/>
        <v>0.14034126838396946</v>
      </c>
      <c r="G157" s="4">
        <f t="shared" si="11"/>
        <v>1.415172857906964E-2</v>
      </c>
    </row>
    <row r="158" spans="1:7" x14ac:dyDescent="0.3">
      <c r="A158" s="1">
        <v>45169</v>
      </c>
      <c r="B158">
        <v>0.13739999999999999</v>
      </c>
      <c r="C158">
        <f t="shared" si="8"/>
        <v>7.2780203784570601</v>
      </c>
      <c r="D158">
        <v>-115</v>
      </c>
      <c r="E158">
        <f t="shared" si="9"/>
        <v>7.2665203784570602</v>
      </c>
      <c r="F158">
        <f t="shared" si="10"/>
        <v>0.13761744933168898</v>
      </c>
      <c r="G158" s="4">
        <f t="shared" si="11"/>
        <v>-2.0957972076483183E-2</v>
      </c>
    </row>
    <row r="159" spans="1:7" x14ac:dyDescent="0.3">
      <c r="A159" s="1">
        <v>45198</v>
      </c>
      <c r="B159">
        <v>0.1371</v>
      </c>
      <c r="C159">
        <f t="shared" si="8"/>
        <v>7.2939460247994168</v>
      </c>
      <c r="D159">
        <v>-75.5</v>
      </c>
      <c r="E159">
        <f t="shared" si="9"/>
        <v>7.2863960247994166</v>
      </c>
      <c r="F159">
        <f t="shared" si="10"/>
        <v>0.13724205994245672</v>
      </c>
      <c r="G159" s="4">
        <f t="shared" si="11"/>
        <v>-3.7600561135369961E-3</v>
      </c>
    </row>
    <row r="160" spans="1:7" x14ac:dyDescent="0.3">
      <c r="A160" s="1">
        <v>45230</v>
      </c>
      <c r="B160">
        <v>0.13619999999999999</v>
      </c>
      <c r="C160">
        <f t="shared" si="8"/>
        <v>7.3421439060205591</v>
      </c>
      <c r="D160">
        <v>-164.5</v>
      </c>
      <c r="E160">
        <f t="shared" si="9"/>
        <v>7.3256939060205593</v>
      </c>
      <c r="F160">
        <f t="shared" si="10"/>
        <v>0.136505839969393</v>
      </c>
      <c r="G160" s="4">
        <f t="shared" si="11"/>
        <v>-7.5928614223194678E-3</v>
      </c>
    </row>
    <row r="161" spans="1:7" x14ac:dyDescent="0.3">
      <c r="A161" s="1">
        <v>45260</v>
      </c>
      <c r="B161">
        <v>0.1399</v>
      </c>
      <c r="C161">
        <f t="shared" si="8"/>
        <v>7.147962830593281</v>
      </c>
      <c r="D161">
        <v>-172.01</v>
      </c>
      <c r="E161">
        <f t="shared" si="9"/>
        <v>7.1307618305932809</v>
      </c>
      <c r="F161">
        <f t="shared" si="10"/>
        <v>0.14023747023910904</v>
      </c>
      <c r="G161" s="4">
        <f t="shared" si="11"/>
        <v>2.4864577452276229E-2</v>
      </c>
    </row>
    <row r="162" spans="1:7" x14ac:dyDescent="0.3">
      <c r="A162" s="1">
        <v>45289</v>
      </c>
      <c r="B162">
        <v>0.14030000000000001</v>
      </c>
      <c r="C162">
        <f t="shared" si="8"/>
        <v>7.1275837491090517</v>
      </c>
      <c r="D162">
        <v>-152.68</v>
      </c>
      <c r="E162">
        <f t="shared" si="9"/>
        <v>7.1123157491090518</v>
      </c>
      <c r="F162">
        <f t="shared" si="10"/>
        <v>0.14060118184787682</v>
      </c>
      <c r="G162" s="4">
        <f t="shared" si="11"/>
        <v>4.4588483223743171E-4</v>
      </c>
    </row>
    <row r="163" spans="1:7" x14ac:dyDescent="0.3">
      <c r="A163" s="1">
        <v>45322</v>
      </c>
      <c r="B163">
        <v>0.1391</v>
      </c>
      <c r="C163">
        <f t="shared" si="8"/>
        <v>7.1890726096333575</v>
      </c>
      <c r="D163">
        <v>-139</v>
      </c>
      <c r="E163">
        <f t="shared" si="9"/>
        <v>7.1751726096333579</v>
      </c>
      <c r="F163">
        <f t="shared" si="10"/>
        <v>0.13936946947553625</v>
      </c>
      <c r="G163" s="4">
        <f t="shared" si="11"/>
        <v>-1.0676879298930898E-2</v>
      </c>
    </row>
    <row r="164" spans="1:7" x14ac:dyDescent="0.3">
      <c r="A164" s="1">
        <v>45351</v>
      </c>
      <c r="B164">
        <v>0.13869999999999999</v>
      </c>
      <c r="C164">
        <f t="shared" si="8"/>
        <v>7.2098053352559486</v>
      </c>
      <c r="D164">
        <v>-149.22999999999999</v>
      </c>
      <c r="E164">
        <f t="shared" si="9"/>
        <v>7.194882335255949</v>
      </c>
      <c r="F164">
        <f t="shared" si="10"/>
        <v>0.13898767949266627</v>
      </c>
      <c r="G164" s="4">
        <f t="shared" si="11"/>
        <v>-4.8035590438533469E-3</v>
      </c>
    </row>
    <row r="165" spans="1:7" x14ac:dyDescent="0.3">
      <c r="A165" s="1">
        <v>45380</v>
      </c>
      <c r="B165">
        <v>0.13780000000000001</v>
      </c>
      <c r="C165">
        <f t="shared" si="8"/>
        <v>7.2568940493468794</v>
      </c>
      <c r="D165">
        <v>-72.5</v>
      </c>
      <c r="E165">
        <f t="shared" si="9"/>
        <v>7.2496440493468794</v>
      </c>
      <c r="F165">
        <f t="shared" si="10"/>
        <v>0.13793780676584944</v>
      </c>
      <c r="G165" s="4">
        <f t="shared" si="11"/>
        <v>-8.5452142017302633E-3</v>
      </c>
    </row>
    <row r="166" spans="1:7" x14ac:dyDescent="0.3">
      <c r="A166" s="1">
        <v>45412</v>
      </c>
      <c r="B166">
        <v>0.13780000000000001</v>
      </c>
      <c r="C166">
        <f t="shared" si="8"/>
        <v>7.2568940493468794</v>
      </c>
      <c r="D166">
        <v>-102.62</v>
      </c>
      <c r="E166">
        <f t="shared" si="9"/>
        <v>7.2466320493468794</v>
      </c>
      <c r="F166">
        <f t="shared" si="10"/>
        <v>0.13799513942344119</v>
      </c>
      <c r="G166" s="4">
        <f t="shared" si="11"/>
        <v>-9.9905000000005705E-4</v>
      </c>
    </row>
    <row r="167" spans="1:7" x14ac:dyDescent="0.3">
      <c r="A167" s="1">
        <v>45443</v>
      </c>
      <c r="B167">
        <v>0.13769999999999999</v>
      </c>
      <c r="C167">
        <f t="shared" si="8"/>
        <v>7.2621641249092237</v>
      </c>
      <c r="D167">
        <v>-179.64</v>
      </c>
      <c r="E167">
        <f t="shared" si="9"/>
        <v>7.2442001249092236</v>
      </c>
      <c r="F167">
        <f t="shared" si="10"/>
        <v>0.1380414652766831</v>
      </c>
      <c r="G167" s="4">
        <f t="shared" si="11"/>
        <v>-2.1387668049347493E-3</v>
      </c>
    </row>
    <row r="168" spans="1:7" x14ac:dyDescent="0.3">
      <c r="A168" s="1">
        <v>45471</v>
      </c>
      <c r="B168">
        <v>0.13700000000000001</v>
      </c>
      <c r="C168">
        <f t="shared" si="8"/>
        <v>7.2992700729926998</v>
      </c>
      <c r="D168">
        <v>-180</v>
      </c>
      <c r="E168">
        <f t="shared" si="9"/>
        <v>7.2812700729927</v>
      </c>
      <c r="F168">
        <f t="shared" si="10"/>
        <v>0.13733867717792075</v>
      </c>
      <c r="G168" s="4">
        <f t="shared" si="11"/>
        <v>-7.5445828874362202E-3</v>
      </c>
    </row>
    <row r="169" spans="1:7" x14ac:dyDescent="0.3">
      <c r="A169" s="1">
        <v>45504</v>
      </c>
      <c r="B169">
        <v>0.1384</v>
      </c>
      <c r="C169">
        <f t="shared" si="8"/>
        <v>7.2254335260115612</v>
      </c>
      <c r="D169">
        <v>-181.16</v>
      </c>
      <c r="E169">
        <f t="shared" si="9"/>
        <v>7.2073175260115612</v>
      </c>
      <c r="F169">
        <f t="shared" si="10"/>
        <v>0.13874787622315113</v>
      </c>
      <c r="G169" s="4">
        <f t="shared" si="11"/>
        <v>7.7277781021897378E-3</v>
      </c>
    </row>
    <row r="170" spans="1:7" x14ac:dyDescent="0.3">
      <c r="A170" s="1">
        <v>45534</v>
      </c>
      <c r="B170">
        <v>0.14099999999999999</v>
      </c>
      <c r="C170">
        <f t="shared" si="8"/>
        <v>7.0921985815602842</v>
      </c>
      <c r="D170">
        <v>-251.29</v>
      </c>
      <c r="E170">
        <f t="shared" si="9"/>
        <v>7.0670695815602844</v>
      </c>
      <c r="F170">
        <f t="shared" si="10"/>
        <v>0.14150136608379305</v>
      </c>
      <c r="G170" s="4">
        <f t="shared" si="11"/>
        <v>1.6231771167630124E-2</v>
      </c>
    </row>
    <row r="171" spans="1:7" x14ac:dyDescent="0.3">
      <c r="A171" s="1">
        <v>45565</v>
      </c>
      <c r="B171">
        <v>0.14269999999999999</v>
      </c>
      <c r="C171">
        <f t="shared" si="8"/>
        <v>7.0077084793272606</v>
      </c>
      <c r="D171">
        <v>-191</v>
      </c>
      <c r="E171">
        <f t="shared" si="9"/>
        <v>6.9886084793272607</v>
      </c>
      <c r="F171">
        <f t="shared" si="10"/>
        <v>0.14309000181625031</v>
      </c>
      <c r="G171" s="4">
        <f t="shared" si="11"/>
        <v>8.4708292886526027E-3</v>
      </c>
    </row>
    <row r="172" spans="1:7" x14ac:dyDescent="0.3">
      <c r="A172" s="1">
        <v>45596</v>
      </c>
      <c r="B172">
        <v>0.1404</v>
      </c>
      <c r="C172">
        <f t="shared" si="8"/>
        <v>7.1225071225071224</v>
      </c>
      <c r="D172">
        <v>-141.5</v>
      </c>
      <c r="E172">
        <f t="shared" si="9"/>
        <v>7.1083571225071225</v>
      </c>
      <c r="F172">
        <f t="shared" si="10"/>
        <v>0.14067948230030672</v>
      </c>
      <c r="G172" s="4">
        <f t="shared" si="11"/>
        <v>-1.879936950245268E-2</v>
      </c>
    </row>
    <row r="173" spans="1:7" x14ac:dyDescent="0.3">
      <c r="A173" s="1">
        <v>45625</v>
      </c>
      <c r="B173">
        <v>0.13789999999999999</v>
      </c>
      <c r="C173">
        <f t="shared" si="8"/>
        <v>7.2516316171138513</v>
      </c>
      <c r="D173">
        <v>-116.67</v>
      </c>
      <c r="E173">
        <f t="shared" si="9"/>
        <v>7.2399646171138512</v>
      </c>
      <c r="F173">
        <f t="shared" si="10"/>
        <v>0.13812222198381977</v>
      </c>
      <c r="G173" s="4">
        <f t="shared" si="11"/>
        <v>-1.9757552806267783E-2</v>
      </c>
    </row>
    <row r="174" spans="1:7" x14ac:dyDescent="0.3">
      <c r="A174" s="1">
        <v>45657</v>
      </c>
      <c r="B174">
        <v>0.1363</v>
      </c>
      <c r="C174">
        <f t="shared" si="8"/>
        <v>7.3367571533382243</v>
      </c>
      <c r="D174">
        <v>-20</v>
      </c>
      <c r="E174">
        <f t="shared" si="9"/>
        <v>7.3347571533382245</v>
      </c>
      <c r="F174">
        <f t="shared" si="10"/>
        <v>0.13633716551131839</v>
      </c>
      <c r="G174" s="4">
        <f t="shared" si="11"/>
        <v>-1.3192822687382075E-2</v>
      </c>
    </row>
    <row r="175" spans="1:7" x14ac:dyDescent="0.3">
      <c r="A175" s="1">
        <v>45688</v>
      </c>
      <c r="B175">
        <v>0.1366</v>
      </c>
      <c r="C175">
        <f t="shared" si="8"/>
        <v>7.3206442166910692</v>
      </c>
      <c r="D175">
        <v>-87.75</v>
      </c>
      <c r="E175">
        <f t="shared" si="9"/>
        <v>7.3118692166910693</v>
      </c>
      <c r="F175">
        <f t="shared" si="10"/>
        <v>0.13676393414111726</v>
      </c>
      <c r="G175" s="4">
        <f t="shared" si="11"/>
        <v>1.927827146001452E-3</v>
      </c>
    </row>
    <row r="176" spans="1:7" x14ac:dyDescent="0.3">
      <c r="A176" s="1">
        <v>45716</v>
      </c>
      <c r="B176">
        <v>0.1371</v>
      </c>
      <c r="C176">
        <f t="shared" si="8"/>
        <v>7.2939460247994168</v>
      </c>
      <c r="D176">
        <v>-142.03</v>
      </c>
      <c r="E176">
        <f t="shared" si="9"/>
        <v>7.2797430247994166</v>
      </c>
      <c r="F176">
        <f t="shared" si="10"/>
        <v>0.13736748626886505</v>
      </c>
      <c r="G176" s="4">
        <f t="shared" si="11"/>
        <v>2.4572696083455456E-3</v>
      </c>
    </row>
    <row r="177" spans="1:7" x14ac:dyDescent="0.3">
      <c r="A177" s="1">
        <v>45747</v>
      </c>
      <c r="B177">
        <v>0.1376</v>
      </c>
      <c r="C177">
        <f t="shared" si="8"/>
        <v>7.2674418604651159</v>
      </c>
      <c r="D177">
        <v>-163.81</v>
      </c>
      <c r="E177">
        <f t="shared" si="9"/>
        <v>7.2510608604651159</v>
      </c>
      <c r="F177">
        <f t="shared" si="10"/>
        <v>0.13791085459677901</v>
      </c>
      <c r="G177" s="4">
        <f t="shared" si="11"/>
        <v>1.6926402123997239E-3</v>
      </c>
    </row>
    <row r="178" spans="1:7" x14ac:dyDescent="0.3">
      <c r="A178" s="1">
        <v>45777</v>
      </c>
      <c r="B178">
        <v>0.1376</v>
      </c>
      <c r="C178">
        <f t="shared" si="8"/>
        <v>7.2674418604651159</v>
      </c>
      <c r="D178">
        <v>-159.36000000000001</v>
      </c>
      <c r="E178">
        <f t="shared" si="9"/>
        <v>7.2515058604651159</v>
      </c>
      <c r="F178">
        <f t="shared" si="10"/>
        <v>0.13790239148146527</v>
      </c>
      <c r="G178" s="4">
        <f t="shared" si="11"/>
        <v>-2.254025599999977E-3</v>
      </c>
    </row>
    <row r="179" spans="1:7" x14ac:dyDescent="0.3">
      <c r="A179" s="1">
        <v>45807</v>
      </c>
      <c r="B179">
        <v>0.13880000000000001</v>
      </c>
      <c r="C179">
        <f t="shared" si="8"/>
        <v>7.2046109510086449</v>
      </c>
      <c r="D179">
        <v>-176.35</v>
      </c>
      <c r="E179">
        <f t="shared" si="9"/>
        <v>7.1869759510086446</v>
      </c>
      <c r="F179">
        <f t="shared" si="10"/>
        <v>0.13914057968423515</v>
      </c>
      <c r="G179" s="4">
        <f t="shared" si="11"/>
        <v>6.5090134325580563E-3</v>
      </c>
    </row>
    <row r="180" spans="1:7" x14ac:dyDescent="0.3">
      <c r="A180" s="1">
        <v>45838</v>
      </c>
      <c r="B180">
        <v>0.13969999999999999</v>
      </c>
      <c r="C180">
        <f t="shared" si="8"/>
        <v>7.1581961345740881</v>
      </c>
      <c r="D180">
        <v>-178</v>
      </c>
      <c r="E180">
        <f t="shared" si="9"/>
        <v>7.1403961345740878</v>
      </c>
      <c r="F180">
        <f t="shared" si="10"/>
        <v>0.14004825238728136</v>
      </c>
      <c r="G180" s="4">
        <f t="shared" si="11"/>
        <v>4.0205403559075373E-3</v>
      </c>
    </row>
    <row r="181" spans="1:7" x14ac:dyDescent="0.3">
      <c r="A181" s="1">
        <v>45869</v>
      </c>
      <c r="B181">
        <v>0.13869999999999999</v>
      </c>
      <c r="C181">
        <f t="shared" si="8"/>
        <v>7.2098053352559486</v>
      </c>
      <c r="D181">
        <v>-175.25</v>
      </c>
      <c r="E181">
        <f t="shared" si="9"/>
        <v>7.1922803352559486</v>
      </c>
      <c r="F181">
        <f t="shared" si="10"/>
        <v>0.13903796200741575</v>
      </c>
      <c r="G181" s="4">
        <f t="shared" si="11"/>
        <v>-9.6270561345741645E-3</v>
      </c>
    </row>
    <row r="182" spans="1:7" x14ac:dyDescent="0.3">
      <c r="A182" s="1">
        <v>45898</v>
      </c>
      <c r="B182">
        <v>0.1404</v>
      </c>
      <c r="C182">
        <f t="shared" si="8"/>
        <v>7.1225071225071224</v>
      </c>
      <c r="D182">
        <v>-199</v>
      </c>
      <c r="E182">
        <f t="shared" si="9"/>
        <v>7.1026071225071226</v>
      </c>
      <c r="F182">
        <f t="shared" si="10"/>
        <v>0.1407933710469704</v>
      </c>
      <c r="G182" s="4">
        <f t="shared" si="11"/>
        <v>9.796159069935171E-3</v>
      </c>
    </row>
    <row r="183" spans="1:7" x14ac:dyDescent="0.3">
      <c r="A183" s="1">
        <v>45930</v>
      </c>
      <c r="B183">
        <v>0.14030000000000001</v>
      </c>
      <c r="C183">
        <f t="shared" si="8"/>
        <v>7.1275837491090517</v>
      </c>
      <c r="D183">
        <v>-160</v>
      </c>
      <c r="E183">
        <f t="shared" si="9"/>
        <v>7.1115837491090517</v>
      </c>
      <c r="F183">
        <f t="shared" si="10"/>
        <v>0.14061565402014442</v>
      </c>
      <c r="G183" s="4">
        <f t="shared" si="11"/>
        <v>-3.5042207122507039E-3</v>
      </c>
    </row>
    <row r="184" spans="1:7" x14ac:dyDescent="0.3">
      <c r="A184" s="1">
        <v>45961</v>
      </c>
      <c r="B184">
        <v>0.1404</v>
      </c>
      <c r="C184">
        <f t="shared" si="8"/>
        <v>7.1225071225071224</v>
      </c>
      <c r="D184">
        <v>-150.66</v>
      </c>
      <c r="E184">
        <f t="shared" si="9"/>
        <v>7.1074411225071223</v>
      </c>
      <c r="F184">
        <f t="shared" si="10"/>
        <v>0.1406976129331978</v>
      </c>
      <c r="G184" s="4">
        <f t="shared" si="11"/>
        <v>-1.5336416250891181E-3</v>
      </c>
    </row>
    <row r="185" spans="1:7" x14ac:dyDescent="0.3">
      <c r="A185" s="1"/>
      <c r="D185">
        <v>-161.05000000000001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5E5ECE-1AD6-48D5-90DC-B71ED737DE4D}">
  <ds:schemaRefs>
    <ds:schemaRef ds:uri="http://schemas.microsoft.com/office/2006/metadata/properties"/>
    <ds:schemaRef ds:uri="http://www.w3.org/XML/1998/namespace"/>
    <ds:schemaRef ds:uri="http://purl.org/dc/elements/1.1/"/>
    <ds:schemaRef ds:uri="d1f15cdc-886a-4af0-9db5-f84c8d88527b"/>
    <ds:schemaRef ds:uri="http://schemas.microsoft.com/office/2006/documentManagement/types"/>
    <ds:schemaRef ds:uri="http://schemas.microsoft.com/office/infopath/2007/PartnerControls"/>
    <ds:schemaRef ds:uri="63fe9c16-2f69-4d2d-9e53-848c714d6ac9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82DB706-4CE1-4515-9BF1-3E2B701872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B86C57-19DC-4222-910F-7AE7620EAD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e9c16-2f69-4d2d-9e53-848c714d6ac9"/>
    <ds:schemaRef ds:uri="d1f15cdc-886a-4af0-9db5-f84c8d8852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RETURNS</vt:lpstr>
      <vt:lpstr>HEDGE RETURN</vt:lpstr>
      <vt:lpstr>SPOT</vt:lpstr>
      <vt:lpstr>CHFUSD Curncy</vt:lpstr>
      <vt:lpstr>EURUSD Curncy</vt:lpstr>
      <vt:lpstr>JPYUSD Curncy</vt:lpstr>
      <vt:lpstr>AUDUSD Curncy</vt:lpstr>
      <vt:lpstr>GBPUSD Curncy</vt:lpstr>
      <vt:lpstr>CNHUSD Curncy</vt:lpstr>
    </vt:vector>
  </TitlesOfParts>
  <Manager/>
  <Company>IBF UZH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ibf_pmp1</dc:creator>
  <cp:keywords/>
  <dc:description/>
  <cp:lastModifiedBy>Dan Sedlacek</cp:lastModifiedBy>
  <cp:revision/>
  <dcterms:created xsi:type="dcterms:W3CDTF">2025-11-16T10:03:39Z</dcterms:created>
  <dcterms:modified xsi:type="dcterms:W3CDTF">2025-12-07T19:38:18Z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eyIwIjoiSGlzdG9yeSIsIjEiOjAsIjIiOjEsIjMiOjAsIjQiOjAsIjUiOjEsIjYiOjEsIjciOjEsIjgiOjAsIjkiOjEsIjEwIjowLCIxMSI6MCwiMTIiOjB9</vt:lpwstr>
  </property>
  <property fmtid="{D5CDD505-2E9C-101B-9397-08002B2CF9AE}" pid="8" name="ContentTypeId">
    <vt:lpwstr>0x010100958F3DD216C04B45B375149FC6D7031B</vt:lpwstr>
  </property>
  <property fmtid="{D5CDD505-2E9C-101B-9397-08002B2CF9AE}" pid="9" name="MediaServiceImageTags">
    <vt:lpwstr/>
  </property>
</Properties>
</file>