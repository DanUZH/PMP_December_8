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yo/Developer/Backtesting for Portfolio Management/PMP/Global Macro Momentum Model/Data_Ryan/"/>
    </mc:Choice>
  </mc:AlternateContent>
  <xr:revisionPtr revIDLastSave="0" documentId="13_ncr:1_{1925AD64-8962-D74E-8504-0DC1C4400BB3}" xr6:coauthVersionLast="47" xr6:coauthVersionMax="47" xr10:uidLastSave="{00000000-0000-0000-0000-000000000000}"/>
  <bookViews>
    <workbookView xWindow="0" yWindow="760" windowWidth="30240" windowHeight="17860" activeTab="1" xr2:uid="{9F4A3E5D-9022-5448-ABAA-B6C0C4502EAD}"/>
  </bookViews>
  <sheets>
    <sheet name="Raw - Exports (%)" sheetId="1" r:id="rId1"/>
    <sheet name="Normalized - Exports (%)" sheetId="2" r:id="rId2"/>
  </sheets>
  <definedNames>
    <definedName name="_xlnm._FilterDatabase" localSheetId="1" hidden="1">'Normalized - Exports (%)'!$A$1:$G$48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9" i="1"/>
  <c r="O32" i="1"/>
  <c r="O36" i="1"/>
  <c r="O37" i="1"/>
  <c r="O40" i="1"/>
  <c r="O42" i="1"/>
  <c r="O44" i="1"/>
  <c r="O46" i="1"/>
  <c r="O47" i="1"/>
  <c r="J4" i="1"/>
  <c r="I4" i="1"/>
  <c r="I3" i="1"/>
  <c r="I5" i="1"/>
  <c r="P5" i="1" s="1"/>
  <c r="I6" i="1"/>
  <c r="I7" i="1"/>
  <c r="I8" i="1"/>
  <c r="K8" i="1" s="1"/>
  <c r="I9" i="1"/>
  <c r="L9" i="1" s="1"/>
  <c r="I10" i="1"/>
  <c r="J10" i="1" s="1"/>
  <c r="I11" i="1"/>
  <c r="I12" i="1"/>
  <c r="I13" i="1"/>
  <c r="P13" i="1" s="1"/>
  <c r="I14" i="1"/>
  <c r="I15" i="1"/>
  <c r="I16" i="1"/>
  <c r="M16" i="1" s="1"/>
  <c r="I17" i="1"/>
  <c r="P17" i="1" s="1"/>
  <c r="I18" i="1"/>
  <c r="J18" i="1" s="1"/>
  <c r="I19" i="1"/>
  <c r="I20" i="1"/>
  <c r="I21" i="1"/>
  <c r="I22" i="1"/>
  <c r="I23" i="1"/>
  <c r="I24" i="1"/>
  <c r="M24" i="1" s="1"/>
  <c r="I25" i="1"/>
  <c r="P25" i="1" s="1"/>
  <c r="I26" i="1"/>
  <c r="J26" i="1" s="1"/>
  <c r="I27" i="1"/>
  <c r="I28" i="1"/>
  <c r="O28" i="1" s="1"/>
  <c r="I29" i="1"/>
  <c r="I30" i="1"/>
  <c r="O30" i="1" s="1"/>
  <c r="I31" i="1"/>
  <c r="O31" i="1" s="1"/>
  <c r="I32" i="1"/>
  <c r="M32" i="1" s="1"/>
  <c r="I33" i="1"/>
  <c r="P33" i="1" s="1"/>
  <c r="I34" i="1"/>
  <c r="J34" i="1" s="1"/>
  <c r="I35" i="1"/>
  <c r="O35" i="1" s="1"/>
  <c r="I36" i="1"/>
  <c r="I37" i="1"/>
  <c r="I38" i="1"/>
  <c r="O38" i="1" s="1"/>
  <c r="I39" i="1"/>
  <c r="O39" i="1" s="1"/>
  <c r="I40" i="1"/>
  <c r="M40" i="1" s="1"/>
  <c r="I41" i="1"/>
  <c r="P41" i="1" s="1"/>
  <c r="I42" i="1"/>
  <c r="J42" i="1" s="1"/>
  <c r="I43" i="1"/>
  <c r="K43" i="1" s="1"/>
  <c r="I44" i="1"/>
  <c r="I45" i="1"/>
  <c r="O45" i="1" s="1"/>
  <c r="I46" i="1"/>
  <c r="I47" i="1"/>
  <c r="I2" i="1"/>
  <c r="K4" i="1"/>
  <c r="J3" i="1"/>
  <c r="M6" i="1"/>
  <c r="K7" i="1"/>
  <c r="K11" i="1"/>
  <c r="M12" i="1"/>
  <c r="J14" i="1"/>
  <c r="K15" i="1"/>
  <c r="K19" i="1"/>
  <c r="M20" i="1"/>
  <c r="P21" i="1"/>
  <c r="J22" i="1"/>
  <c r="K23" i="1"/>
  <c r="K27" i="1"/>
  <c r="P29" i="1"/>
  <c r="K31" i="1"/>
  <c r="M36" i="1"/>
  <c r="P37" i="1"/>
  <c r="J38" i="1"/>
  <c r="M44" i="1"/>
  <c r="P45" i="1"/>
  <c r="J46" i="1"/>
  <c r="P47" i="1"/>
  <c r="L2" i="1"/>
  <c r="O43" i="1" l="1"/>
  <c r="O41" i="1"/>
  <c r="K39" i="1"/>
  <c r="K35" i="1"/>
  <c r="O34" i="1"/>
  <c r="O33" i="1"/>
  <c r="J30" i="1"/>
  <c r="M28" i="1"/>
  <c r="N6" i="1"/>
  <c r="L47" i="1"/>
  <c r="L23" i="1"/>
  <c r="L39" i="1"/>
  <c r="L31" i="1"/>
  <c r="L15" i="1"/>
  <c r="K2" i="1"/>
  <c r="N5" i="1"/>
  <c r="L6" i="1"/>
  <c r="J8" i="1"/>
  <c r="M9" i="1"/>
  <c r="J47" i="1"/>
  <c r="N45" i="1"/>
  <c r="L44" i="1"/>
  <c r="J43" i="1"/>
  <c r="N41" i="1"/>
  <c r="L40" i="1"/>
  <c r="J39" i="1"/>
  <c r="N37" i="1"/>
  <c r="L36" i="1"/>
  <c r="J35" i="1"/>
  <c r="N33" i="1"/>
  <c r="L32" i="1"/>
  <c r="J31" i="1"/>
  <c r="N29" i="1"/>
  <c r="L28" i="1"/>
  <c r="J27" i="1"/>
  <c r="N25" i="1"/>
  <c r="L24" i="1"/>
  <c r="J23" i="1"/>
  <c r="N21" i="1"/>
  <c r="L20" i="1"/>
  <c r="J19" i="1"/>
  <c r="N17" i="1"/>
  <c r="L16" i="1"/>
  <c r="J15" i="1"/>
  <c r="N13" i="1"/>
  <c r="L12" i="1"/>
  <c r="J11" i="1"/>
  <c r="P2" i="1"/>
  <c r="P4" i="1"/>
  <c r="M5" i="1"/>
  <c r="K6" i="1"/>
  <c r="P8" i="1"/>
  <c r="N9" i="1"/>
  <c r="P46" i="1"/>
  <c r="M45" i="1"/>
  <c r="K44" i="1"/>
  <c r="P42" i="1"/>
  <c r="M41" i="1"/>
  <c r="K40" i="1"/>
  <c r="P38" i="1"/>
  <c r="M37" i="1"/>
  <c r="K36" i="1"/>
  <c r="P34" i="1"/>
  <c r="M33" i="1"/>
  <c r="K32" i="1"/>
  <c r="P30" i="1"/>
  <c r="M29" i="1"/>
  <c r="K28" i="1"/>
  <c r="P26" i="1"/>
  <c r="M25" i="1"/>
  <c r="K24" i="1"/>
  <c r="P22" i="1"/>
  <c r="M21" i="1"/>
  <c r="K20" i="1"/>
  <c r="P18" i="1"/>
  <c r="M17" i="1"/>
  <c r="K16" i="1"/>
  <c r="P14" i="1"/>
  <c r="M13" i="1"/>
  <c r="K12" i="1"/>
  <c r="P10" i="1"/>
  <c r="P3" i="1"/>
  <c r="N4" i="1"/>
  <c r="L5" i="1"/>
  <c r="J7" i="1"/>
  <c r="N8" i="1"/>
  <c r="P9" i="1"/>
  <c r="N46" i="1"/>
  <c r="L45" i="1"/>
  <c r="J44" i="1"/>
  <c r="N42" i="1"/>
  <c r="L41" i="1"/>
  <c r="J40" i="1"/>
  <c r="N38" i="1"/>
  <c r="L37" i="1"/>
  <c r="J36" i="1"/>
  <c r="N34" i="1"/>
  <c r="L33" i="1"/>
  <c r="J32" i="1"/>
  <c r="Q32" i="1" s="1"/>
  <c r="N30" i="1"/>
  <c r="L29" i="1"/>
  <c r="J28" i="1"/>
  <c r="N26" i="1"/>
  <c r="L25" i="1"/>
  <c r="J24" i="1"/>
  <c r="N22" i="1"/>
  <c r="L21" i="1"/>
  <c r="J20" i="1"/>
  <c r="N18" i="1"/>
  <c r="L17" i="1"/>
  <c r="J16" i="1"/>
  <c r="N14" i="1"/>
  <c r="L13" i="1"/>
  <c r="J12" i="1"/>
  <c r="N10" i="1"/>
  <c r="N3" i="1"/>
  <c r="M4" i="1"/>
  <c r="K5" i="1"/>
  <c r="P7" i="1"/>
  <c r="M8" i="1"/>
  <c r="J9" i="1"/>
  <c r="M46" i="1"/>
  <c r="K45" i="1"/>
  <c r="P43" i="1"/>
  <c r="M42" i="1"/>
  <c r="K41" i="1"/>
  <c r="P39" i="1"/>
  <c r="M38" i="1"/>
  <c r="K37" i="1"/>
  <c r="P35" i="1"/>
  <c r="M34" i="1"/>
  <c r="Q34" i="1" s="1"/>
  <c r="K33" i="1"/>
  <c r="P31" i="1"/>
  <c r="M30" i="1"/>
  <c r="K29" i="1"/>
  <c r="P27" i="1"/>
  <c r="M26" i="1"/>
  <c r="K25" i="1"/>
  <c r="P23" i="1"/>
  <c r="M22" i="1"/>
  <c r="K21" i="1"/>
  <c r="P19" i="1"/>
  <c r="M18" i="1"/>
  <c r="K17" i="1"/>
  <c r="P15" i="1"/>
  <c r="M14" i="1"/>
  <c r="K13" i="1"/>
  <c r="P11" i="1"/>
  <c r="M10" i="1"/>
  <c r="J2" i="1"/>
  <c r="M3" i="1"/>
  <c r="L4" i="1"/>
  <c r="J6" i="1"/>
  <c r="N7" i="1"/>
  <c r="L8" i="1"/>
  <c r="N47" i="1"/>
  <c r="L46" i="1"/>
  <c r="J45" i="1"/>
  <c r="Q45" i="1" s="1"/>
  <c r="N43" i="1"/>
  <c r="L42" i="1"/>
  <c r="J41" i="1"/>
  <c r="Q41" i="1" s="1"/>
  <c r="N39" i="1"/>
  <c r="L38" i="1"/>
  <c r="Q38" i="1" s="1"/>
  <c r="J37" i="1"/>
  <c r="N35" i="1"/>
  <c r="L34" i="1"/>
  <c r="J33" i="1"/>
  <c r="N31" i="1"/>
  <c r="L30" i="1"/>
  <c r="J29" i="1"/>
  <c r="N27" i="1"/>
  <c r="L26" i="1"/>
  <c r="J25" i="1"/>
  <c r="N23" i="1"/>
  <c r="L22" i="1"/>
  <c r="J21" i="1"/>
  <c r="N19" i="1"/>
  <c r="L18" i="1"/>
  <c r="J17" i="1"/>
  <c r="N15" i="1"/>
  <c r="L14" i="1"/>
  <c r="J13" i="1"/>
  <c r="N11" i="1"/>
  <c r="L10" i="1"/>
  <c r="N2" i="1"/>
  <c r="L3" i="1"/>
  <c r="P6" i="1"/>
  <c r="M7" i="1"/>
  <c r="M47" i="1"/>
  <c r="K46" i="1"/>
  <c r="Q46" i="1" s="1"/>
  <c r="P44" i="1"/>
  <c r="M43" i="1"/>
  <c r="K42" i="1"/>
  <c r="Q42" i="1" s="1"/>
  <c r="P40" i="1"/>
  <c r="M39" i="1"/>
  <c r="K38" i="1"/>
  <c r="P36" i="1"/>
  <c r="M35" i="1"/>
  <c r="K34" i="1"/>
  <c r="P32" i="1"/>
  <c r="M31" i="1"/>
  <c r="K30" i="1"/>
  <c r="P28" i="1"/>
  <c r="M27" i="1"/>
  <c r="K26" i="1"/>
  <c r="P24" i="1"/>
  <c r="M23" i="1"/>
  <c r="K22" i="1"/>
  <c r="P20" i="1"/>
  <c r="M19" i="1"/>
  <c r="K18" i="1"/>
  <c r="P16" i="1"/>
  <c r="M15" i="1"/>
  <c r="K14" i="1"/>
  <c r="P12" i="1"/>
  <c r="M11" i="1"/>
  <c r="K10" i="1"/>
  <c r="M2" i="1"/>
  <c r="K3" i="1"/>
  <c r="J5" i="1"/>
  <c r="L7" i="1"/>
  <c r="K9" i="1"/>
  <c r="N44" i="1"/>
  <c r="L43" i="1"/>
  <c r="N40" i="1"/>
  <c r="N36" i="1"/>
  <c r="L35" i="1"/>
  <c r="N32" i="1"/>
  <c r="N28" i="1"/>
  <c r="L27" i="1"/>
  <c r="N24" i="1"/>
  <c r="N20" i="1"/>
  <c r="L19" i="1"/>
  <c r="N16" i="1"/>
  <c r="N12" i="1"/>
  <c r="L11" i="1"/>
  <c r="K47" i="1"/>
  <c r="Q47" i="1" l="1"/>
  <c r="Q44" i="1"/>
  <c r="Q43" i="1"/>
  <c r="Q40" i="1"/>
  <c r="Q39" i="1"/>
  <c r="Q37" i="1"/>
  <c r="Q36" i="1"/>
  <c r="Q35" i="1"/>
  <c r="Q33" i="1"/>
  <c r="Q31" i="1"/>
  <c r="Q30" i="1"/>
  <c r="Q29" i="1"/>
  <c r="Q28" i="1"/>
</calcChain>
</file>

<file path=xl/sharedStrings.xml><?xml version="1.0" encoding="utf-8"?>
<sst xmlns="http://schemas.openxmlformats.org/spreadsheetml/2006/main" count="23" uniqueCount="9">
  <si>
    <t>Date</t>
  </si>
  <si>
    <t>UK</t>
  </si>
  <si>
    <t>CH</t>
  </si>
  <si>
    <t>JP</t>
  </si>
  <si>
    <t>AU</t>
  </si>
  <si>
    <t>EU</t>
  </si>
  <si>
    <t>EM</t>
  </si>
  <si>
    <t>Sum</t>
  </si>
  <si>
    <t>EM2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</si>
</sst>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7019A-0E2B-BA4B-9523-995EABE9A7F0}">
  <dimension ref="A1:Q47"/>
  <sheetViews>
    <sheetView workbookViewId="0">
      <selection activeCell="J2" sqref="J2:O47"/>
    </sheetView>
  </sheetViews>
  <sheetFormatPr baseColWidth="10" defaultRowHeight="16" x14ac:dyDescent="0.2"/>
  <cols>
    <col min="8" max="8" width="0" hidden="1" customWidth="1"/>
    <col min="16" max="16" width="0" hidden="1" customWidth="1"/>
  </cols>
  <sheetData>
    <row r="1" spans="1:1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7</v>
      </c>
      <c r="J1" t="s">
        <v>1</v>
      </c>
      <c r="K1" t="s">
        <v>2</v>
      </c>
      <c r="L1" t="s">
        <v>3</v>
      </c>
      <c r="M1" t="s">
        <v>4</v>
      </c>
      <c r="N1" t="s">
        <v>5</v>
      </c>
      <c r="O1" t="s">
        <v>6</v>
      </c>
      <c r="P1" t="s">
        <v>8</v>
      </c>
    </row>
    <row r="2" spans="1:17" x14ac:dyDescent="0.2">
      <c r="A2">
        <v>2025</v>
      </c>
      <c r="B2">
        <v>3.8</v>
      </c>
      <c r="C2">
        <v>3.55</v>
      </c>
      <c r="D2">
        <v>4.1100000000000003</v>
      </c>
      <c r="E2">
        <v>1.7</v>
      </c>
      <c r="F2">
        <v>17.22</v>
      </c>
      <c r="G2">
        <v>7.54</v>
      </c>
      <c r="H2">
        <v>43.72</v>
      </c>
      <c r="I2">
        <f>SUM(B2:G2)</f>
        <v>37.92</v>
      </c>
      <c r="J2" s="1">
        <f>B2/$I$2</f>
        <v>0.10021097046413502</v>
      </c>
      <c r="K2" s="1">
        <f>C2/$I$2</f>
        <v>9.3618143459915606E-2</v>
      </c>
      <c r="L2" s="1">
        <f>D2/$I$2</f>
        <v>0.1083860759493671</v>
      </c>
      <c r="M2" s="1">
        <f>E2/$I$2</f>
        <v>4.4831223628691977E-2</v>
      </c>
      <c r="N2" s="1">
        <f>F2/$I$2</f>
        <v>0.45411392405063283</v>
      </c>
      <c r="O2" s="1">
        <f>G2/I2</f>
        <v>0.19883966244725737</v>
      </c>
      <c r="P2" s="1">
        <f>H2/$I$2</f>
        <v>1.1529535864978901</v>
      </c>
      <c r="Q2" s="1">
        <f>SUM(J2:O2)</f>
        <v>0.99999999999999989</v>
      </c>
    </row>
    <row r="3" spans="1:17" x14ac:dyDescent="0.2">
      <c r="A3">
        <v>2024</v>
      </c>
      <c r="B3">
        <v>3.67</v>
      </c>
      <c r="C3">
        <v>1.48</v>
      </c>
      <c r="D3">
        <v>4.29</v>
      </c>
      <c r="E3">
        <v>1.8</v>
      </c>
      <c r="F3">
        <v>16.559999999999999</v>
      </c>
      <c r="G3">
        <v>8.35</v>
      </c>
      <c r="H3">
        <v>45.31</v>
      </c>
      <c r="I3">
        <f t="shared" ref="I3:I47" si="0">SUM(B3:G3)</f>
        <v>36.15</v>
      </c>
      <c r="J3" s="1">
        <f>B3/$I$3</f>
        <v>0.10152143845089903</v>
      </c>
      <c r="K3" s="1">
        <f>C3/$I$3</f>
        <v>4.0940525587828493E-2</v>
      </c>
      <c r="L3" s="1">
        <f>D3/$I$3</f>
        <v>0.11867219917012449</v>
      </c>
      <c r="M3" s="1">
        <f>E3/$I$3</f>
        <v>4.9792531120331954E-2</v>
      </c>
      <c r="N3" s="1">
        <f>F3/$I$3</f>
        <v>0.45809128630705392</v>
      </c>
      <c r="O3" s="1">
        <f t="shared" ref="O3:O47" si="1">G3/I3</f>
        <v>0.23098201936376211</v>
      </c>
      <c r="P3" s="1">
        <f>H3/$I$3</f>
        <v>1.2533886583679117</v>
      </c>
      <c r="Q3" s="1">
        <f t="shared" ref="Q3:Q47" si="2">SUM(J3:O3)</f>
        <v>1</v>
      </c>
    </row>
    <row r="4" spans="1:17" x14ac:dyDescent="0.2">
      <c r="A4">
        <v>2023</v>
      </c>
      <c r="B4">
        <v>3.64</v>
      </c>
      <c r="C4">
        <v>1.67</v>
      </c>
      <c r="D4">
        <v>4.25</v>
      </c>
      <c r="E4">
        <v>1.68</v>
      </c>
      <c r="F4">
        <v>17.440000000000001</v>
      </c>
      <c r="G4">
        <v>8.5</v>
      </c>
      <c r="H4">
        <v>44.73</v>
      </c>
      <c r="I4">
        <f>SUM(B4:G4)</f>
        <v>37.18</v>
      </c>
      <c r="J4" s="1">
        <f>B4/$I$4</f>
        <v>9.7902097902097904E-2</v>
      </c>
      <c r="K4" s="1">
        <f>C4/$I$4</f>
        <v>4.4916621839698759E-2</v>
      </c>
      <c r="L4" s="1">
        <f>D4/$I$4</f>
        <v>0.114308768154922</v>
      </c>
      <c r="M4" s="1">
        <f>E4/$I$4</f>
        <v>4.5185583647122107E-2</v>
      </c>
      <c r="N4" s="1">
        <f>F4/$I$4</f>
        <v>0.46906939214631527</v>
      </c>
      <c r="O4" s="1">
        <f t="shared" si="1"/>
        <v>0.22861753630984399</v>
      </c>
      <c r="P4" s="1">
        <f>H4/$I$4</f>
        <v>1.2030661646046261</v>
      </c>
      <c r="Q4" s="1">
        <f t="shared" si="2"/>
        <v>1</v>
      </c>
    </row>
    <row r="5" spans="1:17" x14ac:dyDescent="0.2">
      <c r="A5">
        <v>2022</v>
      </c>
      <c r="B5">
        <v>3.73</v>
      </c>
      <c r="C5">
        <v>1.84</v>
      </c>
      <c r="D5">
        <v>4.42</v>
      </c>
      <c r="E5">
        <v>1.52</v>
      </c>
      <c r="F5">
        <v>16.760000000000002</v>
      </c>
      <c r="G5">
        <v>8.7200000000000006</v>
      </c>
      <c r="H5">
        <v>45.27</v>
      </c>
      <c r="I5">
        <f t="shared" si="0"/>
        <v>36.99</v>
      </c>
      <c r="J5" s="1">
        <f>B5/$I$5</f>
        <v>0.10083806434171397</v>
      </c>
      <c r="K5" s="1">
        <f>C5/$I$5</f>
        <v>4.9743173830765069E-2</v>
      </c>
      <c r="L5" s="1">
        <f>D5/$I$5</f>
        <v>0.11949175452825087</v>
      </c>
      <c r="M5" s="1">
        <f>E5/$I$5</f>
        <v>4.1092187077588535E-2</v>
      </c>
      <c r="N5" s="1">
        <f>F5/$I$5</f>
        <v>0.45309543119762102</v>
      </c>
      <c r="O5" s="1">
        <f t="shared" si="1"/>
        <v>0.23573938902406055</v>
      </c>
      <c r="P5" s="1">
        <f>H5/$I$5</f>
        <v>1.2238442822384428</v>
      </c>
      <c r="Q5" s="1">
        <f t="shared" si="2"/>
        <v>1</v>
      </c>
    </row>
    <row r="6" spans="1:17" x14ac:dyDescent="0.2">
      <c r="A6">
        <v>2021</v>
      </c>
      <c r="B6">
        <v>3.14</v>
      </c>
      <c r="C6">
        <v>1.38</v>
      </c>
      <c r="D6">
        <v>4.8</v>
      </c>
      <c r="E6">
        <v>1.58</v>
      </c>
      <c r="F6">
        <v>15.96</v>
      </c>
      <c r="G6">
        <v>10.51</v>
      </c>
      <c r="H6">
        <v>47.17</v>
      </c>
      <c r="I6">
        <f t="shared" si="0"/>
        <v>37.369999999999997</v>
      </c>
      <c r="J6" s="1">
        <f>B6/$I$6</f>
        <v>8.4024618678084029E-2</v>
      </c>
      <c r="K6" s="1">
        <f>C6/$I$6</f>
        <v>3.6928017126036924E-2</v>
      </c>
      <c r="L6" s="1">
        <f>D6/$I$6</f>
        <v>0.12844527696012845</v>
      </c>
      <c r="M6" s="1">
        <f>E6/$I$6</f>
        <v>4.2279903666042284E-2</v>
      </c>
      <c r="N6" s="1">
        <f>F6/$I$6</f>
        <v>0.42708054589242711</v>
      </c>
      <c r="O6" s="1">
        <f t="shared" si="1"/>
        <v>0.28124163767728128</v>
      </c>
      <c r="P6" s="1">
        <f>H6/$I$6</f>
        <v>1.2622424404602623</v>
      </c>
      <c r="Q6" s="1">
        <f t="shared" si="2"/>
        <v>1</v>
      </c>
    </row>
    <row r="7" spans="1:17" x14ac:dyDescent="0.2">
      <c r="A7">
        <v>2020</v>
      </c>
      <c r="B7">
        <v>3.87</v>
      </c>
      <c r="C7">
        <v>1.67</v>
      </c>
      <c r="D7">
        <v>5.76</v>
      </c>
      <c r="E7">
        <v>2.04</v>
      </c>
      <c r="F7">
        <v>16.899999999999999</v>
      </c>
      <c r="G7">
        <v>10.94</v>
      </c>
      <c r="H7">
        <v>39.130000000000003</v>
      </c>
      <c r="I7">
        <f t="shared" si="0"/>
        <v>41.18</v>
      </c>
      <c r="J7" s="1">
        <f>B7/$I$7</f>
        <v>9.3977659057795052E-2</v>
      </c>
      <c r="K7" s="1">
        <f>C7/$I$7</f>
        <v>4.0553666828557551E-2</v>
      </c>
      <c r="L7" s="1">
        <f>D7/$I$7</f>
        <v>0.13987372510927634</v>
      </c>
      <c r="M7" s="1">
        <f>E7/$I$7</f>
        <v>4.953861097620204E-2</v>
      </c>
      <c r="N7" s="1">
        <f>F7/$I$7</f>
        <v>0.41039339485186982</v>
      </c>
      <c r="O7" s="1">
        <f t="shared" si="1"/>
        <v>0.26566294317629918</v>
      </c>
      <c r="P7" s="1">
        <f>H7/$I$7</f>
        <v>0.95021855269548328</v>
      </c>
      <c r="Q7" s="1">
        <f t="shared" si="2"/>
        <v>1</v>
      </c>
    </row>
    <row r="8" spans="1:17" x14ac:dyDescent="0.2">
      <c r="A8">
        <v>2019</v>
      </c>
      <c r="B8">
        <v>4.21</v>
      </c>
      <c r="C8">
        <v>1.18</v>
      </c>
      <c r="D8">
        <v>5.09</v>
      </c>
      <c r="E8">
        <v>1.68</v>
      </c>
      <c r="F8">
        <v>15.19</v>
      </c>
      <c r="G8">
        <v>7.73</v>
      </c>
      <c r="H8">
        <v>44.55</v>
      </c>
      <c r="I8">
        <f t="shared" si="0"/>
        <v>35.08</v>
      </c>
      <c r="J8" s="1">
        <f>B8/$I$8</f>
        <v>0.12001140250855188</v>
      </c>
      <c r="K8" s="1">
        <f>C8/$I$8</f>
        <v>3.3637400228050174E-2</v>
      </c>
      <c r="L8" s="1">
        <f>D8/$I$8</f>
        <v>0.145096921322691</v>
      </c>
      <c r="M8" s="1">
        <f>E8/$I$8</f>
        <v>4.789053591790194E-2</v>
      </c>
      <c r="N8" s="1">
        <f>F8/$I$8</f>
        <v>0.43301026225769668</v>
      </c>
      <c r="O8" s="1">
        <f t="shared" si="1"/>
        <v>0.22035347776510836</v>
      </c>
      <c r="P8" s="1">
        <f>H8/$I$8</f>
        <v>1.2699543899657924</v>
      </c>
      <c r="Q8" s="1">
        <f t="shared" si="2"/>
        <v>1</v>
      </c>
    </row>
    <row r="9" spans="1:17" x14ac:dyDescent="0.2">
      <c r="A9">
        <v>2018</v>
      </c>
      <c r="B9">
        <v>3.87</v>
      </c>
      <c r="C9">
        <v>1.29</v>
      </c>
      <c r="D9">
        <v>5.12</v>
      </c>
      <c r="E9">
        <v>1.52</v>
      </c>
      <c r="F9">
        <v>14.3</v>
      </c>
      <c r="G9">
        <v>9.57</v>
      </c>
      <c r="H9">
        <v>46.34</v>
      </c>
      <c r="I9">
        <f t="shared" si="0"/>
        <v>35.67</v>
      </c>
      <c r="J9" s="1">
        <f>B9/I9</f>
        <v>0.10849453322119428</v>
      </c>
      <c r="K9" s="1">
        <f>C9/I9</f>
        <v>3.6164844407064758E-2</v>
      </c>
      <c r="L9" s="1">
        <f>D9/I9</f>
        <v>0.14353798710400897</v>
      </c>
      <c r="M9" s="1">
        <f>E9/I9</f>
        <v>4.2612839921502658E-2</v>
      </c>
      <c r="N9" s="1">
        <f>F9/I9</f>
        <v>0.40089711241940007</v>
      </c>
      <c r="O9" s="1">
        <f t="shared" si="1"/>
        <v>0.26829268292682928</v>
      </c>
      <c r="P9" s="1">
        <f>H9/I9</f>
        <v>1.2991309223437062</v>
      </c>
      <c r="Q9" s="1">
        <f t="shared" si="2"/>
        <v>1</v>
      </c>
    </row>
    <row r="10" spans="1:17" x14ac:dyDescent="0.2">
      <c r="A10">
        <v>2017</v>
      </c>
      <c r="B10">
        <v>3.92</v>
      </c>
      <c r="C10">
        <v>1.39</v>
      </c>
      <c r="D10">
        <v>4.93</v>
      </c>
      <c r="E10">
        <v>1.63</v>
      </c>
      <c r="F10">
        <v>14.18</v>
      </c>
      <c r="G10">
        <v>10.33</v>
      </c>
      <c r="H10">
        <v>46.63</v>
      </c>
      <c r="I10">
        <f t="shared" si="0"/>
        <v>36.379999999999995</v>
      </c>
      <c r="J10" s="1">
        <f t="shared" ref="J10:J47" si="3">B10/I10</f>
        <v>0.10775151181968115</v>
      </c>
      <c r="K10" s="1">
        <f t="shared" ref="K10:K47" si="4">C10/I10</f>
        <v>3.8207806487080817E-2</v>
      </c>
      <c r="L10" s="1">
        <f t="shared" ref="L10:L47" si="5">D10/I10</f>
        <v>0.1355140186915888</v>
      </c>
      <c r="M10" s="1">
        <f t="shared" ref="M10:M47" si="6">E10/I10</f>
        <v>4.4804837822979664E-2</v>
      </c>
      <c r="N10" s="1">
        <f t="shared" ref="N10:N47" si="7">F10/I10</f>
        <v>0.38977460142935683</v>
      </c>
      <c r="O10" s="1">
        <f t="shared" si="1"/>
        <v>0.28394722374931286</v>
      </c>
      <c r="P10" s="1">
        <f t="shared" ref="P10:P46" si="8">H10/I10</f>
        <v>1.2817482133040135</v>
      </c>
      <c r="Q10" s="1">
        <f t="shared" si="2"/>
        <v>1</v>
      </c>
    </row>
    <row r="11" spans="1:17" x14ac:dyDescent="0.2">
      <c r="A11">
        <v>2016</v>
      </c>
      <c r="B11">
        <v>4.0999999999999996</v>
      </c>
      <c r="C11">
        <v>1.75</v>
      </c>
      <c r="D11">
        <v>4.9800000000000004</v>
      </c>
      <c r="E11">
        <v>1.66</v>
      </c>
      <c r="F11">
        <v>14.46</v>
      </c>
      <c r="G11">
        <v>9.74</v>
      </c>
      <c r="H11">
        <v>45.79</v>
      </c>
      <c r="I11">
        <f t="shared" si="0"/>
        <v>36.690000000000005</v>
      </c>
      <c r="J11" s="1">
        <f t="shared" si="3"/>
        <v>0.11174707004633412</v>
      </c>
      <c r="K11" s="1">
        <f t="shared" si="4"/>
        <v>4.7696920141727987E-2</v>
      </c>
      <c r="L11" s="1">
        <f t="shared" si="5"/>
        <v>0.13573180703188878</v>
      </c>
      <c r="M11" s="1">
        <f t="shared" si="6"/>
        <v>4.524393567729626E-2</v>
      </c>
      <c r="N11" s="1">
        <f t="shared" si="7"/>
        <v>0.39411283728536384</v>
      </c>
      <c r="O11" s="1">
        <f t="shared" si="1"/>
        <v>0.26546742981738891</v>
      </c>
      <c r="P11" s="1">
        <f t="shared" si="8"/>
        <v>1.2480239847369854</v>
      </c>
      <c r="Q11" s="1">
        <f t="shared" si="2"/>
        <v>0.99999999999999989</v>
      </c>
    </row>
    <row r="12" spans="1:17" x14ac:dyDescent="0.2">
      <c r="A12">
        <v>2015</v>
      </c>
      <c r="B12">
        <v>3.96</v>
      </c>
      <c r="C12">
        <v>1.4</v>
      </c>
      <c r="D12">
        <v>4.7</v>
      </c>
      <c r="E12">
        <v>1.65</v>
      </c>
      <c r="F12">
        <v>14.07</v>
      </c>
      <c r="G12">
        <v>9.9700000000000006</v>
      </c>
      <c r="H12">
        <v>46.81</v>
      </c>
      <c r="I12">
        <f t="shared" si="0"/>
        <v>35.75</v>
      </c>
      <c r="J12" s="1">
        <f t="shared" si="3"/>
        <v>0.11076923076923077</v>
      </c>
      <c r="K12" s="1">
        <f t="shared" si="4"/>
        <v>3.9160839160839157E-2</v>
      </c>
      <c r="L12" s="1">
        <f t="shared" si="5"/>
        <v>0.13146853146853146</v>
      </c>
      <c r="M12" s="1">
        <f t="shared" si="6"/>
        <v>4.6153846153846149E-2</v>
      </c>
      <c r="N12" s="1">
        <f t="shared" si="7"/>
        <v>0.39356643356643356</v>
      </c>
      <c r="O12" s="1">
        <f t="shared" si="1"/>
        <v>0.27888111888111888</v>
      </c>
      <c r="P12" s="1">
        <f t="shared" si="8"/>
        <v>1.3093706293706295</v>
      </c>
      <c r="Q12" s="1">
        <f t="shared" si="2"/>
        <v>1</v>
      </c>
    </row>
    <row r="13" spans="1:17" x14ac:dyDescent="0.2">
      <c r="A13">
        <v>2014</v>
      </c>
      <c r="B13">
        <v>3.43</v>
      </c>
      <c r="C13">
        <v>1.37</v>
      </c>
      <c r="D13">
        <v>4.68</v>
      </c>
      <c r="E13">
        <v>1.64</v>
      </c>
      <c r="F13">
        <v>13.34</v>
      </c>
      <c r="G13">
        <v>9.8800000000000008</v>
      </c>
      <c r="H13">
        <v>47.6</v>
      </c>
      <c r="I13">
        <f t="shared" si="0"/>
        <v>34.340000000000003</v>
      </c>
      <c r="J13" s="1">
        <f t="shared" si="3"/>
        <v>9.9883517763541055E-2</v>
      </c>
      <c r="K13" s="1">
        <f t="shared" si="4"/>
        <v>3.9895165987186954E-2</v>
      </c>
      <c r="L13" s="1">
        <f t="shared" si="5"/>
        <v>0.13628421665695981</v>
      </c>
      <c r="M13" s="1">
        <f t="shared" si="6"/>
        <v>4.7757716948165399E-2</v>
      </c>
      <c r="N13" s="1">
        <f t="shared" si="7"/>
        <v>0.38846825859056489</v>
      </c>
      <c r="O13" s="1">
        <f t="shared" si="1"/>
        <v>0.28771112405358185</v>
      </c>
      <c r="P13" s="1">
        <f t="shared" si="8"/>
        <v>1.386138613861386</v>
      </c>
      <c r="Q13" s="1">
        <f t="shared" si="2"/>
        <v>1</v>
      </c>
    </row>
    <row r="14" spans="1:17" x14ac:dyDescent="0.2">
      <c r="A14">
        <v>2013</v>
      </c>
      <c r="B14">
        <v>3.04</v>
      </c>
      <c r="C14">
        <v>1.61</v>
      </c>
      <c r="D14">
        <v>4.75</v>
      </c>
      <c r="E14">
        <v>1.7</v>
      </c>
      <c r="F14">
        <v>13.42</v>
      </c>
      <c r="G14">
        <v>9.6999999999999993</v>
      </c>
      <c r="H14">
        <v>48</v>
      </c>
      <c r="I14">
        <f t="shared" si="0"/>
        <v>34.22</v>
      </c>
      <c r="J14" s="1">
        <f t="shared" si="3"/>
        <v>8.8836937463471655E-2</v>
      </c>
      <c r="K14" s="1">
        <f t="shared" si="4"/>
        <v>4.7048509643483345E-2</v>
      </c>
      <c r="L14" s="1">
        <f t="shared" si="5"/>
        <v>0.13880771478667447</v>
      </c>
      <c r="M14" s="1">
        <f t="shared" si="6"/>
        <v>4.9678550555230856E-2</v>
      </c>
      <c r="N14" s="1">
        <f t="shared" si="7"/>
        <v>0.39216832261835183</v>
      </c>
      <c r="O14" s="1">
        <f t="shared" si="1"/>
        <v>0.28345996493278786</v>
      </c>
      <c r="P14" s="1">
        <f t="shared" si="8"/>
        <v>1.4026884862653419</v>
      </c>
      <c r="Q14" s="1">
        <f t="shared" si="2"/>
        <v>1</v>
      </c>
    </row>
    <row r="15" spans="1:17" x14ac:dyDescent="0.2">
      <c r="A15">
        <v>2012</v>
      </c>
      <c r="B15">
        <v>3.61</v>
      </c>
      <c r="C15">
        <v>1.69</v>
      </c>
      <c r="D15">
        <v>5.19</v>
      </c>
      <c r="E15">
        <v>2.0699999999999998</v>
      </c>
      <c r="F15">
        <v>13.14</v>
      </c>
      <c r="G15">
        <v>8.5299999999999994</v>
      </c>
      <c r="H15">
        <v>47.1</v>
      </c>
      <c r="I15">
        <f t="shared" si="0"/>
        <v>34.230000000000004</v>
      </c>
      <c r="J15" s="1">
        <f t="shared" si="3"/>
        <v>0.10546304411335085</v>
      </c>
      <c r="K15" s="1">
        <f t="shared" si="4"/>
        <v>4.9371895997662861E-2</v>
      </c>
      <c r="L15" s="1">
        <f t="shared" si="5"/>
        <v>0.15162138475021911</v>
      </c>
      <c r="M15" s="1">
        <f t="shared" si="6"/>
        <v>6.0473269062226102E-2</v>
      </c>
      <c r="N15" s="1">
        <f t="shared" si="7"/>
        <v>0.38387379491673967</v>
      </c>
      <c r="O15" s="1">
        <f t="shared" si="1"/>
        <v>0.2491966111598013</v>
      </c>
      <c r="P15" s="1">
        <f t="shared" si="8"/>
        <v>1.375985977212971</v>
      </c>
      <c r="Q15" s="1">
        <f t="shared" si="2"/>
        <v>0.99999999999999989</v>
      </c>
    </row>
    <row r="16" spans="1:17" x14ac:dyDescent="0.2">
      <c r="A16">
        <v>2011</v>
      </c>
      <c r="B16">
        <v>3.8</v>
      </c>
      <c r="C16">
        <v>0.72</v>
      </c>
      <c r="D16">
        <v>5.31</v>
      </c>
      <c r="E16">
        <v>1.98</v>
      </c>
      <c r="F16">
        <v>15.05</v>
      </c>
      <c r="G16">
        <v>8.3000000000000007</v>
      </c>
      <c r="H16">
        <v>46.14</v>
      </c>
      <c r="I16">
        <f t="shared" si="0"/>
        <v>35.159999999999997</v>
      </c>
      <c r="J16" s="1">
        <f t="shared" si="3"/>
        <v>0.1080773606370876</v>
      </c>
      <c r="K16" s="1">
        <f t="shared" si="4"/>
        <v>2.0477815699658706E-2</v>
      </c>
      <c r="L16" s="1">
        <f t="shared" si="5"/>
        <v>0.15102389078498293</v>
      </c>
      <c r="M16" s="1">
        <f t="shared" si="6"/>
        <v>5.6313993174061439E-2</v>
      </c>
      <c r="N16" s="1">
        <f t="shared" si="7"/>
        <v>0.42804323094425489</v>
      </c>
      <c r="O16" s="1">
        <f t="shared" si="1"/>
        <v>0.23606370875995453</v>
      </c>
      <c r="P16" s="1">
        <f t="shared" si="8"/>
        <v>1.3122866894197953</v>
      </c>
      <c r="Q16" s="1">
        <f t="shared" si="2"/>
        <v>1</v>
      </c>
    </row>
    <row r="17" spans="1:17" x14ac:dyDescent="0.2">
      <c r="A17">
        <v>2010</v>
      </c>
      <c r="B17">
        <v>3.52</v>
      </c>
      <c r="C17">
        <v>0.77</v>
      </c>
      <c r="D17">
        <v>5.62</v>
      </c>
      <c r="E17">
        <v>1.85</v>
      </c>
      <c r="F17">
        <v>14.15</v>
      </c>
      <c r="G17">
        <v>8.3000000000000007</v>
      </c>
      <c r="H17">
        <v>44.89</v>
      </c>
      <c r="I17">
        <f t="shared" si="0"/>
        <v>34.21</v>
      </c>
      <c r="J17" s="1">
        <f t="shared" si="3"/>
        <v>0.10289389067524116</v>
      </c>
      <c r="K17" s="1">
        <f t="shared" si="4"/>
        <v>2.2508038585209004E-2</v>
      </c>
      <c r="L17" s="1">
        <f t="shared" si="5"/>
        <v>0.1642794504530839</v>
      </c>
      <c r="M17" s="1">
        <f t="shared" si="6"/>
        <v>5.4077755042385267E-2</v>
      </c>
      <c r="N17" s="1">
        <f t="shared" si="7"/>
        <v>0.41362174802689272</v>
      </c>
      <c r="O17" s="1">
        <f t="shared" si="1"/>
        <v>0.24261911721718799</v>
      </c>
      <c r="P17" s="1">
        <f t="shared" si="8"/>
        <v>1.312189418298743</v>
      </c>
      <c r="Q17" s="1">
        <f t="shared" si="2"/>
        <v>1</v>
      </c>
    </row>
    <row r="18" spans="1:17" x14ac:dyDescent="0.2">
      <c r="A18">
        <v>2009</v>
      </c>
      <c r="B18">
        <v>3.88</v>
      </c>
      <c r="C18">
        <v>0.87</v>
      </c>
      <c r="D18">
        <v>5.85</v>
      </c>
      <c r="E18">
        <v>1.84</v>
      </c>
      <c r="F18">
        <v>15.84</v>
      </c>
      <c r="G18">
        <v>7.52</v>
      </c>
      <c r="H18">
        <v>43.52</v>
      </c>
      <c r="I18">
        <f t="shared" si="0"/>
        <v>35.799999999999997</v>
      </c>
      <c r="J18" s="1">
        <f t="shared" si="3"/>
        <v>0.10837988826815644</v>
      </c>
      <c r="K18" s="1">
        <f t="shared" si="4"/>
        <v>2.4301675977653633E-2</v>
      </c>
      <c r="L18" s="1">
        <f t="shared" si="5"/>
        <v>0.16340782122905029</v>
      </c>
      <c r="M18" s="1">
        <f t="shared" si="6"/>
        <v>5.1396648044692746E-2</v>
      </c>
      <c r="N18" s="1">
        <f t="shared" si="7"/>
        <v>0.44245810055865925</v>
      </c>
      <c r="O18" s="1">
        <f t="shared" si="1"/>
        <v>0.21005586592178771</v>
      </c>
      <c r="P18" s="1">
        <f t="shared" si="8"/>
        <v>1.2156424581005589</v>
      </c>
      <c r="Q18" s="1">
        <f t="shared" si="2"/>
        <v>1</v>
      </c>
    </row>
    <row r="19" spans="1:17" x14ac:dyDescent="0.2">
      <c r="A19">
        <v>2008</v>
      </c>
      <c r="B19">
        <v>3.76</v>
      </c>
      <c r="C19">
        <v>0.82</v>
      </c>
      <c r="D19">
        <v>6.08</v>
      </c>
      <c r="E19">
        <v>1.88</v>
      </c>
      <c r="F19">
        <v>15.7</v>
      </c>
      <c r="G19">
        <v>6.3</v>
      </c>
      <c r="H19">
        <v>42.67</v>
      </c>
      <c r="I19">
        <f t="shared" si="0"/>
        <v>34.54</v>
      </c>
      <c r="J19" s="1">
        <f t="shared" si="3"/>
        <v>0.10885929357266937</v>
      </c>
      <c r="K19" s="1">
        <f t="shared" si="4"/>
        <v>2.3740590619571511E-2</v>
      </c>
      <c r="L19" s="1">
        <f t="shared" si="5"/>
        <v>0.17602779386218878</v>
      </c>
      <c r="M19" s="1">
        <f t="shared" si="6"/>
        <v>5.4429646786334683E-2</v>
      </c>
      <c r="N19" s="1">
        <f t="shared" si="7"/>
        <v>0.45454545454545453</v>
      </c>
      <c r="O19" s="1">
        <f t="shared" si="1"/>
        <v>0.18239722061378114</v>
      </c>
      <c r="P19" s="1">
        <f t="shared" si="8"/>
        <v>1.2353792704111177</v>
      </c>
      <c r="Q19" s="1">
        <f t="shared" si="2"/>
        <v>1</v>
      </c>
    </row>
    <row r="20" spans="1:17" x14ac:dyDescent="0.2">
      <c r="A20">
        <v>2007</v>
      </c>
      <c r="B20">
        <v>4.09</v>
      </c>
      <c r="C20">
        <v>0.81</v>
      </c>
      <c r="D20">
        <v>6.26</v>
      </c>
      <c r="E20">
        <v>1.86</v>
      </c>
      <c r="F20">
        <v>15.75</v>
      </c>
      <c r="G20">
        <v>6.06</v>
      </c>
      <c r="H20">
        <v>40.15</v>
      </c>
      <c r="I20">
        <f t="shared" si="0"/>
        <v>34.83</v>
      </c>
      <c r="J20" s="1">
        <f t="shared" si="3"/>
        <v>0.11742750502440424</v>
      </c>
      <c r="K20" s="1">
        <f t="shared" si="4"/>
        <v>2.3255813953488375E-2</v>
      </c>
      <c r="L20" s="1">
        <f t="shared" si="5"/>
        <v>0.17973011771461384</v>
      </c>
      <c r="M20" s="1">
        <f t="shared" si="6"/>
        <v>5.3402239448751082E-2</v>
      </c>
      <c r="N20" s="1">
        <f t="shared" si="7"/>
        <v>0.45219638242894061</v>
      </c>
      <c r="O20" s="1">
        <f t="shared" si="1"/>
        <v>0.1739879414298019</v>
      </c>
      <c r="P20" s="1">
        <f t="shared" si="8"/>
        <v>1.1527418891759977</v>
      </c>
      <c r="Q20" s="1">
        <f t="shared" si="2"/>
        <v>1</v>
      </c>
    </row>
    <row r="21" spans="1:17" x14ac:dyDescent="0.2">
      <c r="A21">
        <v>2006</v>
      </c>
      <c r="B21">
        <v>4.1399999999999997</v>
      </c>
      <c r="C21">
        <v>0.85</v>
      </c>
      <c r="D21">
        <v>6.76</v>
      </c>
      <c r="E21">
        <v>1.94</v>
      </c>
      <c r="F21">
        <v>15.52</v>
      </c>
      <c r="G21">
        <v>5.78</v>
      </c>
      <c r="H21">
        <v>38.74</v>
      </c>
      <c r="I21">
        <f t="shared" si="0"/>
        <v>34.99</v>
      </c>
      <c r="J21" s="1">
        <f t="shared" si="3"/>
        <v>0.11831951986281793</v>
      </c>
      <c r="K21" s="1">
        <f t="shared" si="4"/>
        <v>2.429265504429837E-2</v>
      </c>
      <c r="L21" s="1">
        <f t="shared" si="5"/>
        <v>0.19319805658759645</v>
      </c>
      <c r="M21" s="1">
        <f t="shared" si="6"/>
        <v>5.5444412689339806E-2</v>
      </c>
      <c r="N21" s="1">
        <f t="shared" si="7"/>
        <v>0.44355530151471845</v>
      </c>
      <c r="O21" s="1">
        <f t="shared" si="1"/>
        <v>0.16519005430122893</v>
      </c>
      <c r="P21" s="1">
        <f t="shared" si="8"/>
        <v>1.1071734781366105</v>
      </c>
      <c r="Q21" s="1">
        <f t="shared" si="2"/>
        <v>0.99999999999999989</v>
      </c>
    </row>
    <row r="22" spans="1:17" x14ac:dyDescent="0.2">
      <c r="A22">
        <v>2005</v>
      </c>
      <c r="B22">
        <v>3.95</v>
      </c>
      <c r="C22">
        <v>0.77</v>
      </c>
      <c r="D22">
        <v>7.08</v>
      </c>
      <c r="E22">
        <v>1.9</v>
      </c>
      <c r="F22">
        <v>16.170000000000002</v>
      </c>
      <c r="G22">
        <v>5.3</v>
      </c>
      <c r="H22">
        <v>37.72</v>
      </c>
      <c r="I22">
        <f t="shared" si="0"/>
        <v>35.17</v>
      </c>
      <c r="J22" s="1">
        <f t="shared" si="3"/>
        <v>0.11231162922945692</v>
      </c>
      <c r="K22" s="1">
        <f t="shared" si="4"/>
        <v>2.1893659368780211E-2</v>
      </c>
      <c r="L22" s="1">
        <f t="shared" si="5"/>
        <v>0.20130793289735568</v>
      </c>
      <c r="M22" s="1">
        <f t="shared" si="6"/>
        <v>5.4023315325561552E-2</v>
      </c>
      <c r="N22" s="1">
        <f t="shared" si="7"/>
        <v>0.45976684674438445</v>
      </c>
      <c r="O22" s="1">
        <f t="shared" si="1"/>
        <v>0.15069661643446117</v>
      </c>
      <c r="P22" s="1">
        <f t="shared" si="8"/>
        <v>1.0725049758316747</v>
      </c>
      <c r="Q22" s="1">
        <f t="shared" si="2"/>
        <v>1</v>
      </c>
    </row>
    <row r="23" spans="1:17" x14ac:dyDescent="0.2">
      <c r="A23">
        <v>2004</v>
      </c>
      <c r="B23">
        <v>5.0599999999999996</v>
      </c>
      <c r="C23">
        <v>0.73</v>
      </c>
      <c r="D23">
        <v>7.38</v>
      </c>
      <c r="E23">
        <v>1.88</v>
      </c>
      <c r="F23">
        <v>16.53</v>
      </c>
      <c r="G23">
        <v>5.19</v>
      </c>
      <c r="H23">
        <v>36.43</v>
      </c>
      <c r="I23">
        <f t="shared" si="0"/>
        <v>36.769999999999996</v>
      </c>
      <c r="J23" s="1">
        <f t="shared" si="3"/>
        <v>0.13761218384552626</v>
      </c>
      <c r="K23" s="1">
        <f t="shared" si="4"/>
        <v>1.9853141147674735E-2</v>
      </c>
      <c r="L23" s="1">
        <f t="shared" si="5"/>
        <v>0.20070709817786242</v>
      </c>
      <c r="M23" s="1">
        <f t="shared" si="6"/>
        <v>5.1128637476203428E-2</v>
      </c>
      <c r="N23" s="1">
        <f t="shared" si="7"/>
        <v>0.44955126461789513</v>
      </c>
      <c r="O23" s="1">
        <f t="shared" si="1"/>
        <v>0.14114767473483822</v>
      </c>
      <c r="P23" s="1">
        <f t="shared" si="8"/>
        <v>0.99075333152026113</v>
      </c>
      <c r="Q23" s="1">
        <f t="shared" si="2"/>
        <v>1.0000000000000002</v>
      </c>
    </row>
    <row r="24" spans="1:17" x14ac:dyDescent="0.2">
      <c r="A24">
        <v>2003</v>
      </c>
      <c r="B24">
        <v>5.34</v>
      </c>
      <c r="C24">
        <v>0.77</v>
      </c>
      <c r="D24">
        <v>7.83</v>
      </c>
      <c r="E24">
        <v>1.88</v>
      </c>
      <c r="F24">
        <v>16.59</v>
      </c>
      <c r="G24">
        <v>4.4400000000000004</v>
      </c>
      <c r="H24">
        <v>35.74</v>
      </c>
      <c r="I24">
        <f t="shared" si="0"/>
        <v>36.849999999999994</v>
      </c>
      <c r="J24" s="1">
        <f t="shared" si="3"/>
        <v>0.14491180461329717</v>
      </c>
      <c r="K24" s="1">
        <f t="shared" si="4"/>
        <v>2.0895522388059706E-2</v>
      </c>
      <c r="L24" s="1">
        <f t="shared" si="5"/>
        <v>0.21248303934871102</v>
      </c>
      <c r="M24" s="1">
        <f t="shared" si="6"/>
        <v>5.1017639077340575E-2</v>
      </c>
      <c r="N24" s="1">
        <f t="shared" si="7"/>
        <v>0.45020352781546819</v>
      </c>
      <c r="O24" s="1">
        <f t="shared" si="1"/>
        <v>0.12048846675712351</v>
      </c>
      <c r="P24" s="1">
        <f t="shared" si="8"/>
        <v>0.96987788331071934</v>
      </c>
      <c r="Q24" s="1">
        <f t="shared" si="2"/>
        <v>1.0000000000000002</v>
      </c>
    </row>
    <row r="25" spans="1:17" x14ac:dyDescent="0.2">
      <c r="A25">
        <v>2002</v>
      </c>
      <c r="B25">
        <v>5.64</v>
      </c>
      <c r="C25">
        <v>0.83</v>
      </c>
      <c r="D25">
        <v>7.96</v>
      </c>
      <c r="E25">
        <v>1.84</v>
      </c>
      <c r="F25">
        <v>16.28</v>
      </c>
      <c r="G25">
        <v>3.7</v>
      </c>
      <c r="H25">
        <v>35.58</v>
      </c>
      <c r="I25">
        <f t="shared" si="0"/>
        <v>36.25</v>
      </c>
      <c r="J25" s="1">
        <f t="shared" si="3"/>
        <v>0.15558620689655173</v>
      </c>
      <c r="K25" s="1">
        <f t="shared" si="4"/>
        <v>2.2896551724137931E-2</v>
      </c>
      <c r="L25" s="1">
        <f t="shared" si="5"/>
        <v>0.21958620689655173</v>
      </c>
      <c r="M25" s="1">
        <f t="shared" si="6"/>
        <v>5.0758620689655178E-2</v>
      </c>
      <c r="N25" s="1">
        <f t="shared" si="7"/>
        <v>0.44910344827586213</v>
      </c>
      <c r="O25" s="1">
        <f t="shared" si="1"/>
        <v>0.10206896551724139</v>
      </c>
      <c r="P25" s="1">
        <f t="shared" si="8"/>
        <v>0.98151724137931029</v>
      </c>
      <c r="Q25" s="1">
        <f t="shared" si="2"/>
        <v>1</v>
      </c>
    </row>
    <row r="26" spans="1:17" x14ac:dyDescent="0.2">
      <c r="A26">
        <v>2001</v>
      </c>
      <c r="B26">
        <v>5.96</v>
      </c>
      <c r="C26">
        <v>0.74</v>
      </c>
      <c r="D26">
        <v>8.31</v>
      </c>
      <c r="E26">
        <v>1.54</v>
      </c>
      <c r="F26">
        <v>16.350000000000001</v>
      </c>
      <c r="G26">
        <v>3.42</v>
      </c>
      <c r="H26">
        <v>35.57</v>
      </c>
      <c r="I26">
        <f t="shared" si="0"/>
        <v>36.320000000000007</v>
      </c>
      <c r="J26" s="1">
        <f t="shared" si="3"/>
        <v>0.16409691629955944</v>
      </c>
      <c r="K26" s="1">
        <f t="shared" si="4"/>
        <v>2.0374449339207044E-2</v>
      </c>
      <c r="L26" s="1">
        <f t="shared" si="5"/>
        <v>0.2287995594713656</v>
      </c>
      <c r="M26" s="1">
        <f t="shared" si="6"/>
        <v>4.2400881057268712E-2</v>
      </c>
      <c r="N26" s="1">
        <f t="shared" si="7"/>
        <v>0.45016519823788542</v>
      </c>
      <c r="O26" s="1">
        <f t="shared" si="1"/>
        <v>9.4162995594713639E-2</v>
      </c>
      <c r="P26" s="1">
        <f t="shared" si="8"/>
        <v>0.97935022026431695</v>
      </c>
      <c r="Q26" s="1">
        <f t="shared" si="2"/>
        <v>0.99999999999999978</v>
      </c>
    </row>
    <row r="27" spans="1:17" x14ac:dyDescent="0.2">
      <c r="A27">
        <v>2000</v>
      </c>
      <c r="B27">
        <v>5.5</v>
      </c>
      <c r="C27">
        <v>0.78</v>
      </c>
      <c r="D27">
        <v>8.74</v>
      </c>
      <c r="E27">
        <v>1.73</v>
      </c>
      <c r="F27">
        <v>15.9</v>
      </c>
      <c r="G27">
        <v>2.7</v>
      </c>
      <c r="H27">
        <v>34.549999999999997</v>
      </c>
      <c r="I27">
        <f t="shared" si="0"/>
        <v>35.35</v>
      </c>
      <c r="J27" s="1">
        <f t="shared" si="3"/>
        <v>0.15558698727015557</v>
      </c>
      <c r="K27" s="1">
        <f t="shared" si="4"/>
        <v>2.2065063649222064E-2</v>
      </c>
      <c r="L27" s="1">
        <f t="shared" si="5"/>
        <v>0.24724186704384724</v>
      </c>
      <c r="M27" s="1">
        <f t="shared" si="6"/>
        <v>4.893917963224894E-2</v>
      </c>
      <c r="N27" s="1">
        <f t="shared" si="7"/>
        <v>0.44978783592644977</v>
      </c>
      <c r="O27" s="1">
        <f t="shared" si="1"/>
        <v>7.6379066478076379E-2</v>
      </c>
      <c r="P27" s="1">
        <f t="shared" si="8"/>
        <v>0.97736916548797725</v>
      </c>
      <c r="Q27" s="1">
        <f t="shared" si="2"/>
        <v>0.99999999999999989</v>
      </c>
    </row>
    <row r="28" spans="1:17" x14ac:dyDescent="0.2">
      <c r="A28">
        <v>1999</v>
      </c>
      <c r="B28">
        <v>5.36</v>
      </c>
      <c r="C28">
        <v>0.73</v>
      </c>
      <c r="D28">
        <v>8.76</v>
      </c>
      <c r="E28">
        <v>1.96</v>
      </c>
      <c r="F28">
        <v>16.86</v>
      </c>
      <c r="G28">
        <v>2.5299999999999998</v>
      </c>
      <c r="H28">
        <v>33.520000000000003</v>
      </c>
      <c r="I28">
        <f t="shared" si="0"/>
        <v>36.200000000000003</v>
      </c>
      <c r="J28" s="1">
        <f t="shared" si="3"/>
        <v>0.14806629834254142</v>
      </c>
      <c r="K28" s="1">
        <f t="shared" si="4"/>
        <v>2.0165745856353588E-2</v>
      </c>
      <c r="L28" s="1">
        <f t="shared" si="5"/>
        <v>0.24198895027624306</v>
      </c>
      <c r="M28" s="1">
        <f t="shared" si="6"/>
        <v>5.4143646408839771E-2</v>
      </c>
      <c r="N28" s="1">
        <f t="shared" si="7"/>
        <v>0.46574585635359111</v>
      </c>
      <c r="O28" s="1">
        <f t="shared" si="1"/>
        <v>6.988950276243093E-2</v>
      </c>
      <c r="P28" s="1">
        <f t="shared" si="8"/>
        <v>0.92596685082872932</v>
      </c>
      <c r="Q28" s="1">
        <f t="shared" si="2"/>
        <v>0.99999999999999978</v>
      </c>
    </row>
    <row r="29" spans="1:17" x14ac:dyDescent="0.2">
      <c r="A29">
        <v>1998</v>
      </c>
      <c r="B29">
        <v>5.67</v>
      </c>
      <c r="C29">
        <v>0.78</v>
      </c>
      <c r="D29">
        <v>8.9600000000000009</v>
      </c>
      <c r="E29">
        <v>1.99</v>
      </c>
      <c r="F29">
        <v>16.989999999999998</v>
      </c>
      <c r="G29">
        <v>2.2599999999999998</v>
      </c>
      <c r="H29">
        <v>33.76</v>
      </c>
      <c r="I29">
        <f t="shared" si="0"/>
        <v>36.65</v>
      </c>
      <c r="J29" s="1">
        <f t="shared" si="3"/>
        <v>0.15470668485675307</v>
      </c>
      <c r="K29" s="1">
        <f t="shared" si="4"/>
        <v>2.1282401091405185E-2</v>
      </c>
      <c r="L29" s="1">
        <f t="shared" si="5"/>
        <v>0.244474761255116</v>
      </c>
      <c r="M29" s="1">
        <f t="shared" si="6"/>
        <v>5.4297407912687584E-2</v>
      </c>
      <c r="N29" s="1">
        <f t="shared" si="7"/>
        <v>0.46357435197817187</v>
      </c>
      <c r="O29" s="1">
        <f t="shared" si="1"/>
        <v>6.1664392905866297E-2</v>
      </c>
      <c r="P29" s="1">
        <f t="shared" si="8"/>
        <v>0.92114597544338339</v>
      </c>
      <c r="Q29" s="1">
        <f t="shared" si="2"/>
        <v>1</v>
      </c>
    </row>
    <row r="30" spans="1:17" x14ac:dyDescent="0.2">
      <c r="A30">
        <v>1997</v>
      </c>
      <c r="B30">
        <v>5.41</v>
      </c>
      <c r="C30">
        <v>0.83</v>
      </c>
      <c r="D30">
        <v>9.98</v>
      </c>
      <c r="E30">
        <v>1.98</v>
      </c>
      <c r="F30">
        <v>15.63</v>
      </c>
      <c r="G30">
        <v>2.14</v>
      </c>
      <c r="H30">
        <v>32.67</v>
      </c>
      <c r="I30">
        <f t="shared" si="0"/>
        <v>35.97</v>
      </c>
      <c r="J30" s="1">
        <f t="shared" si="3"/>
        <v>0.15040311370586601</v>
      </c>
      <c r="K30" s="1">
        <f t="shared" si="4"/>
        <v>2.3074784542674451E-2</v>
      </c>
      <c r="L30" s="1">
        <f t="shared" si="5"/>
        <v>0.27745343341673617</v>
      </c>
      <c r="M30" s="1">
        <f t="shared" si="6"/>
        <v>5.5045871559633031E-2</v>
      </c>
      <c r="N30" s="1">
        <f t="shared" si="7"/>
        <v>0.4345287739783153</v>
      </c>
      <c r="O30" s="1">
        <f t="shared" si="1"/>
        <v>5.9494022796775098E-2</v>
      </c>
      <c r="P30" s="1">
        <f t="shared" si="8"/>
        <v>0.90825688073394506</v>
      </c>
      <c r="Q30" s="1">
        <f t="shared" si="2"/>
        <v>1</v>
      </c>
    </row>
    <row r="31" spans="1:17" x14ac:dyDescent="0.2">
      <c r="A31">
        <v>1996</v>
      </c>
      <c r="B31">
        <v>5.17</v>
      </c>
      <c r="C31">
        <v>0.8</v>
      </c>
      <c r="D31">
        <v>11.47</v>
      </c>
      <c r="E31">
        <v>2.27</v>
      </c>
      <c r="F31">
        <v>15.85</v>
      </c>
      <c r="G31">
        <v>2.3199999999999998</v>
      </c>
      <c r="H31">
        <v>30.78</v>
      </c>
      <c r="I31">
        <f t="shared" si="0"/>
        <v>37.880000000000003</v>
      </c>
      <c r="J31" s="1">
        <f t="shared" si="3"/>
        <v>0.13648363252375922</v>
      </c>
      <c r="K31" s="1">
        <f t="shared" si="4"/>
        <v>2.1119324181626188E-2</v>
      </c>
      <c r="L31" s="1">
        <f t="shared" si="5"/>
        <v>0.30279831045406547</v>
      </c>
      <c r="M31" s="1">
        <f t="shared" si="6"/>
        <v>5.9926082365364307E-2</v>
      </c>
      <c r="N31" s="1">
        <f t="shared" si="7"/>
        <v>0.41842661034846879</v>
      </c>
      <c r="O31" s="1">
        <f t="shared" si="1"/>
        <v>6.1246040126715938E-2</v>
      </c>
      <c r="P31" s="1">
        <f t="shared" si="8"/>
        <v>0.8125659978880676</v>
      </c>
      <c r="Q31" s="1">
        <f t="shared" si="2"/>
        <v>0.99999999999999989</v>
      </c>
    </row>
    <row r="32" spans="1:17" x14ac:dyDescent="0.2">
      <c r="A32">
        <v>1995</v>
      </c>
      <c r="B32">
        <v>4.9800000000000004</v>
      </c>
      <c r="C32">
        <v>0.79</v>
      </c>
      <c r="D32">
        <v>11.76</v>
      </c>
      <c r="E32">
        <v>2.15</v>
      </c>
      <c r="F32">
        <v>16.399999999999999</v>
      </c>
      <c r="G32">
        <v>2.5</v>
      </c>
      <c r="H32">
        <v>29.6</v>
      </c>
      <c r="I32">
        <f t="shared" si="0"/>
        <v>38.58</v>
      </c>
      <c r="J32" s="1">
        <f t="shared" si="3"/>
        <v>0.12908242612752724</v>
      </c>
      <c r="K32" s="1">
        <f t="shared" si="4"/>
        <v>2.0476931052358736E-2</v>
      </c>
      <c r="L32" s="1">
        <f t="shared" si="5"/>
        <v>0.30482115085536549</v>
      </c>
      <c r="M32" s="1">
        <f t="shared" si="6"/>
        <v>5.5728356661482632E-2</v>
      </c>
      <c r="N32" s="1">
        <f t="shared" si="7"/>
        <v>0.4250907205806117</v>
      </c>
      <c r="O32" s="1">
        <f t="shared" si="1"/>
        <v>6.4800414722654229E-2</v>
      </c>
      <c r="P32" s="1">
        <f t="shared" si="8"/>
        <v>0.7672369103162261</v>
      </c>
      <c r="Q32" s="1">
        <f t="shared" si="2"/>
        <v>1</v>
      </c>
    </row>
    <row r="33" spans="1:17" x14ac:dyDescent="0.2">
      <c r="A33">
        <v>1994</v>
      </c>
      <c r="B33">
        <v>4.8499999999999996</v>
      </c>
      <c r="C33">
        <v>0.8</v>
      </c>
      <c r="D33">
        <v>11.26</v>
      </c>
      <c r="E33">
        <v>2.17</v>
      </c>
      <c r="F33">
        <v>16.18</v>
      </c>
      <c r="G33">
        <v>2.5</v>
      </c>
      <c r="H33">
        <v>30.44</v>
      </c>
      <c r="I33">
        <f t="shared" si="0"/>
        <v>37.76</v>
      </c>
      <c r="J33" s="1">
        <f t="shared" si="3"/>
        <v>0.1284427966101695</v>
      </c>
      <c r="K33" s="1">
        <f t="shared" si="4"/>
        <v>2.1186440677966104E-2</v>
      </c>
      <c r="L33" s="1">
        <f t="shared" si="5"/>
        <v>0.29819915254237289</v>
      </c>
      <c r="M33" s="1">
        <f t="shared" si="6"/>
        <v>5.746822033898305E-2</v>
      </c>
      <c r="N33" s="1">
        <f t="shared" si="7"/>
        <v>0.4284957627118644</v>
      </c>
      <c r="O33" s="1">
        <f t="shared" si="1"/>
        <v>6.6207627118644072E-2</v>
      </c>
      <c r="P33" s="1">
        <f t="shared" si="8"/>
        <v>0.8061440677966103</v>
      </c>
      <c r="Q33" s="1">
        <f t="shared" si="2"/>
        <v>1</v>
      </c>
    </row>
    <row r="34" spans="1:17" x14ac:dyDescent="0.2">
      <c r="A34">
        <v>1993</v>
      </c>
      <c r="B34">
        <v>4.96</v>
      </c>
      <c r="C34">
        <v>0.79</v>
      </c>
      <c r="D34">
        <v>11.26</v>
      </c>
      <c r="E34">
        <v>2.02</v>
      </c>
      <c r="F34">
        <v>16.29</v>
      </c>
      <c r="G34">
        <v>2.14</v>
      </c>
      <c r="H34">
        <v>30.76</v>
      </c>
      <c r="I34">
        <f t="shared" si="0"/>
        <v>37.459999999999994</v>
      </c>
      <c r="J34" s="1">
        <f t="shared" si="3"/>
        <v>0.13240790176187936</v>
      </c>
      <c r="K34" s="1">
        <f t="shared" si="4"/>
        <v>2.1089161772557399E-2</v>
      </c>
      <c r="L34" s="1">
        <f t="shared" si="5"/>
        <v>0.30058729311265353</v>
      </c>
      <c r="M34" s="1">
        <f t="shared" si="6"/>
        <v>5.392418579818474E-2</v>
      </c>
      <c r="N34" s="1">
        <f t="shared" si="7"/>
        <v>0.43486385477843037</v>
      </c>
      <c r="O34" s="1">
        <f t="shared" si="1"/>
        <v>5.7127602776294729E-2</v>
      </c>
      <c r="P34" s="1">
        <f t="shared" si="8"/>
        <v>0.82114255205552611</v>
      </c>
      <c r="Q34" s="1">
        <f t="shared" si="2"/>
        <v>1.0000000000000002</v>
      </c>
    </row>
    <row r="35" spans="1:17" x14ac:dyDescent="0.2">
      <c r="A35">
        <v>1992</v>
      </c>
      <c r="B35">
        <v>5.07</v>
      </c>
      <c r="C35">
        <v>0.88</v>
      </c>
      <c r="D35">
        <v>10.99</v>
      </c>
      <c r="E35">
        <v>2.13</v>
      </c>
      <c r="F35">
        <v>18.52</v>
      </c>
      <c r="G35">
        <v>1.86</v>
      </c>
      <c r="H35">
        <v>29.84</v>
      </c>
      <c r="I35">
        <f t="shared" si="0"/>
        <v>39.450000000000003</v>
      </c>
      <c r="J35" s="1">
        <f t="shared" si="3"/>
        <v>0.1285171102661597</v>
      </c>
      <c r="K35" s="1">
        <f t="shared" si="4"/>
        <v>2.2306717363751581E-2</v>
      </c>
      <c r="L35" s="1">
        <f t="shared" si="5"/>
        <v>0.2785804816223067</v>
      </c>
      <c r="M35" s="1">
        <f t="shared" si="6"/>
        <v>5.399239543726235E-2</v>
      </c>
      <c r="N35" s="1">
        <f t="shared" si="7"/>
        <v>0.46945500633713555</v>
      </c>
      <c r="O35" s="1">
        <f t="shared" si="1"/>
        <v>4.714828897338403E-2</v>
      </c>
      <c r="P35" s="1">
        <f t="shared" si="8"/>
        <v>0.75640050697084915</v>
      </c>
      <c r="Q35" s="1">
        <f t="shared" si="2"/>
        <v>1</v>
      </c>
    </row>
    <row r="36" spans="1:17" x14ac:dyDescent="0.2">
      <c r="A36">
        <v>1991</v>
      </c>
      <c r="B36">
        <v>5.41</v>
      </c>
      <c r="C36">
        <v>1.08</v>
      </c>
      <c r="D36">
        <v>11.91</v>
      </c>
      <c r="E36">
        <v>2.31</v>
      </c>
      <c r="F36">
        <v>19.96</v>
      </c>
      <c r="G36">
        <v>1.78</v>
      </c>
      <c r="H36">
        <v>26.76</v>
      </c>
      <c r="I36">
        <f t="shared" si="0"/>
        <v>42.45</v>
      </c>
      <c r="J36" s="1">
        <f t="shared" si="3"/>
        <v>0.12744405182567725</v>
      </c>
      <c r="K36" s="1">
        <f t="shared" si="4"/>
        <v>2.5441696113074206E-2</v>
      </c>
      <c r="L36" s="1">
        <f t="shared" si="5"/>
        <v>0.28056537102473494</v>
      </c>
      <c r="M36" s="1">
        <f t="shared" si="6"/>
        <v>5.4416961130742049E-2</v>
      </c>
      <c r="N36" s="1">
        <f t="shared" si="7"/>
        <v>0.47020023557126028</v>
      </c>
      <c r="O36" s="1">
        <f t="shared" si="1"/>
        <v>4.1931684334511186E-2</v>
      </c>
      <c r="P36" s="1">
        <f t="shared" si="8"/>
        <v>0.63038869257950525</v>
      </c>
      <c r="Q36" s="1">
        <f t="shared" si="2"/>
        <v>1</v>
      </c>
    </row>
    <row r="37" spans="1:17" x14ac:dyDescent="0.2">
      <c r="A37">
        <v>1990</v>
      </c>
      <c r="B37">
        <v>6.13</v>
      </c>
      <c r="C37">
        <v>1.04</v>
      </c>
      <c r="D37">
        <v>12.93</v>
      </c>
      <c r="E37">
        <v>2.54</v>
      </c>
      <c r="F37">
        <v>20.05</v>
      </c>
      <c r="G37">
        <v>1.61</v>
      </c>
      <c r="H37">
        <v>22.51</v>
      </c>
      <c r="I37">
        <f t="shared" si="0"/>
        <v>44.3</v>
      </c>
      <c r="J37" s="1">
        <f t="shared" si="3"/>
        <v>0.13837471783295713</v>
      </c>
      <c r="K37" s="1">
        <f t="shared" si="4"/>
        <v>2.3476297968397293E-2</v>
      </c>
      <c r="L37" s="1">
        <f t="shared" si="5"/>
        <v>0.29187358916478556</v>
      </c>
      <c r="M37" s="1">
        <f t="shared" si="6"/>
        <v>5.7336343115124158E-2</v>
      </c>
      <c r="N37" s="1">
        <f t="shared" si="7"/>
        <v>0.45259593679458243</v>
      </c>
      <c r="O37" s="1">
        <f t="shared" si="1"/>
        <v>3.6343115124153502E-2</v>
      </c>
      <c r="P37" s="1">
        <f t="shared" si="8"/>
        <v>0.50812641083521448</v>
      </c>
      <c r="Q37" s="1">
        <f t="shared" si="2"/>
        <v>1</v>
      </c>
    </row>
    <row r="38" spans="1:17" x14ac:dyDescent="0.2">
      <c r="A38">
        <v>1989</v>
      </c>
      <c r="B38">
        <v>5.93</v>
      </c>
      <c r="C38">
        <v>0.99</v>
      </c>
      <c r="D38">
        <v>12.82</v>
      </c>
      <c r="E38">
        <v>2.71</v>
      </c>
      <c r="F38">
        <v>18.670000000000002</v>
      </c>
      <c r="G38">
        <v>2.09</v>
      </c>
      <c r="H38">
        <v>22.88</v>
      </c>
      <c r="I38">
        <f t="shared" si="0"/>
        <v>43.210000000000008</v>
      </c>
      <c r="J38" s="1">
        <f t="shared" si="3"/>
        <v>0.13723675075214067</v>
      </c>
      <c r="K38" s="1">
        <f t="shared" si="4"/>
        <v>2.291136311039111E-2</v>
      </c>
      <c r="L38" s="1">
        <f t="shared" si="5"/>
        <v>0.29669058088405459</v>
      </c>
      <c r="M38" s="1">
        <f t="shared" si="6"/>
        <v>6.2716963665818082E-2</v>
      </c>
      <c r="N38" s="1">
        <f t="shared" si="7"/>
        <v>0.43207590835454751</v>
      </c>
      <c r="O38" s="1">
        <f t="shared" si="1"/>
        <v>4.8368433233047896E-2</v>
      </c>
      <c r="P38" s="1">
        <f t="shared" si="8"/>
        <v>0.52950705855126112</v>
      </c>
      <c r="Q38" s="1">
        <f t="shared" si="2"/>
        <v>0.99999999999999978</v>
      </c>
    </row>
    <row r="39" spans="1:17" x14ac:dyDescent="0.2">
      <c r="A39">
        <v>1988</v>
      </c>
      <c r="B39">
        <v>5.76</v>
      </c>
      <c r="C39">
        <v>0.93</v>
      </c>
      <c r="D39">
        <v>12.61</v>
      </c>
      <c r="E39">
        <v>2.37</v>
      </c>
      <c r="F39">
        <v>18.309999999999999</v>
      </c>
      <c r="G39">
        <v>1.98</v>
      </c>
      <c r="H39">
        <v>22.54</v>
      </c>
      <c r="I39">
        <f t="shared" si="0"/>
        <v>41.959999999999994</v>
      </c>
      <c r="J39" s="1">
        <f t="shared" si="3"/>
        <v>0.13727359389895138</v>
      </c>
      <c r="K39" s="1">
        <f t="shared" si="4"/>
        <v>2.2163965681601529E-2</v>
      </c>
      <c r="L39" s="1">
        <f t="shared" si="5"/>
        <v>0.30052430886558629</v>
      </c>
      <c r="M39" s="1">
        <f t="shared" si="6"/>
        <v>5.6482364156339379E-2</v>
      </c>
      <c r="N39" s="1">
        <f t="shared" si="7"/>
        <v>0.43636796949475692</v>
      </c>
      <c r="O39" s="1">
        <f t="shared" si="1"/>
        <v>4.7187797902764547E-2</v>
      </c>
      <c r="P39" s="1">
        <f t="shared" si="8"/>
        <v>0.53717826501429944</v>
      </c>
      <c r="Q39" s="1">
        <f t="shared" si="2"/>
        <v>0.99999999999999989</v>
      </c>
    </row>
    <row r="40" spans="1:17" x14ac:dyDescent="0.2">
      <c r="A40">
        <v>1987</v>
      </c>
      <c r="B40">
        <v>5.64</v>
      </c>
      <c r="C40">
        <v>1.01</v>
      </c>
      <c r="D40">
        <v>11.9</v>
      </c>
      <c r="E40">
        <v>2.37</v>
      </c>
      <c r="F40">
        <v>19.579999999999998</v>
      </c>
      <c r="G40">
        <v>1.8</v>
      </c>
      <c r="H40">
        <v>22.31</v>
      </c>
      <c r="I40">
        <f t="shared" si="0"/>
        <v>42.3</v>
      </c>
      <c r="J40" s="1">
        <f t="shared" si="3"/>
        <v>0.13333333333333333</v>
      </c>
      <c r="K40" s="1">
        <f t="shared" si="4"/>
        <v>2.3877068557919625E-2</v>
      </c>
      <c r="L40" s="1">
        <f t="shared" si="5"/>
        <v>0.28132387706855794</v>
      </c>
      <c r="M40" s="1">
        <f t="shared" si="6"/>
        <v>5.6028368794326246E-2</v>
      </c>
      <c r="N40" s="1">
        <f t="shared" si="7"/>
        <v>0.46288416075650118</v>
      </c>
      <c r="O40" s="1">
        <f t="shared" si="1"/>
        <v>4.2553191489361708E-2</v>
      </c>
      <c r="P40" s="1">
        <f t="shared" si="8"/>
        <v>0.5274231678486998</v>
      </c>
      <c r="Q40" s="1">
        <f t="shared" si="2"/>
        <v>1</v>
      </c>
    </row>
    <row r="41" spans="1:17" x14ac:dyDescent="0.2">
      <c r="A41">
        <v>1986</v>
      </c>
      <c r="B41">
        <v>5.25</v>
      </c>
      <c r="C41">
        <v>0.93</v>
      </c>
      <c r="D41">
        <v>12.31</v>
      </c>
      <c r="E41">
        <v>2.41</v>
      </c>
      <c r="F41">
        <v>18.87</v>
      </c>
      <c r="G41">
        <v>1.97</v>
      </c>
      <c r="H41">
        <v>23.36</v>
      </c>
      <c r="I41">
        <f t="shared" si="0"/>
        <v>41.74</v>
      </c>
      <c r="J41" s="1">
        <f t="shared" si="3"/>
        <v>0.12577862961188307</v>
      </c>
      <c r="K41" s="1">
        <f t="shared" si="4"/>
        <v>2.2280785816962148E-2</v>
      </c>
      <c r="L41" s="1">
        <f t="shared" si="5"/>
        <v>0.2949209391471011</v>
      </c>
      <c r="M41" s="1">
        <f t="shared" si="6"/>
        <v>5.7738380450407287E-2</v>
      </c>
      <c r="N41" s="1">
        <f t="shared" si="7"/>
        <v>0.45208433157642547</v>
      </c>
      <c r="O41" s="1">
        <f t="shared" si="1"/>
        <v>4.7196933397220892E-2</v>
      </c>
      <c r="P41" s="1">
        <f t="shared" si="8"/>
        <v>0.55965500718735017</v>
      </c>
      <c r="Q41" s="1">
        <f t="shared" si="2"/>
        <v>0.99999999999999989</v>
      </c>
    </row>
    <row r="42" spans="1:17" x14ac:dyDescent="0.2">
      <c r="A42">
        <v>1985</v>
      </c>
      <c r="B42">
        <v>5.5</v>
      </c>
      <c r="C42">
        <v>0.77</v>
      </c>
      <c r="D42">
        <v>11.24</v>
      </c>
      <c r="E42">
        <v>2.4900000000000002</v>
      </c>
      <c r="F42">
        <v>17.52</v>
      </c>
      <c r="G42">
        <v>2.2400000000000002</v>
      </c>
      <c r="H42">
        <v>25.87</v>
      </c>
      <c r="I42">
        <f t="shared" si="0"/>
        <v>39.76</v>
      </c>
      <c r="J42" s="1">
        <f t="shared" si="3"/>
        <v>0.13832997987927567</v>
      </c>
      <c r="K42" s="1">
        <f t="shared" si="4"/>
        <v>1.9366197183098594E-2</v>
      </c>
      <c r="L42" s="1">
        <f t="shared" si="5"/>
        <v>0.28269617706237427</v>
      </c>
      <c r="M42" s="1">
        <f t="shared" si="6"/>
        <v>6.2625754527162986E-2</v>
      </c>
      <c r="N42" s="1">
        <f t="shared" si="7"/>
        <v>0.44064386317907445</v>
      </c>
      <c r="O42" s="1">
        <f t="shared" si="1"/>
        <v>5.6338028169014093E-2</v>
      </c>
      <c r="P42" s="1">
        <f t="shared" si="8"/>
        <v>0.65065392354124751</v>
      </c>
      <c r="Q42" s="1">
        <f t="shared" si="2"/>
        <v>1</v>
      </c>
    </row>
    <row r="43" spans="1:17" x14ac:dyDescent="0.2">
      <c r="A43">
        <v>1984</v>
      </c>
      <c r="B43">
        <v>5.35</v>
      </c>
      <c r="C43">
        <v>0.84</v>
      </c>
      <c r="D43">
        <v>11.49</v>
      </c>
      <c r="E43">
        <v>2.41</v>
      </c>
      <c r="F43">
        <v>17.329999999999998</v>
      </c>
      <c r="G43">
        <v>1.64</v>
      </c>
      <c r="H43">
        <v>26.51</v>
      </c>
      <c r="I43">
        <f t="shared" si="0"/>
        <v>39.06</v>
      </c>
      <c r="J43" s="1">
        <f t="shared" si="3"/>
        <v>0.13696876600102406</v>
      </c>
      <c r="K43" s="1">
        <f t="shared" si="4"/>
        <v>2.150537634408602E-2</v>
      </c>
      <c r="L43" s="1">
        <f t="shared" si="5"/>
        <v>0.29416282642089092</v>
      </c>
      <c r="M43" s="1">
        <f t="shared" si="6"/>
        <v>6.1699948796722991E-2</v>
      </c>
      <c r="N43" s="1">
        <f t="shared" si="7"/>
        <v>0.44367639528929842</v>
      </c>
      <c r="O43" s="1">
        <f t="shared" si="1"/>
        <v>4.1986687147977465E-2</v>
      </c>
      <c r="P43" s="1">
        <f t="shared" si="8"/>
        <v>0.67869943676395295</v>
      </c>
      <c r="Q43" s="1">
        <f t="shared" si="2"/>
        <v>1</v>
      </c>
    </row>
    <row r="44" spans="1:17" x14ac:dyDescent="0.2">
      <c r="A44">
        <v>1983</v>
      </c>
      <c r="B44">
        <v>5.26</v>
      </c>
      <c r="C44">
        <v>1.1200000000000001</v>
      </c>
      <c r="D44">
        <v>11.38</v>
      </c>
      <c r="E44">
        <v>2.15</v>
      </c>
      <c r="F44">
        <v>18.72</v>
      </c>
      <c r="G44">
        <v>1.26</v>
      </c>
      <c r="H44">
        <v>27.57</v>
      </c>
      <c r="I44">
        <f t="shared" si="0"/>
        <v>39.889999999999993</v>
      </c>
      <c r="J44" s="1">
        <f t="shared" si="3"/>
        <v>0.1318626222110805</v>
      </c>
      <c r="K44" s="1">
        <f t="shared" si="4"/>
        <v>2.8077212333918283E-2</v>
      </c>
      <c r="L44" s="1">
        <f t="shared" si="5"/>
        <v>0.28528453246427682</v>
      </c>
      <c r="M44" s="1">
        <f t="shared" si="6"/>
        <v>5.3898220105289552E-2</v>
      </c>
      <c r="N44" s="1">
        <f t="shared" si="7"/>
        <v>0.46929054900977696</v>
      </c>
      <c r="O44" s="1">
        <f t="shared" si="1"/>
        <v>3.1586863875658067E-2</v>
      </c>
      <c r="P44" s="1">
        <f t="shared" si="8"/>
        <v>0.69115066432689909</v>
      </c>
      <c r="Q44" s="1">
        <f t="shared" si="2"/>
        <v>1.0000000000000002</v>
      </c>
    </row>
    <row r="45" spans="1:17" x14ac:dyDescent="0.2">
      <c r="A45">
        <v>1982</v>
      </c>
      <c r="B45">
        <v>5.07</v>
      </c>
      <c r="C45">
        <v>0.9</v>
      </c>
      <c r="D45">
        <v>10.51</v>
      </c>
      <c r="E45">
        <v>2.52</v>
      </c>
      <c r="F45">
        <v>19.63</v>
      </c>
      <c r="G45">
        <v>1.87</v>
      </c>
      <c r="H45">
        <v>32.340000000000003</v>
      </c>
      <c r="I45">
        <f t="shared" si="0"/>
        <v>40.499999999999993</v>
      </c>
      <c r="J45" s="1">
        <f t="shared" si="3"/>
        <v>0.1251851851851852</v>
      </c>
      <c r="K45" s="1">
        <f t="shared" si="4"/>
        <v>2.2222222222222227E-2</v>
      </c>
      <c r="L45" s="1">
        <f t="shared" si="5"/>
        <v>0.25950617283950622</v>
      </c>
      <c r="M45" s="1">
        <f t="shared" si="6"/>
        <v>6.2222222222222234E-2</v>
      </c>
      <c r="N45" s="1">
        <f t="shared" si="7"/>
        <v>0.48469135802469143</v>
      </c>
      <c r="O45" s="1">
        <f t="shared" si="1"/>
        <v>4.6172839506172847E-2</v>
      </c>
      <c r="P45" s="1">
        <f t="shared" si="8"/>
        <v>0.79851851851851874</v>
      </c>
      <c r="Q45" s="1">
        <f t="shared" si="2"/>
        <v>1.0000000000000002</v>
      </c>
    </row>
    <row r="46" spans="1:17" x14ac:dyDescent="0.2">
      <c r="A46">
        <v>1981</v>
      </c>
      <c r="B46">
        <v>4.8099999999999996</v>
      </c>
      <c r="C46">
        <v>0.9</v>
      </c>
      <c r="D46">
        <v>9.93</v>
      </c>
      <c r="E46">
        <v>2.37</v>
      </c>
      <c r="F46">
        <v>19.13</v>
      </c>
      <c r="G46">
        <v>1.84</v>
      </c>
      <c r="H46">
        <v>33.36</v>
      </c>
      <c r="I46">
        <f t="shared" si="0"/>
        <v>38.980000000000004</v>
      </c>
      <c r="J46" s="1">
        <f t="shared" si="3"/>
        <v>0.12339661364802461</v>
      </c>
      <c r="K46" s="1">
        <f t="shared" si="4"/>
        <v>2.3088763468445354E-2</v>
      </c>
      <c r="L46" s="1">
        <f t="shared" si="5"/>
        <v>0.25474602360184706</v>
      </c>
      <c r="M46" s="1">
        <f t="shared" si="6"/>
        <v>6.0800410466906103E-2</v>
      </c>
      <c r="N46" s="1">
        <f t="shared" si="7"/>
        <v>0.49076449461262178</v>
      </c>
      <c r="O46" s="1">
        <f t="shared" si="1"/>
        <v>4.720369420215495E-2</v>
      </c>
      <c r="P46" s="1">
        <f t="shared" si="8"/>
        <v>0.85582349923037448</v>
      </c>
      <c r="Q46" s="1">
        <f t="shared" si="2"/>
        <v>0.99999999999999989</v>
      </c>
    </row>
    <row r="47" spans="1:17" x14ac:dyDescent="0.2">
      <c r="A47">
        <v>1980</v>
      </c>
      <c r="B47">
        <v>5.93</v>
      </c>
      <c r="C47">
        <v>1.04</v>
      </c>
      <c r="D47">
        <v>10.37</v>
      </c>
      <c r="E47">
        <v>2.06</v>
      </c>
      <c r="F47">
        <v>22.32</v>
      </c>
      <c r="G47">
        <v>1.62</v>
      </c>
      <c r="H47">
        <v>29.39</v>
      </c>
      <c r="I47">
        <f t="shared" si="0"/>
        <v>43.339999999999996</v>
      </c>
      <c r="J47" s="1">
        <f t="shared" si="3"/>
        <v>0.13682510383017998</v>
      </c>
      <c r="K47" s="1">
        <f t="shared" si="4"/>
        <v>2.3996308260267656E-2</v>
      </c>
      <c r="L47" s="1">
        <f t="shared" si="5"/>
        <v>0.2392708814028611</v>
      </c>
      <c r="M47" s="1">
        <f t="shared" si="6"/>
        <v>4.7531149053991702E-2</v>
      </c>
      <c r="N47" s="1">
        <f t="shared" si="7"/>
        <v>0.51499769266266737</v>
      </c>
      <c r="O47" s="1">
        <f t="shared" si="1"/>
        <v>3.7378864790032308E-2</v>
      </c>
      <c r="P47" s="1">
        <f>H47/I47</f>
        <v>0.67812644208583306</v>
      </c>
      <c r="Q47" s="1">
        <f t="shared" si="2"/>
        <v>1.0000000000000002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0DAD8-A980-6E47-B029-7F4308F2DB97}">
  <dimension ref="A1:G47"/>
  <sheetViews>
    <sheetView tabSelected="1" workbookViewId="0">
      <selection activeCell="I10" sqref="I10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1980</v>
      </c>
      <c r="B2" s="1">
        <v>0.13682510383017998</v>
      </c>
      <c r="C2" s="1">
        <v>2.3996308260267656E-2</v>
      </c>
      <c r="D2" s="1">
        <v>0.2392708814028611</v>
      </c>
      <c r="E2" s="1">
        <v>4.7531149053991702E-2</v>
      </c>
      <c r="F2" s="1">
        <v>0.51499769266266737</v>
      </c>
      <c r="G2" s="1">
        <v>3.7378864790032308E-2</v>
      </c>
    </row>
    <row r="3" spans="1:7" x14ac:dyDescent="0.2">
      <c r="A3">
        <v>1981</v>
      </c>
      <c r="B3" s="1">
        <v>0.12339661364802461</v>
      </c>
      <c r="C3" s="1">
        <v>2.3088763468445354E-2</v>
      </c>
      <c r="D3" s="1">
        <v>0.25474602360184706</v>
      </c>
      <c r="E3" s="1">
        <v>6.0800410466906103E-2</v>
      </c>
      <c r="F3" s="1">
        <v>0.49076449461262178</v>
      </c>
      <c r="G3" s="1">
        <v>4.720369420215495E-2</v>
      </c>
    </row>
    <row r="4" spans="1:7" x14ac:dyDescent="0.2">
      <c r="A4">
        <v>1982</v>
      </c>
      <c r="B4" s="1">
        <v>0.1251851851851852</v>
      </c>
      <c r="C4" s="1">
        <v>2.2222222222222227E-2</v>
      </c>
      <c r="D4" s="1">
        <v>0.25950617283950622</v>
      </c>
      <c r="E4" s="1">
        <v>6.2222222222222234E-2</v>
      </c>
      <c r="F4" s="1">
        <v>0.48469135802469143</v>
      </c>
      <c r="G4" s="1">
        <v>4.6172839506172847E-2</v>
      </c>
    </row>
    <row r="5" spans="1:7" x14ac:dyDescent="0.2">
      <c r="A5">
        <v>1983</v>
      </c>
      <c r="B5" s="1">
        <v>0.1318626222110805</v>
      </c>
      <c r="C5" s="1">
        <v>2.8077212333918283E-2</v>
      </c>
      <c r="D5" s="1">
        <v>0.28528453246427682</v>
      </c>
      <c r="E5" s="1">
        <v>5.3898220105289552E-2</v>
      </c>
      <c r="F5" s="1">
        <v>0.46929054900977696</v>
      </c>
      <c r="G5" s="1">
        <v>3.1586863875658067E-2</v>
      </c>
    </row>
    <row r="6" spans="1:7" x14ac:dyDescent="0.2">
      <c r="A6">
        <v>1984</v>
      </c>
      <c r="B6" s="1">
        <v>0.13696876600102406</v>
      </c>
      <c r="C6" s="1">
        <v>2.150537634408602E-2</v>
      </c>
      <c r="D6" s="1">
        <v>0.29416282642089092</v>
      </c>
      <c r="E6" s="1">
        <v>6.1699948796722991E-2</v>
      </c>
      <c r="F6" s="1">
        <v>0.44367639528929842</v>
      </c>
      <c r="G6" s="1">
        <v>4.1986687147977465E-2</v>
      </c>
    </row>
    <row r="7" spans="1:7" x14ac:dyDescent="0.2">
      <c r="A7">
        <v>1985</v>
      </c>
      <c r="B7" s="1">
        <v>0.13832997987927567</v>
      </c>
      <c r="C7" s="1">
        <v>1.9366197183098594E-2</v>
      </c>
      <c r="D7" s="1">
        <v>0.28269617706237427</v>
      </c>
      <c r="E7" s="1">
        <v>6.2625754527162986E-2</v>
      </c>
      <c r="F7" s="1">
        <v>0.44064386317907445</v>
      </c>
      <c r="G7" s="1">
        <v>5.6338028169014093E-2</v>
      </c>
    </row>
    <row r="8" spans="1:7" x14ac:dyDescent="0.2">
      <c r="A8">
        <v>1986</v>
      </c>
      <c r="B8" s="1">
        <v>0.12577862961188307</v>
      </c>
      <c r="C8" s="1">
        <v>2.2280785816962148E-2</v>
      </c>
      <c r="D8" s="1">
        <v>0.2949209391471011</v>
      </c>
      <c r="E8" s="1">
        <v>5.7738380450407287E-2</v>
      </c>
      <c r="F8" s="1">
        <v>0.45208433157642547</v>
      </c>
      <c r="G8" s="1">
        <v>4.7196933397220892E-2</v>
      </c>
    </row>
    <row r="9" spans="1:7" x14ac:dyDescent="0.2">
      <c r="A9">
        <v>1987</v>
      </c>
      <c r="B9" s="1">
        <v>0.13333333333333333</v>
      </c>
      <c r="C9" s="1">
        <v>2.3877068557919625E-2</v>
      </c>
      <c r="D9" s="1">
        <v>0.28132387706855794</v>
      </c>
      <c r="E9" s="1">
        <v>5.6028368794326246E-2</v>
      </c>
      <c r="F9" s="1">
        <v>0.46288416075650118</v>
      </c>
      <c r="G9" s="1">
        <v>4.2553191489361708E-2</v>
      </c>
    </row>
    <row r="10" spans="1:7" x14ac:dyDescent="0.2">
      <c r="A10">
        <v>1988</v>
      </c>
      <c r="B10" s="1">
        <v>0.13727359389895138</v>
      </c>
      <c r="C10" s="1">
        <v>2.2163965681601529E-2</v>
      </c>
      <c r="D10" s="1">
        <v>0.30052430886558629</v>
      </c>
      <c r="E10" s="1">
        <v>5.6482364156339379E-2</v>
      </c>
      <c r="F10" s="1">
        <v>0.43636796949475692</v>
      </c>
      <c r="G10" s="1">
        <v>4.7187797902764547E-2</v>
      </c>
    </row>
    <row r="11" spans="1:7" x14ac:dyDescent="0.2">
      <c r="A11">
        <v>1989</v>
      </c>
      <c r="B11" s="1">
        <v>0.13723675075214067</v>
      </c>
      <c r="C11" s="1">
        <v>2.291136311039111E-2</v>
      </c>
      <c r="D11" s="1">
        <v>0.29669058088405459</v>
      </c>
      <c r="E11" s="1">
        <v>6.2716963665818082E-2</v>
      </c>
      <c r="F11" s="1">
        <v>0.43207590835454751</v>
      </c>
      <c r="G11" s="1">
        <v>4.8368433233047896E-2</v>
      </c>
    </row>
    <row r="12" spans="1:7" x14ac:dyDescent="0.2">
      <c r="A12">
        <v>1990</v>
      </c>
      <c r="B12" s="1">
        <v>0.13837471783295713</v>
      </c>
      <c r="C12" s="1">
        <v>2.3476297968397293E-2</v>
      </c>
      <c r="D12" s="1">
        <v>0.29187358916478556</v>
      </c>
      <c r="E12" s="1">
        <v>5.7336343115124158E-2</v>
      </c>
      <c r="F12" s="1">
        <v>0.45259593679458243</v>
      </c>
      <c r="G12" s="1">
        <v>3.6343115124153502E-2</v>
      </c>
    </row>
    <row r="13" spans="1:7" x14ac:dyDescent="0.2">
      <c r="A13">
        <v>1991</v>
      </c>
      <c r="B13" s="1">
        <v>0.12744405182567725</v>
      </c>
      <c r="C13" s="1">
        <v>2.5441696113074206E-2</v>
      </c>
      <c r="D13" s="1">
        <v>0.28056537102473494</v>
      </c>
      <c r="E13" s="1">
        <v>5.4416961130742049E-2</v>
      </c>
      <c r="F13" s="1">
        <v>0.47020023557126028</v>
      </c>
      <c r="G13" s="1">
        <v>4.1931684334511186E-2</v>
      </c>
    </row>
    <row r="14" spans="1:7" x14ac:dyDescent="0.2">
      <c r="A14">
        <v>1992</v>
      </c>
      <c r="B14" s="1">
        <v>0.1285171102661597</v>
      </c>
      <c r="C14" s="1">
        <v>2.2306717363751581E-2</v>
      </c>
      <c r="D14" s="1">
        <v>0.2785804816223067</v>
      </c>
      <c r="E14" s="1">
        <v>5.399239543726235E-2</v>
      </c>
      <c r="F14" s="1">
        <v>0.46945500633713555</v>
      </c>
      <c r="G14" s="1">
        <v>4.714828897338403E-2</v>
      </c>
    </row>
    <row r="15" spans="1:7" x14ac:dyDescent="0.2">
      <c r="A15">
        <v>1993</v>
      </c>
      <c r="B15" s="1">
        <v>0.13240790176187936</v>
      </c>
      <c r="C15" s="1">
        <v>2.1089161772557399E-2</v>
      </c>
      <c r="D15" s="1">
        <v>0.30058729311265353</v>
      </c>
      <c r="E15" s="1">
        <v>5.392418579818474E-2</v>
      </c>
      <c r="F15" s="1">
        <v>0.43486385477843037</v>
      </c>
      <c r="G15" s="1">
        <v>5.7127602776294729E-2</v>
      </c>
    </row>
    <row r="16" spans="1:7" x14ac:dyDescent="0.2">
      <c r="A16">
        <v>1994</v>
      </c>
      <c r="B16" s="1">
        <v>0.1284427966101695</v>
      </c>
      <c r="C16" s="1">
        <v>2.1186440677966104E-2</v>
      </c>
      <c r="D16" s="1">
        <v>0.29819915254237289</v>
      </c>
      <c r="E16" s="1">
        <v>5.746822033898305E-2</v>
      </c>
      <c r="F16" s="1">
        <v>0.4284957627118644</v>
      </c>
      <c r="G16" s="1">
        <v>6.6207627118644072E-2</v>
      </c>
    </row>
    <row r="17" spans="1:7" x14ac:dyDescent="0.2">
      <c r="A17">
        <v>1995</v>
      </c>
      <c r="B17" s="1">
        <v>0.12908242612752724</v>
      </c>
      <c r="C17" s="1">
        <v>2.0476931052358736E-2</v>
      </c>
      <c r="D17" s="1">
        <v>0.30482115085536549</v>
      </c>
      <c r="E17" s="1">
        <v>5.5728356661482632E-2</v>
      </c>
      <c r="F17" s="1">
        <v>0.4250907205806117</v>
      </c>
      <c r="G17" s="1">
        <v>6.4800414722654229E-2</v>
      </c>
    </row>
    <row r="18" spans="1:7" x14ac:dyDescent="0.2">
      <c r="A18">
        <v>1996</v>
      </c>
      <c r="B18" s="1">
        <v>0.13648363252375922</v>
      </c>
      <c r="C18" s="1">
        <v>2.1119324181626188E-2</v>
      </c>
      <c r="D18" s="1">
        <v>0.30279831045406547</v>
      </c>
      <c r="E18" s="1">
        <v>5.9926082365364307E-2</v>
      </c>
      <c r="F18" s="1">
        <v>0.41842661034846879</v>
      </c>
      <c r="G18" s="1">
        <v>6.1246040126715938E-2</v>
      </c>
    </row>
    <row r="19" spans="1:7" x14ac:dyDescent="0.2">
      <c r="A19">
        <v>1997</v>
      </c>
      <c r="B19" s="1">
        <v>0.15040311370586601</v>
      </c>
      <c r="C19" s="1">
        <v>2.3074784542674451E-2</v>
      </c>
      <c r="D19" s="1">
        <v>0.27745343341673617</v>
      </c>
      <c r="E19" s="1">
        <v>5.5045871559633031E-2</v>
      </c>
      <c r="F19" s="1">
        <v>0.4345287739783153</v>
      </c>
      <c r="G19" s="1">
        <v>5.9494022796775098E-2</v>
      </c>
    </row>
    <row r="20" spans="1:7" x14ac:dyDescent="0.2">
      <c r="A20">
        <v>1998</v>
      </c>
      <c r="B20" s="1">
        <v>0.15470668485675307</v>
      </c>
      <c r="C20" s="1">
        <v>2.1282401091405185E-2</v>
      </c>
      <c r="D20" s="1">
        <v>0.244474761255116</v>
      </c>
      <c r="E20" s="1">
        <v>5.4297407912687584E-2</v>
      </c>
      <c r="F20" s="1">
        <v>0.46357435197817187</v>
      </c>
      <c r="G20" s="1">
        <v>6.1664392905866297E-2</v>
      </c>
    </row>
    <row r="21" spans="1:7" x14ac:dyDescent="0.2">
      <c r="A21">
        <v>1999</v>
      </c>
      <c r="B21" s="1">
        <v>0.14806629834254142</v>
      </c>
      <c r="C21" s="1">
        <v>2.0165745856353588E-2</v>
      </c>
      <c r="D21" s="1">
        <v>0.24198895027624306</v>
      </c>
      <c r="E21" s="1">
        <v>5.4143646408839771E-2</v>
      </c>
      <c r="F21" s="1">
        <v>0.46574585635359111</v>
      </c>
      <c r="G21" s="1">
        <v>6.988950276243093E-2</v>
      </c>
    </row>
    <row r="22" spans="1:7" x14ac:dyDescent="0.2">
      <c r="A22">
        <v>2000</v>
      </c>
      <c r="B22" s="1">
        <v>0.15558698727015557</v>
      </c>
      <c r="C22" s="1">
        <v>2.2065063649222064E-2</v>
      </c>
      <c r="D22" s="1">
        <v>0.24724186704384724</v>
      </c>
      <c r="E22" s="1">
        <v>4.893917963224894E-2</v>
      </c>
      <c r="F22" s="1">
        <v>0.44978783592644977</v>
      </c>
      <c r="G22" s="1">
        <v>7.6379066478076379E-2</v>
      </c>
    </row>
    <row r="23" spans="1:7" x14ac:dyDescent="0.2">
      <c r="A23">
        <v>2001</v>
      </c>
      <c r="B23" s="1">
        <v>0.16409691629955944</v>
      </c>
      <c r="C23" s="1">
        <v>2.0374449339207044E-2</v>
      </c>
      <c r="D23" s="1">
        <v>0.2287995594713656</v>
      </c>
      <c r="E23" s="1">
        <v>4.2400881057268712E-2</v>
      </c>
      <c r="F23" s="1">
        <v>0.45016519823788542</v>
      </c>
      <c r="G23" s="1">
        <v>9.4162995594713639E-2</v>
      </c>
    </row>
    <row r="24" spans="1:7" x14ac:dyDescent="0.2">
      <c r="A24">
        <v>2002</v>
      </c>
      <c r="B24" s="1">
        <v>0.15558620689655173</v>
      </c>
      <c r="C24" s="1">
        <v>2.2896551724137931E-2</v>
      </c>
      <c r="D24" s="1">
        <v>0.21958620689655173</v>
      </c>
      <c r="E24" s="1">
        <v>5.0758620689655178E-2</v>
      </c>
      <c r="F24" s="1">
        <v>0.44910344827586213</v>
      </c>
      <c r="G24" s="1">
        <v>0.10206896551724139</v>
      </c>
    </row>
    <row r="25" spans="1:7" x14ac:dyDescent="0.2">
      <c r="A25">
        <v>2003</v>
      </c>
      <c r="B25" s="1">
        <v>0.14491180461329717</v>
      </c>
      <c r="C25" s="1">
        <v>2.0895522388059706E-2</v>
      </c>
      <c r="D25" s="1">
        <v>0.21248303934871102</v>
      </c>
      <c r="E25" s="1">
        <v>5.1017639077340575E-2</v>
      </c>
      <c r="F25" s="1">
        <v>0.45020352781546819</v>
      </c>
      <c r="G25" s="1">
        <v>0.12048846675712351</v>
      </c>
    </row>
    <row r="26" spans="1:7" x14ac:dyDescent="0.2">
      <c r="A26">
        <v>2004</v>
      </c>
      <c r="B26" s="1">
        <v>0.13761218384552626</v>
      </c>
      <c r="C26" s="1">
        <v>1.9853141147674735E-2</v>
      </c>
      <c r="D26" s="1">
        <v>0.20070709817786242</v>
      </c>
      <c r="E26" s="1">
        <v>5.1128637476203428E-2</v>
      </c>
      <c r="F26" s="1">
        <v>0.44955126461789513</v>
      </c>
      <c r="G26" s="1">
        <v>0.14114767473483822</v>
      </c>
    </row>
    <row r="27" spans="1:7" x14ac:dyDescent="0.2">
      <c r="A27">
        <v>2005</v>
      </c>
      <c r="B27" s="1">
        <v>0.11231162922945692</v>
      </c>
      <c r="C27" s="1">
        <v>2.1893659368780211E-2</v>
      </c>
      <c r="D27" s="1">
        <v>0.20130793289735568</v>
      </c>
      <c r="E27" s="1">
        <v>5.4023315325561552E-2</v>
      </c>
      <c r="F27" s="1">
        <v>0.45976684674438445</v>
      </c>
      <c r="G27" s="1">
        <v>0.15069661643446117</v>
      </c>
    </row>
    <row r="28" spans="1:7" x14ac:dyDescent="0.2">
      <c r="A28">
        <v>2006</v>
      </c>
      <c r="B28" s="1">
        <v>0.11831951986281793</v>
      </c>
      <c r="C28" s="1">
        <v>2.429265504429837E-2</v>
      </c>
      <c r="D28" s="1">
        <v>0.19319805658759645</v>
      </c>
      <c r="E28" s="1">
        <v>5.5444412689339806E-2</v>
      </c>
      <c r="F28" s="1">
        <v>0.44355530151471845</v>
      </c>
      <c r="G28" s="1">
        <v>0.16519005430122893</v>
      </c>
    </row>
    <row r="29" spans="1:7" x14ac:dyDescent="0.2">
      <c r="A29">
        <v>2007</v>
      </c>
      <c r="B29" s="1">
        <v>0.11742750502440424</v>
      </c>
      <c r="C29" s="1">
        <v>2.3255813953488375E-2</v>
      </c>
      <c r="D29" s="1">
        <v>0.17973011771461384</v>
      </c>
      <c r="E29" s="1">
        <v>5.3402239448751082E-2</v>
      </c>
      <c r="F29" s="1">
        <v>0.45219638242894061</v>
      </c>
      <c r="G29" s="1">
        <v>0.1739879414298019</v>
      </c>
    </row>
    <row r="30" spans="1:7" x14ac:dyDescent="0.2">
      <c r="A30">
        <v>2008</v>
      </c>
      <c r="B30" s="1">
        <v>0.10885929357266937</v>
      </c>
      <c r="C30" s="1">
        <v>2.3740590619571511E-2</v>
      </c>
      <c r="D30" s="1">
        <v>0.17602779386218878</v>
      </c>
      <c r="E30" s="1">
        <v>5.4429646786334683E-2</v>
      </c>
      <c r="F30" s="1">
        <v>0.45454545454545453</v>
      </c>
      <c r="G30" s="1">
        <v>0.18239722061378114</v>
      </c>
    </row>
    <row r="31" spans="1:7" x14ac:dyDescent="0.2">
      <c r="A31">
        <v>2009</v>
      </c>
      <c r="B31" s="1">
        <v>0.10837988826815644</v>
      </c>
      <c r="C31" s="1">
        <v>2.4301675977653633E-2</v>
      </c>
      <c r="D31" s="1">
        <v>0.16340782122905029</v>
      </c>
      <c r="E31" s="1">
        <v>5.1396648044692746E-2</v>
      </c>
      <c r="F31" s="1">
        <v>0.44245810055865925</v>
      </c>
      <c r="G31" s="1">
        <v>0.21005586592178771</v>
      </c>
    </row>
    <row r="32" spans="1:7" x14ac:dyDescent="0.2">
      <c r="A32">
        <v>2010</v>
      </c>
      <c r="B32" s="1">
        <v>0.10289389067524116</v>
      </c>
      <c r="C32" s="1">
        <v>2.2508038585209004E-2</v>
      </c>
      <c r="D32" s="1">
        <v>0.1642794504530839</v>
      </c>
      <c r="E32" s="1">
        <v>5.4077755042385267E-2</v>
      </c>
      <c r="F32" s="1">
        <v>0.41362174802689272</v>
      </c>
      <c r="G32" s="1">
        <v>0.24261911721718799</v>
      </c>
    </row>
    <row r="33" spans="1:7" x14ac:dyDescent="0.2">
      <c r="A33">
        <v>2011</v>
      </c>
      <c r="B33" s="1">
        <v>0.1080773606370876</v>
      </c>
      <c r="C33" s="1">
        <v>2.0477815699658706E-2</v>
      </c>
      <c r="D33" s="1">
        <v>0.15102389078498293</v>
      </c>
      <c r="E33" s="1">
        <v>5.6313993174061439E-2</v>
      </c>
      <c r="F33" s="1">
        <v>0.42804323094425489</v>
      </c>
      <c r="G33" s="1">
        <v>0.23606370875995453</v>
      </c>
    </row>
    <row r="34" spans="1:7" x14ac:dyDescent="0.2">
      <c r="A34">
        <v>2012</v>
      </c>
      <c r="B34" s="1">
        <v>0.10546304411335085</v>
      </c>
      <c r="C34" s="1">
        <v>4.9371895997662861E-2</v>
      </c>
      <c r="D34" s="1">
        <v>0.15162138475021911</v>
      </c>
      <c r="E34" s="1">
        <v>6.0473269062226102E-2</v>
      </c>
      <c r="F34" s="1">
        <v>0.38387379491673967</v>
      </c>
      <c r="G34" s="1">
        <v>0.2491966111598013</v>
      </c>
    </row>
    <row r="35" spans="1:7" x14ac:dyDescent="0.2">
      <c r="A35">
        <v>2013</v>
      </c>
      <c r="B35" s="1">
        <v>8.8836937463471655E-2</v>
      </c>
      <c r="C35" s="1">
        <v>4.7048509643483345E-2</v>
      </c>
      <c r="D35" s="1">
        <v>0.13880771478667447</v>
      </c>
      <c r="E35" s="1">
        <v>4.9678550555230856E-2</v>
      </c>
      <c r="F35" s="1">
        <v>0.39216832261835183</v>
      </c>
      <c r="G35" s="1">
        <v>0.28345996493278786</v>
      </c>
    </row>
    <row r="36" spans="1:7" x14ac:dyDescent="0.2">
      <c r="A36">
        <v>2014</v>
      </c>
      <c r="B36" s="1">
        <v>9.9883517763541055E-2</v>
      </c>
      <c r="C36" s="1">
        <v>3.9895165987186954E-2</v>
      </c>
      <c r="D36" s="1">
        <v>0.13628421665695981</v>
      </c>
      <c r="E36" s="1">
        <v>4.7757716948165399E-2</v>
      </c>
      <c r="F36" s="1">
        <v>0.38846825859056489</v>
      </c>
      <c r="G36" s="1">
        <v>0.28771112405358185</v>
      </c>
    </row>
    <row r="37" spans="1:7" x14ac:dyDescent="0.2">
      <c r="A37">
        <v>2015</v>
      </c>
      <c r="B37" s="1">
        <v>0.11076923076923077</v>
      </c>
      <c r="C37" s="1">
        <v>3.9160839160839157E-2</v>
      </c>
      <c r="D37" s="1">
        <v>0.13146853146853146</v>
      </c>
      <c r="E37" s="1">
        <v>4.6153846153846149E-2</v>
      </c>
      <c r="F37" s="1">
        <v>0.39356643356643356</v>
      </c>
      <c r="G37" s="1">
        <v>0.27888111888111888</v>
      </c>
    </row>
    <row r="38" spans="1:7" x14ac:dyDescent="0.2">
      <c r="A38">
        <v>2016</v>
      </c>
      <c r="B38" s="1">
        <v>0.11174707004633412</v>
      </c>
      <c r="C38" s="1">
        <v>4.7696920141727987E-2</v>
      </c>
      <c r="D38" s="1">
        <v>0.13573180703188878</v>
      </c>
      <c r="E38" s="1">
        <v>4.524393567729626E-2</v>
      </c>
      <c r="F38" s="1">
        <v>0.39411283728536384</v>
      </c>
      <c r="G38" s="1">
        <v>0.26546742981738891</v>
      </c>
    </row>
    <row r="39" spans="1:7" x14ac:dyDescent="0.2">
      <c r="A39">
        <v>2017</v>
      </c>
      <c r="B39" s="1">
        <v>0.10775151181968115</v>
      </c>
      <c r="C39" s="1">
        <v>3.8207806487080817E-2</v>
      </c>
      <c r="D39" s="1">
        <v>0.1355140186915888</v>
      </c>
      <c r="E39" s="1">
        <v>4.4804837822979664E-2</v>
      </c>
      <c r="F39" s="1">
        <v>0.38977460142935683</v>
      </c>
      <c r="G39" s="1">
        <v>0.28394722374931286</v>
      </c>
    </row>
    <row r="40" spans="1:7" x14ac:dyDescent="0.2">
      <c r="A40">
        <v>2018</v>
      </c>
      <c r="B40" s="1">
        <v>0.10849453322119428</v>
      </c>
      <c r="C40" s="1">
        <v>3.6164844407064758E-2</v>
      </c>
      <c r="D40" s="1">
        <v>0.14353798710400897</v>
      </c>
      <c r="E40" s="1">
        <v>4.2612839921502658E-2</v>
      </c>
      <c r="F40" s="1">
        <v>0.40089711241940007</v>
      </c>
      <c r="G40" s="1">
        <v>0.26829268292682928</v>
      </c>
    </row>
    <row r="41" spans="1:7" x14ac:dyDescent="0.2">
      <c r="A41">
        <v>2019</v>
      </c>
      <c r="B41" s="1">
        <v>0.12001140250855188</v>
      </c>
      <c r="C41" s="1">
        <v>3.3637400228050174E-2</v>
      </c>
      <c r="D41" s="1">
        <v>0.145096921322691</v>
      </c>
      <c r="E41" s="1">
        <v>4.789053591790194E-2</v>
      </c>
      <c r="F41" s="1">
        <v>0.43301026225769668</v>
      </c>
      <c r="G41" s="1">
        <v>0.22035347776510836</v>
      </c>
    </row>
    <row r="42" spans="1:7" x14ac:dyDescent="0.2">
      <c r="A42">
        <v>2020</v>
      </c>
      <c r="B42" s="1">
        <v>9.3977659057795052E-2</v>
      </c>
      <c r="C42" s="1">
        <v>4.0553666828557551E-2</v>
      </c>
      <c r="D42" s="1">
        <v>0.13987372510927634</v>
      </c>
      <c r="E42" s="1">
        <v>4.953861097620204E-2</v>
      </c>
      <c r="F42" s="1">
        <v>0.41039339485186982</v>
      </c>
      <c r="G42" s="1">
        <v>0.26566294317629918</v>
      </c>
    </row>
    <row r="43" spans="1:7" x14ac:dyDescent="0.2">
      <c r="A43">
        <v>2021</v>
      </c>
      <c r="B43" s="1">
        <v>8.4024618678084029E-2</v>
      </c>
      <c r="C43" s="1">
        <v>3.6928017126036924E-2</v>
      </c>
      <c r="D43" s="1">
        <v>0.12844527696012845</v>
      </c>
      <c r="E43" s="1">
        <v>4.2279903666042284E-2</v>
      </c>
      <c r="F43" s="1">
        <v>0.42708054589242711</v>
      </c>
      <c r="G43" s="1">
        <v>0.28124163767728128</v>
      </c>
    </row>
    <row r="44" spans="1:7" x14ac:dyDescent="0.2">
      <c r="A44">
        <v>2022</v>
      </c>
      <c r="B44" s="1">
        <v>0.10083806434171397</v>
      </c>
      <c r="C44" s="1">
        <v>4.9743173830765069E-2</v>
      </c>
      <c r="D44" s="1">
        <v>0.11949175452825087</v>
      </c>
      <c r="E44" s="1">
        <v>4.1092187077588535E-2</v>
      </c>
      <c r="F44" s="1">
        <v>0.45309543119762102</v>
      </c>
      <c r="G44" s="1">
        <v>0.23573938902406055</v>
      </c>
    </row>
    <row r="45" spans="1:7" x14ac:dyDescent="0.2">
      <c r="A45">
        <v>2023</v>
      </c>
      <c r="B45" s="1">
        <v>9.7902097902097904E-2</v>
      </c>
      <c r="C45" s="1">
        <v>4.4916621839698759E-2</v>
      </c>
      <c r="D45" s="1">
        <v>0.114308768154922</v>
      </c>
      <c r="E45" s="1">
        <v>4.5185583647122107E-2</v>
      </c>
      <c r="F45" s="1">
        <v>0.46906939214631527</v>
      </c>
      <c r="G45" s="1">
        <v>0.22861753630984399</v>
      </c>
    </row>
    <row r="46" spans="1:7" x14ac:dyDescent="0.2">
      <c r="A46">
        <v>2024</v>
      </c>
      <c r="B46" s="1">
        <v>0.10152143845089903</v>
      </c>
      <c r="C46" s="1">
        <v>4.0940525587828493E-2</v>
      </c>
      <c r="D46" s="1">
        <v>0.11867219917012449</v>
      </c>
      <c r="E46" s="1">
        <v>4.9792531120331954E-2</v>
      </c>
      <c r="F46" s="1">
        <v>0.45809128630705392</v>
      </c>
      <c r="G46" s="1">
        <v>0.23098201936376211</v>
      </c>
    </row>
    <row r="47" spans="1:7" x14ac:dyDescent="0.2">
      <c r="A47">
        <v>2025</v>
      </c>
      <c r="B47" s="1">
        <v>0.10021097046413502</v>
      </c>
      <c r="C47" s="1">
        <v>9.3618143459915606E-2</v>
      </c>
      <c r="D47" s="1">
        <v>0.1083860759493671</v>
      </c>
      <c r="E47" s="1">
        <v>4.4831223628691977E-2</v>
      </c>
      <c r="F47" s="1">
        <v>0.45411392405063283</v>
      </c>
      <c r="G47" s="1">
        <v>0.19883966244725737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- Exports (%)</vt:lpstr>
      <vt:lpstr>Normalized - Exports (%)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Yo</dc:creator>
  <cp:lastModifiedBy>Ryan Yo</cp:lastModifiedBy>
  <dcterms:created xsi:type="dcterms:W3CDTF">2025-12-03T16:43:27Z</dcterms:created>
  <dcterms:modified xsi:type="dcterms:W3CDTF">2025-12-05T12:32:57Z</dcterms:modified>
</cp:coreProperties>
</file>