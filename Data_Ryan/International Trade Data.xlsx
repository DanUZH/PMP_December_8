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yo/Developer/Global Macro Momentum Model/Data_Ryan/"/>
    </mc:Choice>
  </mc:AlternateContent>
  <xr:revisionPtr revIDLastSave="0" documentId="8_{32A99A13-69F8-3447-9B1D-EB1C3E70BC10}" xr6:coauthVersionLast="47" xr6:coauthVersionMax="47" xr10:uidLastSave="{00000000-0000-0000-0000-000000000000}"/>
  <bookViews>
    <workbookView xWindow="0" yWindow="740" windowWidth="30240" windowHeight="18900" firstSheet="1" activeTab="12" xr2:uid="{9F4A3E5D-9022-5448-ABAA-B6C0C4502EAD}"/>
  </bookViews>
  <sheets>
    <sheet name="US Exports" sheetId="1" r:id="rId1"/>
    <sheet name="US" sheetId="2" r:id="rId2"/>
    <sheet name="Japan Exports" sheetId="3" r:id="rId3"/>
    <sheet name="JP" sheetId="10" r:id="rId4"/>
    <sheet name="Switzerland Exports" sheetId="4" r:id="rId5"/>
    <sheet name="CH" sheetId="11" r:id="rId6"/>
    <sheet name="Australia Exports" sheetId="5" r:id="rId7"/>
    <sheet name="AU" sheetId="12" r:id="rId8"/>
    <sheet name="EM Exports" sheetId="6" r:id="rId9"/>
    <sheet name="EM" sheetId="13" r:id="rId10"/>
    <sheet name="Eurozone Exports" sheetId="7" r:id="rId11"/>
    <sheet name="EU" sheetId="14" r:id="rId12"/>
    <sheet name="UK Exports" sheetId="8" r:id="rId13"/>
    <sheet name="UK" sheetId="15" r:id="rId14"/>
  </sheets>
  <definedNames>
    <definedName name="_xlnm._FilterDatabase" localSheetId="6" hidden="1">'Australia Exports'!$A$1:$G$1</definedName>
    <definedName name="_xlnm._FilterDatabase" localSheetId="2" hidden="1">'Japan Exports'!$A$1:$G$47</definedName>
    <definedName name="_xlnm._FilterDatabase" localSheetId="4" hidden="1">'Switzerland Exports'!$A$1:$G$47</definedName>
    <definedName name="_xlnm._FilterDatabase" localSheetId="1" hidden="1">US!$A$1:$G$48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K2" i="8"/>
  <c r="L2" i="8"/>
  <c r="M2" i="8"/>
  <c r="N2" i="8"/>
  <c r="O2" i="8"/>
  <c r="J3" i="8"/>
  <c r="K3" i="8"/>
  <c r="L3" i="8"/>
  <c r="M3" i="8"/>
  <c r="N3" i="8"/>
  <c r="O3" i="8"/>
  <c r="J4" i="8"/>
  <c r="K4" i="8"/>
  <c r="L4" i="8"/>
  <c r="M4" i="8"/>
  <c r="N4" i="8"/>
  <c r="O4" i="8"/>
  <c r="J5" i="8"/>
  <c r="K5" i="8"/>
  <c r="L5" i="8"/>
  <c r="M5" i="8"/>
  <c r="N5" i="8"/>
  <c r="O5" i="8"/>
  <c r="J6" i="8"/>
  <c r="K6" i="8"/>
  <c r="L6" i="8"/>
  <c r="M6" i="8"/>
  <c r="N6" i="8"/>
  <c r="O6" i="8"/>
  <c r="J7" i="8"/>
  <c r="K7" i="8"/>
  <c r="L7" i="8"/>
  <c r="M7" i="8"/>
  <c r="N7" i="8"/>
  <c r="O7" i="8"/>
  <c r="J8" i="8"/>
  <c r="K8" i="8"/>
  <c r="L8" i="8"/>
  <c r="M8" i="8"/>
  <c r="N8" i="8"/>
  <c r="O8" i="8"/>
  <c r="J9" i="8"/>
  <c r="K9" i="8"/>
  <c r="L9" i="8"/>
  <c r="M9" i="8"/>
  <c r="N9" i="8"/>
  <c r="O9" i="8"/>
  <c r="H2" i="8"/>
  <c r="H3" i="8"/>
  <c r="H4" i="8"/>
  <c r="H5" i="8"/>
  <c r="H6" i="8"/>
  <c r="H7" i="8"/>
  <c r="H8" i="8"/>
  <c r="H9" i="8"/>
  <c r="J2" i="7"/>
  <c r="K2" i="7"/>
  <c r="L2" i="7"/>
  <c r="M2" i="7"/>
  <c r="N2" i="7"/>
  <c r="O2" i="7"/>
  <c r="J3" i="7"/>
  <c r="K3" i="7"/>
  <c r="L3" i="7"/>
  <c r="M3" i="7"/>
  <c r="N3" i="7"/>
  <c r="O3" i="7"/>
  <c r="J4" i="7"/>
  <c r="K4" i="7"/>
  <c r="L4" i="7"/>
  <c r="M4" i="7"/>
  <c r="N4" i="7"/>
  <c r="O4" i="7"/>
  <c r="J5" i="7"/>
  <c r="K5" i="7"/>
  <c r="L5" i="7"/>
  <c r="M5" i="7"/>
  <c r="N5" i="7"/>
  <c r="O5" i="7"/>
  <c r="J6" i="7"/>
  <c r="K6" i="7"/>
  <c r="L6" i="7"/>
  <c r="M6" i="7"/>
  <c r="N6" i="7"/>
  <c r="O6" i="7"/>
  <c r="J7" i="7"/>
  <c r="K7" i="7"/>
  <c r="L7" i="7"/>
  <c r="M7" i="7"/>
  <c r="N7" i="7"/>
  <c r="O7" i="7"/>
  <c r="J8" i="7"/>
  <c r="K8" i="7"/>
  <c r="L8" i="7"/>
  <c r="M8" i="7"/>
  <c r="N8" i="7"/>
  <c r="O8" i="7"/>
  <c r="J9" i="7"/>
  <c r="K9" i="7"/>
  <c r="L9" i="7"/>
  <c r="M9" i="7"/>
  <c r="N9" i="7"/>
  <c r="O9" i="7"/>
  <c r="H2" i="7"/>
  <c r="H3" i="7"/>
  <c r="H4" i="7"/>
  <c r="H5" i="7"/>
  <c r="H6" i="7"/>
  <c r="H7" i="7"/>
  <c r="H8" i="7"/>
  <c r="H9" i="7"/>
  <c r="J2" i="6"/>
  <c r="K2" i="6"/>
  <c r="L2" i="6"/>
  <c r="M2" i="6"/>
  <c r="N2" i="6"/>
  <c r="O2" i="6"/>
  <c r="J3" i="6"/>
  <c r="K3" i="6"/>
  <c r="L3" i="6"/>
  <c r="M3" i="6"/>
  <c r="N3" i="6"/>
  <c r="O3" i="6"/>
  <c r="J4" i="6"/>
  <c r="K4" i="6"/>
  <c r="L4" i="6"/>
  <c r="M4" i="6"/>
  <c r="N4" i="6"/>
  <c r="O4" i="6"/>
  <c r="J5" i="6"/>
  <c r="K5" i="6"/>
  <c r="L5" i="6"/>
  <c r="M5" i="6"/>
  <c r="N5" i="6"/>
  <c r="O5" i="6"/>
  <c r="J6" i="6"/>
  <c r="K6" i="6"/>
  <c r="L6" i="6"/>
  <c r="M6" i="6"/>
  <c r="N6" i="6"/>
  <c r="O6" i="6"/>
  <c r="J7" i="6"/>
  <c r="K7" i="6"/>
  <c r="L7" i="6"/>
  <c r="M7" i="6"/>
  <c r="N7" i="6"/>
  <c r="O7" i="6"/>
  <c r="J8" i="6"/>
  <c r="K8" i="6"/>
  <c r="L8" i="6"/>
  <c r="M8" i="6"/>
  <c r="N8" i="6"/>
  <c r="O8" i="6"/>
  <c r="J9" i="6"/>
  <c r="K9" i="6"/>
  <c r="L9" i="6"/>
  <c r="M9" i="6"/>
  <c r="N9" i="6"/>
  <c r="O9" i="6"/>
  <c r="H2" i="6"/>
  <c r="H3" i="6"/>
  <c r="H4" i="6"/>
  <c r="H5" i="6"/>
  <c r="H6" i="6"/>
  <c r="H7" i="6"/>
  <c r="H8" i="6"/>
  <c r="H9" i="6"/>
  <c r="J2" i="5"/>
  <c r="K2" i="5"/>
  <c r="L2" i="5"/>
  <c r="M2" i="5"/>
  <c r="N2" i="5"/>
  <c r="O2" i="5"/>
  <c r="J3" i="5"/>
  <c r="K3" i="5"/>
  <c r="L3" i="5"/>
  <c r="M3" i="5"/>
  <c r="N3" i="5"/>
  <c r="O3" i="5"/>
  <c r="J4" i="5"/>
  <c r="K4" i="5"/>
  <c r="L4" i="5"/>
  <c r="M4" i="5"/>
  <c r="N4" i="5"/>
  <c r="O4" i="5"/>
  <c r="J5" i="5"/>
  <c r="K5" i="5"/>
  <c r="L5" i="5"/>
  <c r="M5" i="5"/>
  <c r="N5" i="5"/>
  <c r="O5" i="5"/>
  <c r="J6" i="5"/>
  <c r="K6" i="5"/>
  <c r="L6" i="5"/>
  <c r="M6" i="5"/>
  <c r="N6" i="5"/>
  <c r="O6" i="5"/>
  <c r="J7" i="5"/>
  <c r="K7" i="5"/>
  <c r="L7" i="5"/>
  <c r="M7" i="5"/>
  <c r="N7" i="5"/>
  <c r="O7" i="5"/>
  <c r="J8" i="5"/>
  <c r="K8" i="5"/>
  <c r="L8" i="5"/>
  <c r="M8" i="5"/>
  <c r="N8" i="5"/>
  <c r="O8" i="5"/>
  <c r="J9" i="5"/>
  <c r="K9" i="5"/>
  <c r="L9" i="5"/>
  <c r="M9" i="5"/>
  <c r="N9" i="5"/>
  <c r="O9" i="5"/>
  <c r="H2" i="5"/>
  <c r="H3" i="5"/>
  <c r="H4" i="5"/>
  <c r="H5" i="5"/>
  <c r="H6" i="5"/>
  <c r="H7" i="5"/>
  <c r="H8" i="5"/>
  <c r="H9" i="5"/>
  <c r="J12" i="4"/>
  <c r="K12" i="4"/>
  <c r="L12" i="4"/>
  <c r="M12" i="4"/>
  <c r="N12" i="4"/>
  <c r="O12" i="4"/>
  <c r="J13" i="4"/>
  <c r="K13" i="4"/>
  <c r="L13" i="4"/>
  <c r="M13" i="4"/>
  <c r="N13" i="4"/>
  <c r="O13" i="4"/>
  <c r="J14" i="4"/>
  <c r="K14" i="4"/>
  <c r="L14" i="4"/>
  <c r="M14" i="4"/>
  <c r="N14" i="4"/>
  <c r="O14" i="4"/>
  <c r="J15" i="4"/>
  <c r="K15" i="4"/>
  <c r="L15" i="4"/>
  <c r="M15" i="4"/>
  <c r="N15" i="4"/>
  <c r="O15" i="4"/>
  <c r="J16" i="4"/>
  <c r="K16" i="4"/>
  <c r="L16" i="4"/>
  <c r="M16" i="4"/>
  <c r="N16" i="4"/>
  <c r="O16" i="4"/>
  <c r="J17" i="4"/>
  <c r="K17" i="4"/>
  <c r="L17" i="4"/>
  <c r="M17" i="4"/>
  <c r="N17" i="4"/>
  <c r="O17" i="4"/>
  <c r="J18" i="4"/>
  <c r="K18" i="4"/>
  <c r="L18" i="4"/>
  <c r="M18" i="4"/>
  <c r="N18" i="4"/>
  <c r="O18" i="4"/>
  <c r="J19" i="4"/>
  <c r="K19" i="4"/>
  <c r="L19" i="4"/>
  <c r="M19" i="4"/>
  <c r="N19" i="4"/>
  <c r="O19" i="4"/>
  <c r="H12" i="4"/>
  <c r="H13" i="4"/>
  <c r="H14" i="4"/>
  <c r="H15" i="4"/>
  <c r="H16" i="4"/>
  <c r="H17" i="4"/>
  <c r="H18" i="4"/>
  <c r="H19" i="4"/>
  <c r="J12" i="3"/>
  <c r="K12" i="3"/>
  <c r="L12" i="3"/>
  <c r="M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H12" i="3"/>
  <c r="H13" i="3"/>
  <c r="H14" i="3"/>
  <c r="H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J19" i="3"/>
  <c r="K19" i="3"/>
  <c r="L19" i="3"/>
  <c r="M19" i="3"/>
  <c r="N19" i="3"/>
  <c r="O19" i="3"/>
  <c r="H16" i="3"/>
  <c r="H17" i="3"/>
  <c r="H18" i="3"/>
  <c r="H19" i="3"/>
  <c r="J14" i="8" l="1"/>
  <c r="M14" i="8"/>
  <c r="J15" i="8"/>
  <c r="K15" i="8"/>
  <c r="L15" i="8"/>
  <c r="O15" i="8"/>
  <c r="M16" i="8"/>
  <c r="N16" i="8"/>
  <c r="J17" i="8"/>
  <c r="K17" i="8"/>
  <c r="M17" i="8"/>
  <c r="N17" i="8"/>
  <c r="O17" i="8"/>
  <c r="J18" i="8"/>
  <c r="M18" i="8"/>
  <c r="K19" i="8"/>
  <c r="L19" i="8"/>
  <c r="J22" i="8"/>
  <c r="M22" i="8"/>
  <c r="J23" i="8"/>
  <c r="K23" i="8"/>
  <c r="L23" i="8"/>
  <c r="M23" i="8"/>
  <c r="O23" i="8"/>
  <c r="M24" i="8"/>
  <c r="N24" i="8"/>
  <c r="J25" i="8"/>
  <c r="K25" i="8"/>
  <c r="M25" i="8"/>
  <c r="N25" i="8"/>
  <c r="O25" i="8"/>
  <c r="J26" i="8"/>
  <c r="K26" i="8"/>
  <c r="M26" i="8"/>
  <c r="K27" i="8"/>
  <c r="L27" i="8"/>
  <c r="J30" i="8"/>
  <c r="M30" i="8"/>
  <c r="J31" i="8"/>
  <c r="K31" i="8"/>
  <c r="L31" i="8"/>
  <c r="M31" i="8"/>
  <c r="O31" i="8"/>
  <c r="M32" i="8"/>
  <c r="N32" i="8"/>
  <c r="J33" i="8"/>
  <c r="K33" i="8"/>
  <c r="M33" i="8"/>
  <c r="N33" i="8"/>
  <c r="O33" i="8"/>
  <c r="J34" i="8"/>
  <c r="K34" i="8"/>
  <c r="M34" i="8"/>
  <c r="K35" i="8"/>
  <c r="L35" i="8"/>
  <c r="O10" i="8"/>
  <c r="L10" i="8"/>
  <c r="H11" i="8"/>
  <c r="J11" i="8" s="1"/>
  <c r="H12" i="8"/>
  <c r="J12" i="8" s="1"/>
  <c r="H13" i="8"/>
  <c r="L13" i="8" s="1"/>
  <c r="H14" i="8"/>
  <c r="N14" i="8" s="1"/>
  <c r="H15" i="8"/>
  <c r="M15" i="8" s="1"/>
  <c r="H16" i="8"/>
  <c r="J16" i="8" s="1"/>
  <c r="H17" i="8"/>
  <c r="L17" i="8" s="1"/>
  <c r="H18" i="8"/>
  <c r="N18" i="8" s="1"/>
  <c r="H19" i="8"/>
  <c r="J19" i="8" s="1"/>
  <c r="H20" i="8"/>
  <c r="J20" i="8" s="1"/>
  <c r="H21" i="8"/>
  <c r="L21" i="8" s="1"/>
  <c r="H22" i="8"/>
  <c r="N22" i="8" s="1"/>
  <c r="H23" i="8"/>
  <c r="N23" i="8" s="1"/>
  <c r="H24" i="8"/>
  <c r="J24" i="8" s="1"/>
  <c r="H25" i="8"/>
  <c r="L25" i="8" s="1"/>
  <c r="H26" i="8"/>
  <c r="N26" i="8" s="1"/>
  <c r="H27" i="8"/>
  <c r="J27" i="8" s="1"/>
  <c r="H28" i="8"/>
  <c r="J28" i="8" s="1"/>
  <c r="H29" i="8"/>
  <c r="L29" i="8" s="1"/>
  <c r="H30" i="8"/>
  <c r="N30" i="8" s="1"/>
  <c r="H31" i="8"/>
  <c r="N31" i="8" s="1"/>
  <c r="H32" i="8"/>
  <c r="J32" i="8" s="1"/>
  <c r="H33" i="8"/>
  <c r="L33" i="8" s="1"/>
  <c r="H34" i="8"/>
  <c r="N34" i="8" s="1"/>
  <c r="H35" i="8"/>
  <c r="J35" i="8" s="1"/>
  <c r="H36" i="8"/>
  <c r="J36" i="8" s="1"/>
  <c r="H37" i="8"/>
  <c r="L37" i="8" s="1"/>
  <c r="H10" i="8"/>
  <c r="K10" i="8" s="1"/>
  <c r="J12" i="7"/>
  <c r="M18" i="7"/>
  <c r="N18" i="7"/>
  <c r="K19" i="7"/>
  <c r="L19" i="7"/>
  <c r="M19" i="7"/>
  <c r="O19" i="7"/>
  <c r="J26" i="7"/>
  <c r="K26" i="7"/>
  <c r="M26" i="7"/>
  <c r="N26" i="7"/>
  <c r="K27" i="7"/>
  <c r="L27" i="7"/>
  <c r="O28" i="7"/>
  <c r="L29" i="7"/>
  <c r="M31" i="7"/>
  <c r="J34" i="7"/>
  <c r="K34" i="7"/>
  <c r="L34" i="7"/>
  <c r="M34" i="7"/>
  <c r="M35" i="7"/>
  <c r="N35" i="7"/>
  <c r="O35" i="7"/>
  <c r="J36" i="7"/>
  <c r="N36" i="7"/>
  <c r="H11" i="7"/>
  <c r="L11" i="7" s="1"/>
  <c r="H12" i="7"/>
  <c r="K12" i="7" s="1"/>
  <c r="H13" i="7"/>
  <c r="J13" i="7" s="1"/>
  <c r="H14" i="7"/>
  <c r="L14" i="7" s="1"/>
  <c r="H15" i="7"/>
  <c r="N15" i="7" s="1"/>
  <c r="H16" i="7"/>
  <c r="K16" i="7" s="1"/>
  <c r="H17" i="7"/>
  <c r="J17" i="7" s="1"/>
  <c r="H18" i="7"/>
  <c r="L18" i="7" s="1"/>
  <c r="H19" i="7"/>
  <c r="N19" i="7" s="1"/>
  <c r="H20" i="7"/>
  <c r="K20" i="7" s="1"/>
  <c r="H21" i="7"/>
  <c r="J21" i="7" s="1"/>
  <c r="H22" i="7"/>
  <c r="L22" i="7" s="1"/>
  <c r="H23" i="7"/>
  <c r="N23" i="7" s="1"/>
  <c r="H24" i="7"/>
  <c r="K24" i="7" s="1"/>
  <c r="H25" i="7"/>
  <c r="J25" i="7" s="1"/>
  <c r="H26" i="7"/>
  <c r="L26" i="7" s="1"/>
  <c r="H27" i="7"/>
  <c r="N27" i="7" s="1"/>
  <c r="H28" i="7"/>
  <c r="K28" i="7" s="1"/>
  <c r="H29" i="7"/>
  <c r="J29" i="7" s="1"/>
  <c r="H30" i="7"/>
  <c r="L30" i="7" s="1"/>
  <c r="H31" i="7"/>
  <c r="N31" i="7" s="1"/>
  <c r="H32" i="7"/>
  <c r="K32" i="7" s="1"/>
  <c r="H33" i="7"/>
  <c r="J33" i="7" s="1"/>
  <c r="H34" i="7"/>
  <c r="O34" i="7" s="1"/>
  <c r="H35" i="7"/>
  <c r="J35" i="7" s="1"/>
  <c r="H36" i="7"/>
  <c r="K36" i="7" s="1"/>
  <c r="H37" i="7"/>
  <c r="J37" i="7" s="1"/>
  <c r="H10" i="7"/>
  <c r="M10" i="7" s="1"/>
  <c r="O11" i="6"/>
  <c r="J12" i="6"/>
  <c r="L13" i="6"/>
  <c r="L14" i="6"/>
  <c r="N14" i="6"/>
  <c r="J16" i="6"/>
  <c r="M17" i="6"/>
  <c r="O17" i="6"/>
  <c r="J18" i="6"/>
  <c r="N22" i="6"/>
  <c r="K25" i="6"/>
  <c r="L25" i="6"/>
  <c r="M25" i="6"/>
  <c r="O26" i="6"/>
  <c r="N27" i="6"/>
  <c r="L29" i="6"/>
  <c r="L30" i="6"/>
  <c r="N30" i="6"/>
  <c r="J32" i="6"/>
  <c r="J33" i="6"/>
  <c r="K33" i="6"/>
  <c r="M34" i="6"/>
  <c r="N34" i="6"/>
  <c r="O10" i="6"/>
  <c r="M10" i="6"/>
  <c r="H11" i="6"/>
  <c r="J11" i="6" s="1"/>
  <c r="H12" i="6"/>
  <c r="L12" i="6" s="1"/>
  <c r="H13" i="6"/>
  <c r="N13" i="6" s="1"/>
  <c r="H14" i="6"/>
  <c r="J14" i="6" s="1"/>
  <c r="H15" i="6"/>
  <c r="J15" i="6" s="1"/>
  <c r="H16" i="6"/>
  <c r="L16" i="6" s="1"/>
  <c r="H17" i="6"/>
  <c r="N17" i="6" s="1"/>
  <c r="H18" i="6"/>
  <c r="K18" i="6" s="1"/>
  <c r="H19" i="6"/>
  <c r="J19" i="6" s="1"/>
  <c r="H20" i="6"/>
  <c r="L20" i="6" s="1"/>
  <c r="H21" i="6"/>
  <c r="N21" i="6" s="1"/>
  <c r="H22" i="6"/>
  <c r="J22" i="6" s="1"/>
  <c r="H23" i="6"/>
  <c r="J23" i="6" s="1"/>
  <c r="H24" i="6"/>
  <c r="L24" i="6" s="1"/>
  <c r="H25" i="6"/>
  <c r="N25" i="6" s="1"/>
  <c r="H26" i="6"/>
  <c r="J26" i="6" s="1"/>
  <c r="H27" i="6"/>
  <c r="J27" i="6" s="1"/>
  <c r="H28" i="6"/>
  <c r="L28" i="6" s="1"/>
  <c r="H29" i="6"/>
  <c r="N29" i="6" s="1"/>
  <c r="H30" i="6"/>
  <c r="J30" i="6" s="1"/>
  <c r="H31" i="6"/>
  <c r="J31" i="6" s="1"/>
  <c r="H32" i="6"/>
  <c r="L32" i="6" s="1"/>
  <c r="H33" i="6"/>
  <c r="N33" i="6" s="1"/>
  <c r="H34" i="6"/>
  <c r="O34" i="6" s="1"/>
  <c r="H35" i="6"/>
  <c r="J35" i="6" s="1"/>
  <c r="H36" i="6"/>
  <c r="L36" i="6" s="1"/>
  <c r="H37" i="6"/>
  <c r="J37" i="6" s="1"/>
  <c r="H10" i="6"/>
  <c r="K10" i="6" s="1"/>
  <c r="L14" i="5"/>
  <c r="L10" i="5"/>
  <c r="H11" i="5"/>
  <c r="L11" i="5" s="1"/>
  <c r="H12" i="5"/>
  <c r="N12" i="5" s="1"/>
  <c r="H13" i="5"/>
  <c r="M13" i="5" s="1"/>
  <c r="H14" i="5"/>
  <c r="J14" i="5" s="1"/>
  <c r="H15" i="5"/>
  <c r="L15" i="5" s="1"/>
  <c r="H16" i="5"/>
  <c r="N16" i="5" s="1"/>
  <c r="H17" i="5"/>
  <c r="J17" i="5" s="1"/>
  <c r="H18" i="5"/>
  <c r="J18" i="5" s="1"/>
  <c r="H19" i="5"/>
  <c r="L19" i="5" s="1"/>
  <c r="H20" i="5"/>
  <c r="N20" i="5" s="1"/>
  <c r="H21" i="5"/>
  <c r="M21" i="5" s="1"/>
  <c r="H22" i="5"/>
  <c r="J22" i="5" s="1"/>
  <c r="H23" i="5"/>
  <c r="L23" i="5" s="1"/>
  <c r="H24" i="5"/>
  <c r="N24" i="5" s="1"/>
  <c r="H25" i="5"/>
  <c r="J25" i="5" s="1"/>
  <c r="H26" i="5"/>
  <c r="J26" i="5" s="1"/>
  <c r="H27" i="5"/>
  <c r="L27" i="5" s="1"/>
  <c r="H28" i="5"/>
  <c r="N28" i="5" s="1"/>
  <c r="H29" i="5"/>
  <c r="M29" i="5" s="1"/>
  <c r="H30" i="5"/>
  <c r="J30" i="5" s="1"/>
  <c r="H31" i="5"/>
  <c r="L31" i="5" s="1"/>
  <c r="H32" i="5"/>
  <c r="N32" i="5" s="1"/>
  <c r="H33" i="5"/>
  <c r="J33" i="5" s="1"/>
  <c r="H34" i="5"/>
  <c r="J34" i="5" s="1"/>
  <c r="H35" i="5"/>
  <c r="L35" i="5" s="1"/>
  <c r="H36" i="5"/>
  <c r="N36" i="5" s="1"/>
  <c r="H37" i="5"/>
  <c r="M37" i="5" s="1"/>
  <c r="H10" i="5"/>
  <c r="O10" i="5" s="1"/>
  <c r="J21" i="4"/>
  <c r="K21" i="4"/>
  <c r="L21" i="4"/>
  <c r="M21" i="4"/>
  <c r="N21" i="4"/>
  <c r="O21" i="4"/>
  <c r="J22" i="4"/>
  <c r="K22" i="4"/>
  <c r="L22" i="4"/>
  <c r="M22" i="4"/>
  <c r="N22" i="4"/>
  <c r="O22" i="4"/>
  <c r="J23" i="4"/>
  <c r="K23" i="4"/>
  <c r="L23" i="4"/>
  <c r="M23" i="4"/>
  <c r="N23" i="4"/>
  <c r="O23" i="4"/>
  <c r="J24" i="4"/>
  <c r="K24" i="4"/>
  <c r="L24" i="4"/>
  <c r="M24" i="4"/>
  <c r="N24" i="4"/>
  <c r="O24" i="4"/>
  <c r="J25" i="4"/>
  <c r="K25" i="4"/>
  <c r="L25" i="4"/>
  <c r="M25" i="4"/>
  <c r="N25" i="4"/>
  <c r="O25" i="4"/>
  <c r="J26" i="4"/>
  <c r="K26" i="4"/>
  <c r="L26" i="4"/>
  <c r="M26" i="4"/>
  <c r="N26" i="4"/>
  <c r="O26" i="4"/>
  <c r="J27" i="4"/>
  <c r="K27" i="4"/>
  <c r="L27" i="4"/>
  <c r="M27" i="4"/>
  <c r="N27" i="4"/>
  <c r="O27" i="4"/>
  <c r="J28" i="4"/>
  <c r="K28" i="4"/>
  <c r="L28" i="4"/>
  <c r="M28" i="4"/>
  <c r="N28" i="4"/>
  <c r="O28" i="4"/>
  <c r="J29" i="4"/>
  <c r="K29" i="4"/>
  <c r="L29" i="4"/>
  <c r="M29" i="4"/>
  <c r="N29" i="4"/>
  <c r="O29" i="4"/>
  <c r="J30" i="4"/>
  <c r="K30" i="4"/>
  <c r="L30" i="4"/>
  <c r="M30" i="4"/>
  <c r="N30" i="4"/>
  <c r="O30" i="4"/>
  <c r="J31" i="4"/>
  <c r="K31" i="4"/>
  <c r="L31" i="4"/>
  <c r="M31" i="4"/>
  <c r="N31" i="4"/>
  <c r="O31" i="4"/>
  <c r="J32" i="4"/>
  <c r="K32" i="4"/>
  <c r="L32" i="4"/>
  <c r="M32" i="4"/>
  <c r="N32" i="4"/>
  <c r="O32" i="4"/>
  <c r="J33" i="4"/>
  <c r="K33" i="4"/>
  <c r="L33" i="4"/>
  <c r="M33" i="4"/>
  <c r="N33" i="4"/>
  <c r="O33" i="4"/>
  <c r="J34" i="4"/>
  <c r="K34" i="4"/>
  <c r="L34" i="4"/>
  <c r="M34" i="4"/>
  <c r="N34" i="4"/>
  <c r="O34" i="4"/>
  <c r="J35" i="4"/>
  <c r="K35" i="4"/>
  <c r="L35" i="4"/>
  <c r="M35" i="4"/>
  <c r="N35" i="4"/>
  <c r="O35" i="4"/>
  <c r="J36" i="4"/>
  <c r="K36" i="4"/>
  <c r="L36" i="4"/>
  <c r="M36" i="4"/>
  <c r="N36" i="4"/>
  <c r="O36" i="4"/>
  <c r="J37" i="4"/>
  <c r="K37" i="4"/>
  <c r="L37" i="4"/>
  <c r="M37" i="4"/>
  <c r="N37" i="4"/>
  <c r="O37" i="4"/>
  <c r="J38" i="4"/>
  <c r="K38" i="4"/>
  <c r="L38" i="4"/>
  <c r="M38" i="4"/>
  <c r="N38" i="4"/>
  <c r="O38" i="4"/>
  <c r="J39" i="4"/>
  <c r="K39" i="4"/>
  <c r="L39" i="4"/>
  <c r="M39" i="4"/>
  <c r="N39" i="4"/>
  <c r="O39" i="4"/>
  <c r="J40" i="4"/>
  <c r="K40" i="4"/>
  <c r="L40" i="4"/>
  <c r="M40" i="4"/>
  <c r="N40" i="4"/>
  <c r="O40" i="4"/>
  <c r="J41" i="4"/>
  <c r="K41" i="4"/>
  <c r="L41" i="4"/>
  <c r="M41" i="4"/>
  <c r="N41" i="4"/>
  <c r="O41" i="4"/>
  <c r="J42" i="4"/>
  <c r="K42" i="4"/>
  <c r="L42" i="4"/>
  <c r="M42" i="4"/>
  <c r="N42" i="4"/>
  <c r="O42" i="4"/>
  <c r="J43" i="4"/>
  <c r="K43" i="4"/>
  <c r="L43" i="4"/>
  <c r="M43" i="4"/>
  <c r="N43" i="4"/>
  <c r="O43" i="4"/>
  <c r="J44" i="4"/>
  <c r="K44" i="4"/>
  <c r="L44" i="4"/>
  <c r="M44" i="4"/>
  <c r="N44" i="4"/>
  <c r="O44" i="4"/>
  <c r="J45" i="4"/>
  <c r="K45" i="4"/>
  <c r="L45" i="4"/>
  <c r="M45" i="4"/>
  <c r="N45" i="4"/>
  <c r="O45" i="4"/>
  <c r="J46" i="4"/>
  <c r="K46" i="4"/>
  <c r="L46" i="4"/>
  <c r="M46" i="4"/>
  <c r="N46" i="4"/>
  <c r="O46" i="4"/>
  <c r="J47" i="4"/>
  <c r="K47" i="4"/>
  <c r="L47" i="4"/>
  <c r="M47" i="4"/>
  <c r="N47" i="4"/>
  <c r="O47" i="4"/>
  <c r="O20" i="4"/>
  <c r="N20" i="4"/>
  <c r="M20" i="4"/>
  <c r="L20" i="4"/>
  <c r="K20" i="4"/>
  <c r="J20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J21" i="3"/>
  <c r="K21" i="3"/>
  <c r="L21" i="3"/>
  <c r="M21" i="3"/>
  <c r="N21" i="3"/>
  <c r="O21" i="3"/>
  <c r="J22" i="3"/>
  <c r="K22" i="3"/>
  <c r="L22" i="3"/>
  <c r="M22" i="3"/>
  <c r="N22" i="3"/>
  <c r="O22" i="3"/>
  <c r="J23" i="3"/>
  <c r="K23" i="3"/>
  <c r="L23" i="3"/>
  <c r="M23" i="3"/>
  <c r="N23" i="3"/>
  <c r="O23" i="3"/>
  <c r="J24" i="3"/>
  <c r="K24" i="3"/>
  <c r="L24" i="3"/>
  <c r="M24" i="3"/>
  <c r="N24" i="3"/>
  <c r="O24" i="3"/>
  <c r="J25" i="3"/>
  <c r="K25" i="3"/>
  <c r="L25" i="3"/>
  <c r="M25" i="3"/>
  <c r="N25" i="3"/>
  <c r="O25" i="3"/>
  <c r="J26" i="3"/>
  <c r="K26" i="3"/>
  <c r="L26" i="3"/>
  <c r="M26" i="3"/>
  <c r="N26" i="3"/>
  <c r="O26" i="3"/>
  <c r="J27" i="3"/>
  <c r="K27" i="3"/>
  <c r="L27" i="3"/>
  <c r="M27" i="3"/>
  <c r="N27" i="3"/>
  <c r="O27" i="3"/>
  <c r="J28" i="3"/>
  <c r="K28" i="3"/>
  <c r="L28" i="3"/>
  <c r="M28" i="3"/>
  <c r="N28" i="3"/>
  <c r="O28" i="3"/>
  <c r="J29" i="3"/>
  <c r="K29" i="3"/>
  <c r="L29" i="3"/>
  <c r="M29" i="3"/>
  <c r="N29" i="3"/>
  <c r="O29" i="3"/>
  <c r="J30" i="3"/>
  <c r="K30" i="3"/>
  <c r="L30" i="3"/>
  <c r="M30" i="3"/>
  <c r="N30" i="3"/>
  <c r="O30" i="3"/>
  <c r="J31" i="3"/>
  <c r="K31" i="3"/>
  <c r="L31" i="3"/>
  <c r="M31" i="3"/>
  <c r="N31" i="3"/>
  <c r="O31" i="3"/>
  <c r="J32" i="3"/>
  <c r="K32" i="3"/>
  <c r="L32" i="3"/>
  <c r="M32" i="3"/>
  <c r="N32" i="3"/>
  <c r="O32" i="3"/>
  <c r="J33" i="3"/>
  <c r="K33" i="3"/>
  <c r="L33" i="3"/>
  <c r="M33" i="3"/>
  <c r="N33" i="3"/>
  <c r="O33" i="3"/>
  <c r="J34" i="3"/>
  <c r="K34" i="3"/>
  <c r="L34" i="3"/>
  <c r="M34" i="3"/>
  <c r="N34" i="3"/>
  <c r="O34" i="3"/>
  <c r="J35" i="3"/>
  <c r="K35" i="3"/>
  <c r="L35" i="3"/>
  <c r="M35" i="3"/>
  <c r="N35" i="3"/>
  <c r="O35" i="3"/>
  <c r="J36" i="3"/>
  <c r="K36" i="3"/>
  <c r="L36" i="3"/>
  <c r="M36" i="3"/>
  <c r="N36" i="3"/>
  <c r="O36" i="3"/>
  <c r="J37" i="3"/>
  <c r="K37" i="3"/>
  <c r="L37" i="3"/>
  <c r="M37" i="3"/>
  <c r="N37" i="3"/>
  <c r="O37" i="3"/>
  <c r="J38" i="3"/>
  <c r="K38" i="3"/>
  <c r="L38" i="3"/>
  <c r="M38" i="3"/>
  <c r="N38" i="3"/>
  <c r="O38" i="3"/>
  <c r="J39" i="3"/>
  <c r="K39" i="3"/>
  <c r="L39" i="3"/>
  <c r="M39" i="3"/>
  <c r="N39" i="3"/>
  <c r="O39" i="3"/>
  <c r="J40" i="3"/>
  <c r="K40" i="3"/>
  <c r="L40" i="3"/>
  <c r="M40" i="3"/>
  <c r="N40" i="3"/>
  <c r="O40" i="3"/>
  <c r="J41" i="3"/>
  <c r="K41" i="3"/>
  <c r="L41" i="3"/>
  <c r="M41" i="3"/>
  <c r="N41" i="3"/>
  <c r="O41" i="3"/>
  <c r="J42" i="3"/>
  <c r="K42" i="3"/>
  <c r="L42" i="3"/>
  <c r="M42" i="3"/>
  <c r="N42" i="3"/>
  <c r="O42" i="3"/>
  <c r="J43" i="3"/>
  <c r="K43" i="3"/>
  <c r="L43" i="3"/>
  <c r="M43" i="3"/>
  <c r="N43" i="3"/>
  <c r="O43" i="3"/>
  <c r="J44" i="3"/>
  <c r="K44" i="3"/>
  <c r="L44" i="3"/>
  <c r="M44" i="3"/>
  <c r="N44" i="3"/>
  <c r="O44" i="3"/>
  <c r="J45" i="3"/>
  <c r="K45" i="3"/>
  <c r="L45" i="3"/>
  <c r="M45" i="3"/>
  <c r="N45" i="3"/>
  <c r="O45" i="3"/>
  <c r="J46" i="3"/>
  <c r="K46" i="3"/>
  <c r="L46" i="3"/>
  <c r="M46" i="3"/>
  <c r="N46" i="3"/>
  <c r="O46" i="3"/>
  <c r="J47" i="3"/>
  <c r="K47" i="3"/>
  <c r="L47" i="3"/>
  <c r="M47" i="3"/>
  <c r="N47" i="3"/>
  <c r="O47" i="3"/>
  <c r="O20" i="3"/>
  <c r="N20" i="3"/>
  <c r="M20" i="3"/>
  <c r="L20" i="3"/>
  <c r="K20" i="3"/>
  <c r="J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20" i="3"/>
  <c r="O29" i="8" l="1"/>
  <c r="O21" i="8"/>
  <c r="O13" i="8"/>
  <c r="K37" i="8"/>
  <c r="O35" i="8"/>
  <c r="K29" i="8"/>
  <c r="O27" i="8"/>
  <c r="K21" i="8"/>
  <c r="O19" i="8"/>
  <c r="K13" i="8"/>
  <c r="O11" i="8"/>
  <c r="M10" i="8"/>
  <c r="J37" i="8"/>
  <c r="N35" i="8"/>
  <c r="L34" i="8"/>
  <c r="L30" i="8"/>
  <c r="J29" i="8"/>
  <c r="N27" i="8"/>
  <c r="L26" i="8"/>
  <c r="L22" i="8"/>
  <c r="J21" i="8"/>
  <c r="N19" i="8"/>
  <c r="L18" i="8"/>
  <c r="N15" i="8"/>
  <c r="L14" i="8"/>
  <c r="J13" i="8"/>
  <c r="N11" i="8"/>
  <c r="M36" i="8"/>
  <c r="M28" i="8"/>
  <c r="N10" i="8"/>
  <c r="O36" i="8"/>
  <c r="M35" i="8"/>
  <c r="O32" i="8"/>
  <c r="K30" i="8"/>
  <c r="O28" i="8"/>
  <c r="M27" i="8"/>
  <c r="O24" i="8"/>
  <c r="K22" i="8"/>
  <c r="O20" i="8"/>
  <c r="M19" i="8"/>
  <c r="K18" i="8"/>
  <c r="O16" i="8"/>
  <c r="K14" i="8"/>
  <c r="O12" i="8"/>
  <c r="M11" i="8"/>
  <c r="N36" i="8"/>
  <c r="N28" i="8"/>
  <c r="N20" i="8"/>
  <c r="N12" i="8"/>
  <c r="L11" i="8"/>
  <c r="K11" i="8"/>
  <c r="O37" i="8"/>
  <c r="K12" i="8"/>
  <c r="M20" i="8"/>
  <c r="M12" i="8"/>
  <c r="N37" i="8"/>
  <c r="L36" i="8"/>
  <c r="L32" i="8"/>
  <c r="N29" i="8"/>
  <c r="L28" i="8"/>
  <c r="L24" i="8"/>
  <c r="N21" i="8"/>
  <c r="L20" i="8"/>
  <c r="L16" i="8"/>
  <c r="N13" i="8"/>
  <c r="L12" i="8"/>
  <c r="J10" i="8"/>
  <c r="M37" i="8"/>
  <c r="K36" i="8"/>
  <c r="O34" i="8"/>
  <c r="K32" i="8"/>
  <c r="O30" i="8"/>
  <c r="M29" i="8"/>
  <c r="K28" i="8"/>
  <c r="O26" i="8"/>
  <c r="K24" i="8"/>
  <c r="O22" i="8"/>
  <c r="M21" i="8"/>
  <c r="K20" i="8"/>
  <c r="O18" i="8"/>
  <c r="K16" i="8"/>
  <c r="O14" i="8"/>
  <c r="M13" i="8"/>
  <c r="J24" i="7"/>
  <c r="O16" i="7"/>
  <c r="L31" i="7"/>
  <c r="O23" i="7"/>
  <c r="N16" i="7"/>
  <c r="M23" i="7"/>
  <c r="J16" i="7"/>
  <c r="L23" i="7"/>
  <c r="M15" i="7"/>
  <c r="O32" i="7"/>
  <c r="N28" i="7"/>
  <c r="L21" i="7"/>
  <c r="L15" i="7"/>
  <c r="L35" i="7"/>
  <c r="N32" i="7"/>
  <c r="J28" i="7"/>
  <c r="O20" i="7"/>
  <c r="L13" i="7"/>
  <c r="L37" i="7"/>
  <c r="K35" i="7"/>
  <c r="J32" i="7"/>
  <c r="O27" i="7"/>
  <c r="O24" i="7"/>
  <c r="N20" i="7"/>
  <c r="K18" i="7"/>
  <c r="O12" i="7"/>
  <c r="O36" i="7"/>
  <c r="N34" i="7"/>
  <c r="O31" i="7"/>
  <c r="M27" i="7"/>
  <c r="N24" i="7"/>
  <c r="J20" i="7"/>
  <c r="J18" i="7"/>
  <c r="N12" i="7"/>
  <c r="O17" i="7"/>
  <c r="M16" i="7"/>
  <c r="K15" i="7"/>
  <c r="M12" i="7"/>
  <c r="K11" i="7"/>
  <c r="K14" i="7"/>
  <c r="O10" i="7"/>
  <c r="N37" i="7"/>
  <c r="L36" i="7"/>
  <c r="N33" i="7"/>
  <c r="L32" i="7"/>
  <c r="J31" i="7"/>
  <c r="N29" i="7"/>
  <c r="L28" i="7"/>
  <c r="J27" i="7"/>
  <c r="N25" i="7"/>
  <c r="L24" i="7"/>
  <c r="J23" i="7"/>
  <c r="N21" i="7"/>
  <c r="L20" i="7"/>
  <c r="J19" i="7"/>
  <c r="N17" i="7"/>
  <c r="L16" i="7"/>
  <c r="J15" i="7"/>
  <c r="N13" i="7"/>
  <c r="L12" i="7"/>
  <c r="J11" i="7"/>
  <c r="N10" i="7"/>
  <c r="K30" i="7"/>
  <c r="K22" i="7"/>
  <c r="J30" i="7"/>
  <c r="J22" i="7"/>
  <c r="J14" i="7"/>
  <c r="O37" i="7"/>
  <c r="M36" i="7"/>
  <c r="O33" i="7"/>
  <c r="M32" i="7"/>
  <c r="K31" i="7"/>
  <c r="O29" i="7"/>
  <c r="M28" i="7"/>
  <c r="O25" i="7"/>
  <c r="M24" i="7"/>
  <c r="K23" i="7"/>
  <c r="O21" i="7"/>
  <c r="M20" i="7"/>
  <c r="O13" i="7"/>
  <c r="J10" i="7"/>
  <c r="M37" i="7"/>
  <c r="M33" i="7"/>
  <c r="O30" i="7"/>
  <c r="M29" i="7"/>
  <c r="O26" i="7"/>
  <c r="M25" i="7"/>
  <c r="O22" i="7"/>
  <c r="M21" i="7"/>
  <c r="O18" i="7"/>
  <c r="M17" i="7"/>
  <c r="O14" i="7"/>
  <c r="M13" i="7"/>
  <c r="N22" i="7"/>
  <c r="N14" i="7"/>
  <c r="L10" i="7"/>
  <c r="K37" i="7"/>
  <c r="K33" i="7"/>
  <c r="M30" i="7"/>
  <c r="K29" i="7"/>
  <c r="K25" i="7"/>
  <c r="M22" i="7"/>
  <c r="K21" i="7"/>
  <c r="K17" i="7"/>
  <c r="O15" i="7"/>
  <c r="M14" i="7"/>
  <c r="K13" i="7"/>
  <c r="O11" i="7"/>
  <c r="K10" i="7"/>
  <c r="L33" i="7"/>
  <c r="N30" i="7"/>
  <c r="L25" i="7"/>
  <c r="L17" i="7"/>
  <c r="N11" i="7"/>
  <c r="M11" i="7"/>
  <c r="N11" i="6"/>
  <c r="J20" i="6"/>
  <c r="O19" i="6"/>
  <c r="L34" i="6"/>
  <c r="N26" i="6"/>
  <c r="N19" i="6"/>
  <c r="K34" i="6"/>
  <c r="M26" i="6"/>
  <c r="J25" i="6"/>
  <c r="O18" i="6"/>
  <c r="L17" i="6"/>
  <c r="J36" i="6"/>
  <c r="J34" i="6"/>
  <c r="L26" i="6"/>
  <c r="J24" i="6"/>
  <c r="N18" i="6"/>
  <c r="K17" i="6"/>
  <c r="O35" i="6"/>
  <c r="O33" i="6"/>
  <c r="K26" i="6"/>
  <c r="M18" i="6"/>
  <c r="J17" i="6"/>
  <c r="N35" i="6"/>
  <c r="M33" i="6"/>
  <c r="J28" i="6"/>
  <c r="L22" i="6"/>
  <c r="L18" i="6"/>
  <c r="L33" i="6"/>
  <c r="O27" i="6"/>
  <c r="O25" i="6"/>
  <c r="L21" i="6"/>
  <c r="L15" i="6"/>
  <c r="J13" i="6"/>
  <c r="L10" i="6"/>
  <c r="K36" i="6"/>
  <c r="K32" i="6"/>
  <c r="O30" i="6"/>
  <c r="M29" i="6"/>
  <c r="K28" i="6"/>
  <c r="K24" i="6"/>
  <c r="O22" i="6"/>
  <c r="M21" i="6"/>
  <c r="K20" i="6"/>
  <c r="K16" i="6"/>
  <c r="O14" i="6"/>
  <c r="M13" i="6"/>
  <c r="K12" i="6"/>
  <c r="O37" i="6"/>
  <c r="N37" i="6"/>
  <c r="N10" i="6"/>
  <c r="O31" i="6"/>
  <c r="M30" i="6"/>
  <c r="K29" i="6"/>
  <c r="O23" i="6"/>
  <c r="M22" i="6"/>
  <c r="K21" i="6"/>
  <c r="O15" i="6"/>
  <c r="M14" i="6"/>
  <c r="K13" i="6"/>
  <c r="M37" i="6"/>
  <c r="L37" i="6"/>
  <c r="O36" i="6"/>
  <c r="M35" i="6"/>
  <c r="O32" i="6"/>
  <c r="M31" i="6"/>
  <c r="K30" i="6"/>
  <c r="O28" i="6"/>
  <c r="M27" i="6"/>
  <c r="O24" i="6"/>
  <c r="M23" i="6"/>
  <c r="K22" i="6"/>
  <c r="O20" i="6"/>
  <c r="M19" i="6"/>
  <c r="O16" i="6"/>
  <c r="M15" i="6"/>
  <c r="K14" i="6"/>
  <c r="O12" i="6"/>
  <c r="M11" i="6"/>
  <c r="K37" i="6"/>
  <c r="N31" i="6"/>
  <c r="J29" i="6"/>
  <c r="N23" i="6"/>
  <c r="J21" i="6"/>
  <c r="N15" i="6"/>
  <c r="N36" i="6"/>
  <c r="L35" i="6"/>
  <c r="N32" i="6"/>
  <c r="L31" i="6"/>
  <c r="N28" i="6"/>
  <c r="L27" i="6"/>
  <c r="N24" i="6"/>
  <c r="L23" i="6"/>
  <c r="N20" i="6"/>
  <c r="L19" i="6"/>
  <c r="N16" i="6"/>
  <c r="K11" i="6"/>
  <c r="N12" i="6"/>
  <c r="L11" i="6"/>
  <c r="J10" i="6"/>
  <c r="M36" i="6"/>
  <c r="K35" i="6"/>
  <c r="M32" i="6"/>
  <c r="K31" i="6"/>
  <c r="O29" i="6"/>
  <c r="M28" i="6"/>
  <c r="K27" i="6"/>
  <c r="M24" i="6"/>
  <c r="K23" i="6"/>
  <c r="O21" i="6"/>
  <c r="M20" i="6"/>
  <c r="K19" i="6"/>
  <c r="M16" i="6"/>
  <c r="K15" i="6"/>
  <c r="O13" i="6"/>
  <c r="M12" i="6"/>
  <c r="J21" i="5"/>
  <c r="O37" i="5"/>
  <c r="K35" i="5"/>
  <c r="N27" i="5"/>
  <c r="N21" i="5"/>
  <c r="N30" i="5"/>
  <c r="L13" i="5"/>
  <c r="L29" i="5"/>
  <c r="O21" i="5"/>
  <c r="N35" i="5"/>
  <c r="O19" i="5"/>
  <c r="M11" i="5"/>
  <c r="J36" i="5"/>
  <c r="J28" i="5"/>
  <c r="O35" i="5"/>
  <c r="O27" i="5"/>
  <c r="J20" i="5"/>
  <c r="K11" i="5"/>
  <c r="K27" i="5"/>
  <c r="K19" i="5"/>
  <c r="K10" i="5"/>
  <c r="J32" i="5"/>
  <c r="J24" i="5"/>
  <c r="M14" i="5"/>
  <c r="N37" i="5"/>
  <c r="K29" i="5"/>
  <c r="K21" i="5"/>
  <c r="K13" i="5"/>
  <c r="O31" i="5"/>
  <c r="L26" i="5"/>
  <c r="N18" i="5"/>
  <c r="M10" i="5"/>
  <c r="K31" i="5"/>
  <c r="J29" i="5"/>
  <c r="K26" i="5"/>
  <c r="L21" i="5"/>
  <c r="M18" i="5"/>
  <c r="O13" i="5"/>
  <c r="L18" i="5"/>
  <c r="N13" i="5"/>
  <c r="M26" i="5"/>
  <c r="J13" i="5"/>
  <c r="N34" i="5"/>
  <c r="M30" i="5"/>
  <c r="O23" i="5"/>
  <c r="K18" i="5"/>
  <c r="L37" i="5"/>
  <c r="M34" i="5"/>
  <c r="L30" i="5"/>
  <c r="N22" i="5"/>
  <c r="J16" i="5"/>
  <c r="K37" i="5"/>
  <c r="L34" i="5"/>
  <c r="O29" i="5"/>
  <c r="M22" i="5"/>
  <c r="O15" i="5"/>
  <c r="J37" i="5"/>
  <c r="K34" i="5"/>
  <c r="N29" i="5"/>
  <c r="N26" i="5"/>
  <c r="L22" i="5"/>
  <c r="N19" i="5"/>
  <c r="N14" i="5"/>
  <c r="J12" i="5"/>
  <c r="J11" i="5"/>
  <c r="M36" i="5"/>
  <c r="O33" i="5"/>
  <c r="M32" i="5"/>
  <c r="M28" i="5"/>
  <c r="O25" i="5"/>
  <c r="M24" i="5"/>
  <c r="K23" i="5"/>
  <c r="M20" i="5"/>
  <c r="O17" i="5"/>
  <c r="M16" i="5"/>
  <c r="K15" i="5"/>
  <c r="M12" i="5"/>
  <c r="L36" i="5"/>
  <c r="J35" i="5"/>
  <c r="N33" i="5"/>
  <c r="L32" i="5"/>
  <c r="J31" i="5"/>
  <c r="L28" i="5"/>
  <c r="J27" i="5"/>
  <c r="N25" i="5"/>
  <c r="L24" i="5"/>
  <c r="J23" i="5"/>
  <c r="L20" i="5"/>
  <c r="J19" i="5"/>
  <c r="N17" i="5"/>
  <c r="L16" i="5"/>
  <c r="J15" i="5"/>
  <c r="L12" i="5"/>
  <c r="J10" i="5"/>
  <c r="K36" i="5"/>
  <c r="O34" i="5"/>
  <c r="M33" i="5"/>
  <c r="K32" i="5"/>
  <c r="O30" i="5"/>
  <c r="K28" i="5"/>
  <c r="O26" i="5"/>
  <c r="M25" i="5"/>
  <c r="K24" i="5"/>
  <c r="O22" i="5"/>
  <c r="K20" i="5"/>
  <c r="O18" i="5"/>
  <c r="M17" i="5"/>
  <c r="K16" i="5"/>
  <c r="O14" i="5"/>
  <c r="K12" i="5"/>
  <c r="O11" i="5"/>
  <c r="L17" i="5"/>
  <c r="N11" i="5"/>
  <c r="L33" i="5"/>
  <c r="L25" i="5"/>
  <c r="K33" i="5"/>
  <c r="K25" i="5"/>
  <c r="K17" i="5"/>
  <c r="N31" i="5"/>
  <c r="N23" i="5"/>
  <c r="N15" i="5"/>
  <c r="N10" i="5"/>
  <c r="O36" i="5"/>
  <c r="M35" i="5"/>
  <c r="O32" i="5"/>
  <c r="M31" i="5"/>
  <c r="K30" i="5"/>
  <c r="O28" i="5"/>
  <c r="M27" i="5"/>
  <c r="O24" i="5"/>
  <c r="M23" i="5"/>
  <c r="K22" i="5"/>
  <c r="O20" i="5"/>
  <c r="M19" i="5"/>
  <c r="O16" i="5"/>
  <c r="M15" i="5"/>
  <c r="K14" i="5"/>
  <c r="O12" i="5"/>
  <c r="P5" i="1"/>
  <c r="P6" i="1"/>
  <c r="P7" i="1"/>
  <c r="P13" i="1"/>
  <c r="P14" i="1"/>
  <c r="P15" i="1"/>
  <c r="P21" i="1"/>
  <c r="P22" i="1"/>
  <c r="P23" i="1"/>
  <c r="P29" i="1"/>
  <c r="P32" i="1"/>
  <c r="P37" i="1"/>
  <c r="P46" i="1"/>
  <c r="P47" i="1"/>
  <c r="I4" i="1"/>
  <c r="P4" i="1" s="1"/>
  <c r="I3" i="1"/>
  <c r="P3" i="1" s="1"/>
  <c r="I5" i="1"/>
  <c r="Q5" i="1" s="1"/>
  <c r="I6" i="1"/>
  <c r="I7" i="1"/>
  <c r="I8" i="1"/>
  <c r="L8" i="1" s="1"/>
  <c r="I9" i="1"/>
  <c r="M9" i="1" s="1"/>
  <c r="I10" i="1"/>
  <c r="K10" i="1" s="1"/>
  <c r="I11" i="1"/>
  <c r="L11" i="1" s="1"/>
  <c r="I12" i="1"/>
  <c r="N12" i="1" s="1"/>
  <c r="I13" i="1"/>
  <c r="Q13" i="1" s="1"/>
  <c r="I14" i="1"/>
  <c r="I15" i="1"/>
  <c r="I16" i="1"/>
  <c r="N16" i="1" s="1"/>
  <c r="I17" i="1"/>
  <c r="Q17" i="1" s="1"/>
  <c r="I18" i="1"/>
  <c r="K18" i="1" s="1"/>
  <c r="I19" i="1"/>
  <c r="P19" i="1" s="1"/>
  <c r="I20" i="1"/>
  <c r="P20" i="1" s="1"/>
  <c r="I21" i="1"/>
  <c r="I22" i="1"/>
  <c r="I23" i="1"/>
  <c r="L23" i="1" s="1"/>
  <c r="I24" i="1"/>
  <c r="N24" i="1" s="1"/>
  <c r="I25" i="1"/>
  <c r="Q25" i="1" s="1"/>
  <c r="I26" i="1"/>
  <c r="K26" i="1" s="1"/>
  <c r="I27" i="1"/>
  <c r="L27" i="1" s="1"/>
  <c r="I28" i="1"/>
  <c r="P28" i="1" s="1"/>
  <c r="I29" i="1"/>
  <c r="I30" i="1"/>
  <c r="P30" i="1" s="1"/>
  <c r="I31" i="1"/>
  <c r="P31" i="1" s="1"/>
  <c r="I32" i="1"/>
  <c r="N32" i="1" s="1"/>
  <c r="I33" i="1"/>
  <c r="Q33" i="1" s="1"/>
  <c r="I34" i="1"/>
  <c r="K34" i="1" s="1"/>
  <c r="I35" i="1"/>
  <c r="P35" i="1" s="1"/>
  <c r="I36" i="1"/>
  <c r="N36" i="1" s="1"/>
  <c r="I37" i="1"/>
  <c r="I38" i="1"/>
  <c r="P38" i="1" s="1"/>
  <c r="I39" i="1"/>
  <c r="P39" i="1" s="1"/>
  <c r="I40" i="1"/>
  <c r="N40" i="1" s="1"/>
  <c r="I41" i="1"/>
  <c r="Q41" i="1" s="1"/>
  <c r="I42" i="1"/>
  <c r="K42" i="1" s="1"/>
  <c r="I43" i="1"/>
  <c r="L43" i="1" s="1"/>
  <c r="I44" i="1"/>
  <c r="P44" i="1" s="1"/>
  <c r="I45" i="1"/>
  <c r="P45" i="1" s="1"/>
  <c r="I46" i="1"/>
  <c r="I47" i="1"/>
  <c r="I2" i="1"/>
  <c r="P2" i="1" s="1"/>
  <c r="N6" i="1"/>
  <c r="L7" i="1"/>
  <c r="K14" i="1"/>
  <c r="L15" i="1"/>
  <c r="Q21" i="1"/>
  <c r="K22" i="1"/>
  <c r="Q29" i="1"/>
  <c r="L31" i="1"/>
  <c r="Q37" i="1"/>
  <c r="K38" i="1"/>
  <c r="N44" i="1"/>
  <c r="Q45" i="1"/>
  <c r="K46" i="1"/>
  <c r="Q47" i="1"/>
  <c r="M2" i="1"/>
  <c r="P36" i="1" l="1"/>
  <c r="N20" i="1"/>
  <c r="K3" i="1"/>
  <c r="K4" i="1"/>
  <c r="L19" i="1"/>
  <c r="L4" i="1"/>
  <c r="P12" i="1"/>
  <c r="P27" i="1"/>
  <c r="P11" i="1"/>
  <c r="P26" i="1"/>
  <c r="P18" i="1"/>
  <c r="P10" i="1"/>
  <c r="P42" i="1"/>
  <c r="P25" i="1"/>
  <c r="P17" i="1"/>
  <c r="P9" i="1"/>
  <c r="P40" i="1"/>
  <c r="P24" i="1"/>
  <c r="P16" i="1"/>
  <c r="P8" i="1"/>
  <c r="P43" i="1"/>
  <c r="P41" i="1"/>
  <c r="L39" i="1"/>
  <c r="L35" i="1"/>
  <c r="P34" i="1"/>
  <c r="P33" i="1"/>
  <c r="K30" i="1"/>
  <c r="N28" i="1"/>
  <c r="O6" i="1"/>
  <c r="M47" i="1"/>
  <c r="M23" i="1"/>
  <c r="M39" i="1"/>
  <c r="M31" i="1"/>
  <c r="M15" i="1"/>
  <c r="L2" i="1"/>
  <c r="O5" i="1"/>
  <c r="M6" i="1"/>
  <c r="K8" i="1"/>
  <c r="N9" i="1"/>
  <c r="K47" i="1"/>
  <c r="O45" i="1"/>
  <c r="M44" i="1"/>
  <c r="K43" i="1"/>
  <c r="O41" i="1"/>
  <c r="M40" i="1"/>
  <c r="K39" i="1"/>
  <c r="O37" i="1"/>
  <c r="M36" i="1"/>
  <c r="K35" i="1"/>
  <c r="O33" i="1"/>
  <c r="M32" i="1"/>
  <c r="K31" i="1"/>
  <c r="O29" i="1"/>
  <c r="M28" i="1"/>
  <c r="K27" i="1"/>
  <c r="O25" i="1"/>
  <c r="M24" i="1"/>
  <c r="K23" i="1"/>
  <c r="O21" i="1"/>
  <c r="M20" i="1"/>
  <c r="K19" i="1"/>
  <c r="O17" i="1"/>
  <c r="M16" i="1"/>
  <c r="K15" i="1"/>
  <c r="O13" i="1"/>
  <c r="M12" i="1"/>
  <c r="K11" i="1"/>
  <c r="Q2" i="1"/>
  <c r="Q4" i="1"/>
  <c r="N5" i="1"/>
  <c r="L6" i="1"/>
  <c r="Q8" i="1"/>
  <c r="O9" i="1"/>
  <c r="Q46" i="1"/>
  <c r="N45" i="1"/>
  <c r="L44" i="1"/>
  <c r="Q42" i="1"/>
  <c r="N41" i="1"/>
  <c r="L40" i="1"/>
  <c r="Q38" i="1"/>
  <c r="N37" i="1"/>
  <c r="L36" i="1"/>
  <c r="Q34" i="1"/>
  <c r="N33" i="1"/>
  <c r="L32" i="1"/>
  <c r="Q30" i="1"/>
  <c r="N29" i="1"/>
  <c r="L28" i="1"/>
  <c r="Q26" i="1"/>
  <c r="N25" i="1"/>
  <c r="L24" i="1"/>
  <c r="Q22" i="1"/>
  <c r="N21" i="1"/>
  <c r="L20" i="1"/>
  <c r="Q18" i="1"/>
  <c r="N17" i="1"/>
  <c r="L16" i="1"/>
  <c r="Q14" i="1"/>
  <c r="N13" i="1"/>
  <c r="L12" i="1"/>
  <c r="Q10" i="1"/>
  <c r="Q3" i="1"/>
  <c r="O4" i="1"/>
  <c r="M5" i="1"/>
  <c r="K7" i="1"/>
  <c r="O8" i="1"/>
  <c r="Q9" i="1"/>
  <c r="O46" i="1"/>
  <c r="M45" i="1"/>
  <c r="K44" i="1"/>
  <c r="O42" i="1"/>
  <c r="M41" i="1"/>
  <c r="K40" i="1"/>
  <c r="O38" i="1"/>
  <c r="M37" i="1"/>
  <c r="K36" i="1"/>
  <c r="O34" i="1"/>
  <c r="M33" i="1"/>
  <c r="K32" i="1"/>
  <c r="O30" i="1"/>
  <c r="M29" i="1"/>
  <c r="K28" i="1"/>
  <c r="O26" i="1"/>
  <c r="M25" i="1"/>
  <c r="K24" i="1"/>
  <c r="O22" i="1"/>
  <c r="M21" i="1"/>
  <c r="K20" i="1"/>
  <c r="O18" i="1"/>
  <c r="M17" i="1"/>
  <c r="K16" i="1"/>
  <c r="R16" i="1" s="1"/>
  <c r="O14" i="1"/>
  <c r="M13" i="1"/>
  <c r="K12" i="1"/>
  <c r="O10" i="1"/>
  <c r="O3" i="1"/>
  <c r="N4" i="1"/>
  <c r="L5" i="1"/>
  <c r="Q7" i="1"/>
  <c r="N8" i="1"/>
  <c r="K9" i="1"/>
  <c r="N46" i="1"/>
  <c r="L45" i="1"/>
  <c r="Q43" i="1"/>
  <c r="N42" i="1"/>
  <c r="L41" i="1"/>
  <c r="Q39" i="1"/>
  <c r="N38" i="1"/>
  <c r="L37" i="1"/>
  <c r="Q35" i="1"/>
  <c r="N34" i="1"/>
  <c r="L33" i="1"/>
  <c r="Q31" i="1"/>
  <c r="N30" i="1"/>
  <c r="L29" i="1"/>
  <c r="Q27" i="1"/>
  <c r="N26" i="1"/>
  <c r="L25" i="1"/>
  <c r="Q23" i="1"/>
  <c r="N22" i="1"/>
  <c r="L21" i="1"/>
  <c r="Q19" i="1"/>
  <c r="N18" i="1"/>
  <c r="L17" i="1"/>
  <c r="Q15" i="1"/>
  <c r="N14" i="1"/>
  <c r="L13" i="1"/>
  <c r="Q11" i="1"/>
  <c r="N10" i="1"/>
  <c r="K2" i="1"/>
  <c r="N3" i="1"/>
  <c r="M4" i="1"/>
  <c r="K6" i="1"/>
  <c r="O7" i="1"/>
  <c r="M8" i="1"/>
  <c r="O47" i="1"/>
  <c r="M46" i="1"/>
  <c r="K45" i="1"/>
  <c r="O43" i="1"/>
  <c r="M42" i="1"/>
  <c r="K41" i="1"/>
  <c r="O39" i="1"/>
  <c r="M38" i="1"/>
  <c r="K37" i="1"/>
  <c r="O35" i="1"/>
  <c r="M34" i="1"/>
  <c r="K33" i="1"/>
  <c r="O31" i="1"/>
  <c r="M30" i="1"/>
  <c r="K29" i="1"/>
  <c r="O27" i="1"/>
  <c r="M26" i="1"/>
  <c r="K25" i="1"/>
  <c r="O23" i="1"/>
  <c r="M22" i="1"/>
  <c r="K21" i="1"/>
  <c r="R21" i="1" s="1"/>
  <c r="O19" i="1"/>
  <c r="M18" i="1"/>
  <c r="K17" i="1"/>
  <c r="O15" i="1"/>
  <c r="M14" i="1"/>
  <c r="K13" i="1"/>
  <c r="O11" i="1"/>
  <c r="M10" i="1"/>
  <c r="R10" i="1" s="1"/>
  <c r="O2" i="1"/>
  <c r="M3" i="1"/>
  <c r="Q6" i="1"/>
  <c r="N7" i="1"/>
  <c r="N47" i="1"/>
  <c r="L46" i="1"/>
  <c r="Q44" i="1"/>
  <c r="N43" i="1"/>
  <c r="L42" i="1"/>
  <c r="Q40" i="1"/>
  <c r="N39" i="1"/>
  <c r="L38" i="1"/>
  <c r="Q36" i="1"/>
  <c r="N35" i="1"/>
  <c r="L34" i="1"/>
  <c r="Q32" i="1"/>
  <c r="N31" i="1"/>
  <c r="L30" i="1"/>
  <c r="Q28" i="1"/>
  <c r="N27" i="1"/>
  <c r="L26" i="1"/>
  <c r="R26" i="1" s="1"/>
  <c r="Q24" i="1"/>
  <c r="N23" i="1"/>
  <c r="L22" i="1"/>
  <c r="R22" i="1" s="1"/>
  <c r="Q20" i="1"/>
  <c r="N19" i="1"/>
  <c r="L18" i="1"/>
  <c r="R18" i="1" s="1"/>
  <c r="Q16" i="1"/>
  <c r="N15" i="1"/>
  <c r="L14" i="1"/>
  <c r="Q12" i="1"/>
  <c r="N11" i="1"/>
  <c r="L10" i="1"/>
  <c r="N2" i="1"/>
  <c r="L3" i="1"/>
  <c r="K5" i="1"/>
  <c r="M7" i="1"/>
  <c r="L9" i="1"/>
  <c r="O44" i="1"/>
  <c r="M43" i="1"/>
  <c r="O40" i="1"/>
  <c r="O36" i="1"/>
  <c r="M35" i="1"/>
  <c r="O32" i="1"/>
  <c r="O28" i="1"/>
  <c r="M27" i="1"/>
  <c r="O24" i="1"/>
  <c r="O20" i="1"/>
  <c r="M19" i="1"/>
  <c r="O16" i="1"/>
  <c r="O12" i="1"/>
  <c r="M11" i="1"/>
  <c r="L47" i="1"/>
  <c r="R17" i="1" l="1"/>
  <c r="R38" i="1"/>
  <c r="R32" i="1"/>
  <c r="R27" i="1"/>
  <c r="R4" i="1"/>
  <c r="R11" i="1"/>
  <c r="R3" i="1"/>
  <c r="R14" i="1"/>
  <c r="R46" i="1"/>
  <c r="R13" i="1"/>
  <c r="R45" i="1"/>
  <c r="R2" i="1"/>
  <c r="R23" i="1"/>
  <c r="R25" i="1"/>
  <c r="R7" i="1"/>
  <c r="R5" i="1"/>
  <c r="R20" i="1"/>
  <c r="R15" i="1"/>
  <c r="R34" i="1"/>
  <c r="R12" i="1"/>
  <c r="R8" i="1"/>
  <c r="R42" i="1"/>
  <c r="R41" i="1"/>
  <c r="R6" i="1"/>
  <c r="R9" i="1"/>
  <c r="R24" i="1"/>
  <c r="R19" i="1"/>
  <c r="R47" i="1"/>
  <c r="R44" i="1"/>
  <c r="R43" i="1"/>
  <c r="R40" i="1"/>
  <c r="R39" i="1"/>
  <c r="R37" i="1"/>
  <c r="R36" i="1"/>
  <c r="R35" i="1"/>
  <c r="R33" i="1"/>
  <c r="R31" i="1"/>
  <c r="R30" i="1"/>
  <c r="R29" i="1"/>
  <c r="R28" i="1"/>
</calcChain>
</file>

<file path=xl/sharedStrings.xml><?xml version="1.0" encoding="utf-8"?>
<sst xmlns="http://schemas.openxmlformats.org/spreadsheetml/2006/main" count="149" uniqueCount="10">
  <si>
    <t>Date</t>
  </si>
  <si>
    <t>UK</t>
  </si>
  <si>
    <t>CH</t>
  </si>
  <si>
    <t>JP</t>
  </si>
  <si>
    <t>AU</t>
  </si>
  <si>
    <t>EU</t>
  </si>
  <si>
    <t>EM</t>
  </si>
  <si>
    <t>Sum</t>
  </si>
  <si>
    <t>EM2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</si>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</sst>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019A-0E2B-BA4B-9523-995EABE9A7F0}">
  <dimension ref="A1:R47"/>
  <sheetViews>
    <sheetView topLeftCell="A41" workbookViewId="0">
      <selection activeCell="L3" sqref="L3:R24"/>
    </sheetView>
  </sheetViews>
  <sheetFormatPr baseColWidth="10" defaultRowHeight="16" x14ac:dyDescent="0.2"/>
  <cols>
    <col min="8" max="8" width="0" hidden="1" customWidth="1"/>
    <col min="17" max="17" width="0" hidden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8</v>
      </c>
    </row>
    <row r="2" spans="1:18" x14ac:dyDescent="0.2">
      <c r="A2">
        <v>2025</v>
      </c>
      <c r="B2">
        <v>3.8</v>
      </c>
      <c r="C2">
        <v>3.55</v>
      </c>
      <c r="D2">
        <v>4.1100000000000003</v>
      </c>
      <c r="E2">
        <v>1.7</v>
      </c>
      <c r="F2">
        <v>17.22</v>
      </c>
      <c r="G2">
        <v>7.54</v>
      </c>
      <c r="H2">
        <v>43.72</v>
      </c>
      <c r="I2">
        <f>SUM(B2:G2)</f>
        <v>37.92</v>
      </c>
      <c r="K2" s="1">
        <f>B2/$I$2</f>
        <v>0.10021097046413502</v>
      </c>
      <c r="L2" s="1">
        <f>C2/$I$2</f>
        <v>9.3618143459915606E-2</v>
      </c>
      <c r="M2" s="1">
        <f>D2/$I$2</f>
        <v>0.1083860759493671</v>
      </c>
      <c r="N2" s="1">
        <f>E2/$I$2</f>
        <v>4.4831223628691977E-2</v>
      </c>
      <c r="O2" s="1">
        <f>F2/$I$2</f>
        <v>0.45411392405063283</v>
      </c>
      <c r="P2" s="1">
        <f>G2/I2</f>
        <v>0.19883966244725737</v>
      </c>
      <c r="Q2" s="1">
        <f>H2/$I$2</f>
        <v>1.1529535864978901</v>
      </c>
      <c r="R2" s="1">
        <f>SUM(K2:P2)</f>
        <v>0.99999999999999989</v>
      </c>
    </row>
    <row r="3" spans="1:18" x14ac:dyDescent="0.2">
      <c r="A3">
        <v>2024</v>
      </c>
      <c r="B3">
        <v>3.67</v>
      </c>
      <c r="C3">
        <v>1.48</v>
      </c>
      <c r="D3">
        <v>4.29</v>
      </c>
      <c r="E3">
        <v>1.8</v>
      </c>
      <c r="F3">
        <v>16.559999999999999</v>
      </c>
      <c r="G3">
        <v>8.35</v>
      </c>
      <c r="H3">
        <v>45.31</v>
      </c>
      <c r="I3">
        <f t="shared" ref="I3:I47" si="0">SUM(B3:G3)</f>
        <v>36.15</v>
      </c>
      <c r="K3" s="1">
        <f>B3/$I$3</f>
        <v>0.10152143845089903</v>
      </c>
      <c r="L3" s="1">
        <f>C3/$I$3</f>
        <v>4.0940525587828493E-2</v>
      </c>
      <c r="M3" s="1">
        <f>D3/$I$3</f>
        <v>0.11867219917012449</v>
      </c>
      <c r="N3" s="1">
        <f>E3/$I$3</f>
        <v>4.9792531120331954E-2</v>
      </c>
      <c r="O3" s="1">
        <f>F3/$I$3</f>
        <v>0.45809128630705392</v>
      </c>
      <c r="P3" s="1">
        <f t="shared" ref="P3:P47" si="1">G3/I3</f>
        <v>0.23098201936376211</v>
      </c>
      <c r="Q3" s="1">
        <f>H3/$I$3</f>
        <v>1.2533886583679117</v>
      </c>
      <c r="R3" s="1">
        <f t="shared" ref="R3:R47" si="2">SUM(K3:P3)</f>
        <v>1</v>
      </c>
    </row>
    <row r="4" spans="1:18" x14ac:dyDescent="0.2">
      <c r="A4">
        <v>2023</v>
      </c>
      <c r="B4">
        <v>3.64</v>
      </c>
      <c r="C4">
        <v>1.67</v>
      </c>
      <c r="D4">
        <v>4.25</v>
      </c>
      <c r="E4">
        <v>1.68</v>
      </c>
      <c r="F4">
        <v>17.440000000000001</v>
      </c>
      <c r="G4">
        <v>8.5</v>
      </c>
      <c r="H4">
        <v>44.73</v>
      </c>
      <c r="I4">
        <f>SUM(B4:G4)</f>
        <v>37.18</v>
      </c>
      <c r="K4" s="1">
        <f>B4/$I$4</f>
        <v>9.7902097902097904E-2</v>
      </c>
      <c r="L4" s="1">
        <f>C4/$I$4</f>
        <v>4.4916621839698759E-2</v>
      </c>
      <c r="M4" s="1">
        <f>D4/$I$4</f>
        <v>0.114308768154922</v>
      </c>
      <c r="N4" s="1">
        <f>E4/$I$4</f>
        <v>4.5185583647122107E-2</v>
      </c>
      <c r="O4" s="1">
        <f>F4/$I$4</f>
        <v>0.46906939214631527</v>
      </c>
      <c r="P4" s="1">
        <f t="shared" si="1"/>
        <v>0.22861753630984399</v>
      </c>
      <c r="Q4" s="1">
        <f>H4/$I$4</f>
        <v>1.2030661646046261</v>
      </c>
      <c r="R4" s="1">
        <f t="shared" si="2"/>
        <v>1</v>
      </c>
    </row>
    <row r="5" spans="1:18" x14ac:dyDescent="0.2">
      <c r="A5">
        <v>2022</v>
      </c>
      <c r="B5">
        <v>3.73</v>
      </c>
      <c r="C5">
        <v>1.84</v>
      </c>
      <c r="D5">
        <v>4.42</v>
      </c>
      <c r="E5">
        <v>1.52</v>
      </c>
      <c r="F5">
        <v>16.760000000000002</v>
      </c>
      <c r="G5">
        <v>8.7200000000000006</v>
      </c>
      <c r="H5">
        <v>45.27</v>
      </c>
      <c r="I5">
        <f t="shared" si="0"/>
        <v>36.99</v>
      </c>
      <c r="K5" s="1">
        <f>B5/$I$5</f>
        <v>0.10083806434171397</v>
      </c>
      <c r="L5" s="1">
        <f>C5/$I$5</f>
        <v>4.9743173830765069E-2</v>
      </c>
      <c r="M5" s="1">
        <f>D5/$I$5</f>
        <v>0.11949175452825087</v>
      </c>
      <c r="N5" s="1">
        <f>E5/$I$5</f>
        <v>4.1092187077588535E-2</v>
      </c>
      <c r="O5" s="1">
        <f>F5/$I$5</f>
        <v>0.45309543119762102</v>
      </c>
      <c r="P5" s="1">
        <f t="shared" si="1"/>
        <v>0.23573938902406055</v>
      </c>
      <c r="Q5" s="1">
        <f>H5/$I$5</f>
        <v>1.2238442822384428</v>
      </c>
      <c r="R5" s="1">
        <f t="shared" si="2"/>
        <v>1</v>
      </c>
    </row>
    <row r="6" spans="1:18" x14ac:dyDescent="0.2">
      <c r="A6">
        <v>2021</v>
      </c>
      <c r="B6">
        <v>3.14</v>
      </c>
      <c r="C6">
        <v>1.38</v>
      </c>
      <c r="D6">
        <v>4.8</v>
      </c>
      <c r="E6">
        <v>1.58</v>
      </c>
      <c r="F6">
        <v>15.96</v>
      </c>
      <c r="G6">
        <v>10.51</v>
      </c>
      <c r="H6">
        <v>47.17</v>
      </c>
      <c r="I6">
        <f t="shared" si="0"/>
        <v>37.369999999999997</v>
      </c>
      <c r="K6" s="1">
        <f>B6/$I$6</f>
        <v>8.4024618678084029E-2</v>
      </c>
      <c r="L6" s="1">
        <f>C6/$I$6</f>
        <v>3.6928017126036924E-2</v>
      </c>
      <c r="M6" s="1">
        <f>D6/$I$6</f>
        <v>0.12844527696012845</v>
      </c>
      <c r="N6" s="1">
        <f>E6/$I$6</f>
        <v>4.2279903666042284E-2</v>
      </c>
      <c r="O6" s="1">
        <f>F6/$I$6</f>
        <v>0.42708054589242711</v>
      </c>
      <c r="P6" s="1">
        <f t="shared" si="1"/>
        <v>0.28124163767728128</v>
      </c>
      <c r="Q6" s="1">
        <f>H6/$I$6</f>
        <v>1.2622424404602623</v>
      </c>
      <c r="R6" s="1">
        <f t="shared" si="2"/>
        <v>1</v>
      </c>
    </row>
    <row r="7" spans="1:18" x14ac:dyDescent="0.2">
      <c r="A7">
        <v>2020</v>
      </c>
      <c r="B7">
        <v>3.87</v>
      </c>
      <c r="C7">
        <v>1.67</v>
      </c>
      <c r="D7">
        <v>5.76</v>
      </c>
      <c r="E7">
        <v>2.04</v>
      </c>
      <c r="F7">
        <v>16.899999999999999</v>
      </c>
      <c r="G7">
        <v>10.94</v>
      </c>
      <c r="H7">
        <v>39.130000000000003</v>
      </c>
      <c r="I7">
        <f t="shared" si="0"/>
        <v>41.18</v>
      </c>
      <c r="K7" s="1">
        <f>B7/$I$7</f>
        <v>9.3977659057795052E-2</v>
      </c>
      <c r="L7" s="1">
        <f>C7/$I$7</f>
        <v>4.0553666828557551E-2</v>
      </c>
      <c r="M7" s="1">
        <f>D7/$I$7</f>
        <v>0.13987372510927634</v>
      </c>
      <c r="N7" s="1">
        <f>E7/$I$7</f>
        <v>4.953861097620204E-2</v>
      </c>
      <c r="O7" s="1">
        <f>F7/$I$7</f>
        <v>0.41039339485186982</v>
      </c>
      <c r="P7" s="1">
        <f t="shared" si="1"/>
        <v>0.26566294317629918</v>
      </c>
      <c r="Q7" s="1">
        <f>H7/$I$7</f>
        <v>0.95021855269548328</v>
      </c>
      <c r="R7" s="1">
        <f t="shared" si="2"/>
        <v>1</v>
      </c>
    </row>
    <row r="8" spans="1:18" x14ac:dyDescent="0.2">
      <c r="A8">
        <v>2019</v>
      </c>
      <c r="B8">
        <v>4.21</v>
      </c>
      <c r="C8">
        <v>1.18</v>
      </c>
      <c r="D8">
        <v>5.09</v>
      </c>
      <c r="E8">
        <v>1.68</v>
      </c>
      <c r="F8">
        <v>15.19</v>
      </c>
      <c r="G8">
        <v>7.73</v>
      </c>
      <c r="H8">
        <v>44.55</v>
      </c>
      <c r="I8">
        <f t="shared" si="0"/>
        <v>35.08</v>
      </c>
      <c r="K8" s="1">
        <f>B8/$I$8</f>
        <v>0.12001140250855188</v>
      </c>
      <c r="L8" s="1">
        <f>C8/$I$8</f>
        <v>3.3637400228050174E-2</v>
      </c>
      <c r="M8" s="1">
        <f>D8/$I$8</f>
        <v>0.145096921322691</v>
      </c>
      <c r="N8" s="1">
        <f>E8/$I$8</f>
        <v>4.789053591790194E-2</v>
      </c>
      <c r="O8" s="1">
        <f>F8/$I$8</f>
        <v>0.43301026225769668</v>
      </c>
      <c r="P8" s="1">
        <f t="shared" si="1"/>
        <v>0.22035347776510836</v>
      </c>
      <c r="Q8" s="1">
        <f>H8/$I$8</f>
        <v>1.2699543899657924</v>
      </c>
      <c r="R8" s="1">
        <f t="shared" si="2"/>
        <v>1</v>
      </c>
    </row>
    <row r="9" spans="1:18" x14ac:dyDescent="0.2">
      <c r="A9">
        <v>2018</v>
      </c>
      <c r="B9">
        <v>3.87</v>
      </c>
      <c r="C9">
        <v>1.29</v>
      </c>
      <c r="D9">
        <v>5.12</v>
      </c>
      <c r="E9">
        <v>1.52</v>
      </c>
      <c r="F9">
        <v>14.3</v>
      </c>
      <c r="G9">
        <v>9.57</v>
      </c>
      <c r="H9">
        <v>46.34</v>
      </c>
      <c r="I9">
        <f t="shared" si="0"/>
        <v>35.67</v>
      </c>
      <c r="K9" s="1">
        <f>B9/I9</f>
        <v>0.10849453322119428</v>
      </c>
      <c r="L9" s="1">
        <f>C9/I9</f>
        <v>3.6164844407064758E-2</v>
      </c>
      <c r="M9" s="1">
        <f>D9/I9</f>
        <v>0.14353798710400897</v>
      </c>
      <c r="N9" s="1">
        <f>E9/I9</f>
        <v>4.2612839921502658E-2</v>
      </c>
      <c r="O9" s="1">
        <f>F9/I9</f>
        <v>0.40089711241940007</v>
      </c>
      <c r="P9" s="1">
        <f t="shared" si="1"/>
        <v>0.26829268292682928</v>
      </c>
      <c r="Q9" s="1">
        <f>H9/I9</f>
        <v>1.2991309223437062</v>
      </c>
      <c r="R9" s="1">
        <f t="shared" si="2"/>
        <v>1</v>
      </c>
    </row>
    <row r="10" spans="1:18" x14ac:dyDescent="0.2">
      <c r="A10">
        <v>2017</v>
      </c>
      <c r="B10">
        <v>3.92</v>
      </c>
      <c r="C10">
        <v>1.39</v>
      </c>
      <c r="D10">
        <v>4.93</v>
      </c>
      <c r="E10">
        <v>1.63</v>
      </c>
      <c r="F10">
        <v>14.18</v>
      </c>
      <c r="G10">
        <v>10.33</v>
      </c>
      <c r="H10">
        <v>46.63</v>
      </c>
      <c r="I10">
        <f t="shared" si="0"/>
        <v>36.379999999999995</v>
      </c>
      <c r="K10" s="1">
        <f t="shared" ref="K10:K47" si="3">B10/I10</f>
        <v>0.10775151181968115</v>
      </c>
      <c r="L10" s="1">
        <f t="shared" ref="L10:L47" si="4">C10/I10</f>
        <v>3.8207806487080817E-2</v>
      </c>
      <c r="M10" s="1">
        <f t="shared" ref="M10:M47" si="5">D10/I10</f>
        <v>0.1355140186915888</v>
      </c>
      <c r="N10" s="1">
        <f t="shared" ref="N10:N47" si="6">E10/I10</f>
        <v>4.4804837822979664E-2</v>
      </c>
      <c r="O10" s="1">
        <f t="shared" ref="O10:O47" si="7">F10/I10</f>
        <v>0.38977460142935683</v>
      </c>
      <c r="P10" s="1">
        <f t="shared" si="1"/>
        <v>0.28394722374931286</v>
      </c>
      <c r="Q10" s="1">
        <f t="shared" ref="Q10:Q46" si="8">H10/I10</f>
        <v>1.2817482133040135</v>
      </c>
      <c r="R10" s="1">
        <f t="shared" si="2"/>
        <v>1</v>
      </c>
    </row>
    <row r="11" spans="1:18" x14ac:dyDescent="0.2">
      <c r="A11">
        <v>2016</v>
      </c>
      <c r="B11">
        <v>4.0999999999999996</v>
      </c>
      <c r="C11">
        <v>1.75</v>
      </c>
      <c r="D11">
        <v>4.9800000000000004</v>
      </c>
      <c r="E11">
        <v>1.66</v>
      </c>
      <c r="F11">
        <v>14.46</v>
      </c>
      <c r="G11">
        <v>9.74</v>
      </c>
      <c r="H11">
        <v>45.79</v>
      </c>
      <c r="I11">
        <f t="shared" si="0"/>
        <v>36.690000000000005</v>
      </c>
      <c r="K11" s="1">
        <f t="shared" si="3"/>
        <v>0.11174707004633412</v>
      </c>
      <c r="L11" s="1">
        <f t="shared" si="4"/>
        <v>4.7696920141727987E-2</v>
      </c>
      <c r="M11" s="1">
        <f t="shared" si="5"/>
        <v>0.13573180703188878</v>
      </c>
      <c r="N11" s="1">
        <f t="shared" si="6"/>
        <v>4.524393567729626E-2</v>
      </c>
      <c r="O11" s="1">
        <f t="shared" si="7"/>
        <v>0.39411283728536384</v>
      </c>
      <c r="P11" s="1">
        <f t="shared" si="1"/>
        <v>0.26546742981738891</v>
      </c>
      <c r="Q11" s="1">
        <f t="shared" si="8"/>
        <v>1.2480239847369854</v>
      </c>
      <c r="R11" s="1">
        <f t="shared" si="2"/>
        <v>0.99999999999999989</v>
      </c>
    </row>
    <row r="12" spans="1:18" x14ac:dyDescent="0.2">
      <c r="A12">
        <v>2015</v>
      </c>
      <c r="B12">
        <v>3.96</v>
      </c>
      <c r="C12">
        <v>1.4</v>
      </c>
      <c r="D12">
        <v>4.7</v>
      </c>
      <c r="E12">
        <v>1.65</v>
      </c>
      <c r="F12">
        <v>14.07</v>
      </c>
      <c r="G12">
        <v>9.9700000000000006</v>
      </c>
      <c r="H12">
        <v>46.81</v>
      </c>
      <c r="I12">
        <f t="shared" si="0"/>
        <v>35.75</v>
      </c>
      <c r="K12" s="1">
        <f t="shared" si="3"/>
        <v>0.11076923076923077</v>
      </c>
      <c r="L12" s="1">
        <f t="shared" si="4"/>
        <v>3.9160839160839157E-2</v>
      </c>
      <c r="M12" s="1">
        <f t="shared" si="5"/>
        <v>0.13146853146853146</v>
      </c>
      <c r="N12" s="1">
        <f t="shared" si="6"/>
        <v>4.6153846153846149E-2</v>
      </c>
      <c r="O12" s="1">
        <f t="shared" si="7"/>
        <v>0.39356643356643356</v>
      </c>
      <c r="P12" s="1">
        <f t="shared" si="1"/>
        <v>0.27888111888111888</v>
      </c>
      <c r="Q12" s="1">
        <f t="shared" si="8"/>
        <v>1.3093706293706295</v>
      </c>
      <c r="R12" s="1">
        <f t="shared" si="2"/>
        <v>1</v>
      </c>
    </row>
    <row r="13" spans="1:18" x14ac:dyDescent="0.2">
      <c r="A13">
        <v>2014</v>
      </c>
      <c r="B13">
        <v>3.43</v>
      </c>
      <c r="C13">
        <v>1.37</v>
      </c>
      <c r="D13">
        <v>4.68</v>
      </c>
      <c r="E13">
        <v>1.64</v>
      </c>
      <c r="F13">
        <v>13.34</v>
      </c>
      <c r="G13">
        <v>9.8800000000000008</v>
      </c>
      <c r="H13">
        <v>47.6</v>
      </c>
      <c r="I13">
        <f t="shared" si="0"/>
        <v>34.340000000000003</v>
      </c>
      <c r="K13" s="1">
        <f t="shared" si="3"/>
        <v>9.9883517763541055E-2</v>
      </c>
      <c r="L13" s="1">
        <f t="shared" si="4"/>
        <v>3.9895165987186954E-2</v>
      </c>
      <c r="M13" s="1">
        <f t="shared" si="5"/>
        <v>0.13628421665695981</v>
      </c>
      <c r="N13" s="1">
        <f t="shared" si="6"/>
        <v>4.7757716948165399E-2</v>
      </c>
      <c r="O13" s="1">
        <f t="shared" si="7"/>
        <v>0.38846825859056489</v>
      </c>
      <c r="P13" s="1">
        <f t="shared" si="1"/>
        <v>0.28771112405358185</v>
      </c>
      <c r="Q13" s="1">
        <f t="shared" si="8"/>
        <v>1.386138613861386</v>
      </c>
      <c r="R13" s="1">
        <f t="shared" si="2"/>
        <v>1</v>
      </c>
    </row>
    <row r="14" spans="1:18" x14ac:dyDescent="0.2">
      <c r="A14">
        <v>2013</v>
      </c>
      <c r="B14">
        <v>3.04</v>
      </c>
      <c r="C14">
        <v>1.61</v>
      </c>
      <c r="D14">
        <v>4.75</v>
      </c>
      <c r="E14">
        <v>1.7</v>
      </c>
      <c r="F14">
        <v>13.42</v>
      </c>
      <c r="G14">
        <v>9.6999999999999993</v>
      </c>
      <c r="H14">
        <v>48</v>
      </c>
      <c r="I14">
        <f t="shared" si="0"/>
        <v>34.22</v>
      </c>
      <c r="K14" s="1">
        <f t="shared" si="3"/>
        <v>8.8836937463471655E-2</v>
      </c>
      <c r="L14" s="1">
        <f t="shared" si="4"/>
        <v>4.7048509643483345E-2</v>
      </c>
      <c r="M14" s="1">
        <f t="shared" si="5"/>
        <v>0.13880771478667447</v>
      </c>
      <c r="N14" s="1">
        <f t="shared" si="6"/>
        <v>4.9678550555230856E-2</v>
      </c>
      <c r="O14" s="1">
        <f t="shared" si="7"/>
        <v>0.39216832261835183</v>
      </c>
      <c r="P14" s="1">
        <f t="shared" si="1"/>
        <v>0.28345996493278786</v>
      </c>
      <c r="Q14" s="1">
        <f t="shared" si="8"/>
        <v>1.4026884862653419</v>
      </c>
      <c r="R14" s="1">
        <f t="shared" si="2"/>
        <v>1</v>
      </c>
    </row>
    <row r="15" spans="1:18" x14ac:dyDescent="0.2">
      <c r="A15">
        <v>2012</v>
      </c>
      <c r="B15">
        <v>3.61</v>
      </c>
      <c r="C15">
        <v>1.69</v>
      </c>
      <c r="D15">
        <v>5.19</v>
      </c>
      <c r="E15">
        <v>2.0699999999999998</v>
      </c>
      <c r="F15">
        <v>13.14</v>
      </c>
      <c r="G15">
        <v>8.5299999999999994</v>
      </c>
      <c r="H15">
        <v>47.1</v>
      </c>
      <c r="I15">
        <f t="shared" si="0"/>
        <v>34.230000000000004</v>
      </c>
      <c r="K15" s="1">
        <f t="shared" si="3"/>
        <v>0.10546304411335085</v>
      </c>
      <c r="L15" s="1">
        <f t="shared" si="4"/>
        <v>4.9371895997662861E-2</v>
      </c>
      <c r="M15" s="1">
        <f t="shared" si="5"/>
        <v>0.15162138475021911</v>
      </c>
      <c r="N15" s="1">
        <f t="shared" si="6"/>
        <v>6.0473269062226102E-2</v>
      </c>
      <c r="O15" s="1">
        <f t="shared" si="7"/>
        <v>0.38387379491673967</v>
      </c>
      <c r="P15" s="1">
        <f t="shared" si="1"/>
        <v>0.2491966111598013</v>
      </c>
      <c r="Q15" s="1">
        <f t="shared" si="8"/>
        <v>1.375985977212971</v>
      </c>
      <c r="R15" s="1">
        <f t="shared" si="2"/>
        <v>0.99999999999999989</v>
      </c>
    </row>
    <row r="16" spans="1:18" x14ac:dyDescent="0.2">
      <c r="A16">
        <v>2011</v>
      </c>
      <c r="B16">
        <v>3.8</v>
      </c>
      <c r="C16">
        <v>0.72</v>
      </c>
      <c r="D16">
        <v>5.31</v>
      </c>
      <c r="E16">
        <v>1.98</v>
      </c>
      <c r="F16">
        <v>15.05</v>
      </c>
      <c r="G16">
        <v>8.3000000000000007</v>
      </c>
      <c r="H16">
        <v>46.14</v>
      </c>
      <c r="I16">
        <f t="shared" si="0"/>
        <v>35.159999999999997</v>
      </c>
      <c r="K16" s="1">
        <f t="shared" si="3"/>
        <v>0.1080773606370876</v>
      </c>
      <c r="L16" s="1">
        <f t="shared" si="4"/>
        <v>2.0477815699658706E-2</v>
      </c>
      <c r="M16" s="1">
        <f t="shared" si="5"/>
        <v>0.15102389078498293</v>
      </c>
      <c r="N16" s="1">
        <f t="shared" si="6"/>
        <v>5.6313993174061439E-2</v>
      </c>
      <c r="O16" s="1">
        <f t="shared" si="7"/>
        <v>0.42804323094425489</v>
      </c>
      <c r="P16" s="1">
        <f t="shared" si="1"/>
        <v>0.23606370875995453</v>
      </c>
      <c r="Q16" s="1">
        <f t="shared" si="8"/>
        <v>1.3122866894197953</v>
      </c>
      <c r="R16" s="1">
        <f t="shared" si="2"/>
        <v>1</v>
      </c>
    </row>
    <row r="17" spans="1:18" x14ac:dyDescent="0.2">
      <c r="A17">
        <v>2010</v>
      </c>
      <c r="B17">
        <v>3.52</v>
      </c>
      <c r="C17">
        <v>0.77</v>
      </c>
      <c r="D17">
        <v>5.62</v>
      </c>
      <c r="E17">
        <v>1.85</v>
      </c>
      <c r="F17">
        <v>14.15</v>
      </c>
      <c r="G17">
        <v>8.3000000000000007</v>
      </c>
      <c r="H17">
        <v>44.89</v>
      </c>
      <c r="I17">
        <f t="shared" si="0"/>
        <v>34.21</v>
      </c>
      <c r="K17" s="1">
        <f t="shared" si="3"/>
        <v>0.10289389067524116</v>
      </c>
      <c r="L17" s="1">
        <f t="shared" si="4"/>
        <v>2.2508038585209004E-2</v>
      </c>
      <c r="M17" s="1">
        <f t="shared" si="5"/>
        <v>0.1642794504530839</v>
      </c>
      <c r="N17" s="1">
        <f t="shared" si="6"/>
        <v>5.4077755042385267E-2</v>
      </c>
      <c r="O17" s="1">
        <f t="shared" si="7"/>
        <v>0.41362174802689272</v>
      </c>
      <c r="P17" s="1">
        <f t="shared" si="1"/>
        <v>0.24261911721718799</v>
      </c>
      <c r="Q17" s="1">
        <f t="shared" si="8"/>
        <v>1.312189418298743</v>
      </c>
      <c r="R17" s="1">
        <f t="shared" si="2"/>
        <v>1</v>
      </c>
    </row>
    <row r="18" spans="1:18" x14ac:dyDescent="0.2">
      <c r="A18">
        <v>2009</v>
      </c>
      <c r="B18">
        <v>3.88</v>
      </c>
      <c r="C18">
        <v>0.87</v>
      </c>
      <c r="D18">
        <v>5.85</v>
      </c>
      <c r="E18">
        <v>1.84</v>
      </c>
      <c r="F18">
        <v>15.84</v>
      </c>
      <c r="G18">
        <v>7.52</v>
      </c>
      <c r="H18">
        <v>43.52</v>
      </c>
      <c r="I18">
        <f t="shared" si="0"/>
        <v>35.799999999999997</v>
      </c>
      <c r="K18" s="1">
        <f t="shared" si="3"/>
        <v>0.10837988826815644</v>
      </c>
      <c r="L18" s="1">
        <f t="shared" si="4"/>
        <v>2.4301675977653633E-2</v>
      </c>
      <c r="M18" s="1">
        <f t="shared" si="5"/>
        <v>0.16340782122905029</v>
      </c>
      <c r="N18" s="1">
        <f t="shared" si="6"/>
        <v>5.1396648044692746E-2</v>
      </c>
      <c r="O18" s="1">
        <f t="shared" si="7"/>
        <v>0.44245810055865925</v>
      </c>
      <c r="P18" s="1">
        <f t="shared" si="1"/>
        <v>0.21005586592178771</v>
      </c>
      <c r="Q18" s="1">
        <f t="shared" si="8"/>
        <v>1.2156424581005589</v>
      </c>
      <c r="R18" s="1">
        <f t="shared" si="2"/>
        <v>1</v>
      </c>
    </row>
    <row r="19" spans="1:18" x14ac:dyDescent="0.2">
      <c r="A19">
        <v>2008</v>
      </c>
      <c r="B19">
        <v>3.76</v>
      </c>
      <c r="C19">
        <v>0.82</v>
      </c>
      <c r="D19">
        <v>6.08</v>
      </c>
      <c r="E19">
        <v>1.88</v>
      </c>
      <c r="F19">
        <v>15.7</v>
      </c>
      <c r="G19">
        <v>6.3</v>
      </c>
      <c r="H19">
        <v>42.67</v>
      </c>
      <c r="I19">
        <f t="shared" si="0"/>
        <v>34.54</v>
      </c>
      <c r="K19" s="1">
        <f t="shared" si="3"/>
        <v>0.10885929357266937</v>
      </c>
      <c r="L19" s="1">
        <f t="shared" si="4"/>
        <v>2.3740590619571511E-2</v>
      </c>
      <c r="M19" s="1">
        <f t="shared" si="5"/>
        <v>0.17602779386218878</v>
      </c>
      <c r="N19" s="1">
        <f t="shared" si="6"/>
        <v>5.4429646786334683E-2</v>
      </c>
      <c r="O19" s="1">
        <f t="shared" si="7"/>
        <v>0.45454545454545453</v>
      </c>
      <c r="P19" s="1">
        <f t="shared" si="1"/>
        <v>0.18239722061378114</v>
      </c>
      <c r="Q19" s="1">
        <f t="shared" si="8"/>
        <v>1.2353792704111177</v>
      </c>
      <c r="R19" s="1">
        <f t="shared" si="2"/>
        <v>1</v>
      </c>
    </row>
    <row r="20" spans="1:18" x14ac:dyDescent="0.2">
      <c r="A20">
        <v>2007</v>
      </c>
      <c r="B20">
        <v>4.09</v>
      </c>
      <c r="C20">
        <v>0.81</v>
      </c>
      <c r="D20">
        <v>6.26</v>
      </c>
      <c r="E20">
        <v>1.86</v>
      </c>
      <c r="F20">
        <v>15.75</v>
      </c>
      <c r="G20">
        <v>6.06</v>
      </c>
      <c r="H20">
        <v>40.15</v>
      </c>
      <c r="I20">
        <f t="shared" si="0"/>
        <v>34.83</v>
      </c>
      <c r="K20" s="1">
        <f t="shared" si="3"/>
        <v>0.11742750502440424</v>
      </c>
      <c r="L20" s="1">
        <f t="shared" si="4"/>
        <v>2.3255813953488375E-2</v>
      </c>
      <c r="M20" s="1">
        <f t="shared" si="5"/>
        <v>0.17973011771461384</v>
      </c>
      <c r="N20" s="1">
        <f t="shared" si="6"/>
        <v>5.3402239448751082E-2</v>
      </c>
      <c r="O20" s="1">
        <f t="shared" si="7"/>
        <v>0.45219638242894061</v>
      </c>
      <c r="P20" s="1">
        <f t="shared" si="1"/>
        <v>0.1739879414298019</v>
      </c>
      <c r="Q20" s="1">
        <f t="shared" si="8"/>
        <v>1.1527418891759977</v>
      </c>
      <c r="R20" s="1">
        <f t="shared" si="2"/>
        <v>1</v>
      </c>
    </row>
    <row r="21" spans="1:18" x14ac:dyDescent="0.2">
      <c r="A21">
        <v>2006</v>
      </c>
      <c r="B21">
        <v>4.1399999999999997</v>
      </c>
      <c r="C21">
        <v>0.85</v>
      </c>
      <c r="D21">
        <v>6.76</v>
      </c>
      <c r="E21">
        <v>1.94</v>
      </c>
      <c r="F21">
        <v>15.52</v>
      </c>
      <c r="G21">
        <v>5.78</v>
      </c>
      <c r="H21">
        <v>38.74</v>
      </c>
      <c r="I21">
        <f t="shared" si="0"/>
        <v>34.99</v>
      </c>
      <c r="K21" s="1">
        <f t="shared" si="3"/>
        <v>0.11831951986281793</v>
      </c>
      <c r="L21" s="1">
        <f t="shared" si="4"/>
        <v>2.429265504429837E-2</v>
      </c>
      <c r="M21" s="1">
        <f t="shared" si="5"/>
        <v>0.19319805658759645</v>
      </c>
      <c r="N21" s="1">
        <f t="shared" si="6"/>
        <v>5.5444412689339806E-2</v>
      </c>
      <c r="O21" s="1">
        <f t="shared" si="7"/>
        <v>0.44355530151471845</v>
      </c>
      <c r="P21" s="1">
        <f t="shared" si="1"/>
        <v>0.16519005430122893</v>
      </c>
      <c r="Q21" s="1">
        <f t="shared" si="8"/>
        <v>1.1071734781366105</v>
      </c>
      <c r="R21" s="1">
        <f t="shared" si="2"/>
        <v>0.99999999999999989</v>
      </c>
    </row>
    <row r="22" spans="1:18" x14ac:dyDescent="0.2">
      <c r="A22">
        <v>2005</v>
      </c>
      <c r="B22">
        <v>3.95</v>
      </c>
      <c r="C22">
        <v>0.77</v>
      </c>
      <c r="D22">
        <v>7.08</v>
      </c>
      <c r="E22">
        <v>1.9</v>
      </c>
      <c r="F22">
        <v>16.170000000000002</v>
      </c>
      <c r="G22">
        <v>5.3</v>
      </c>
      <c r="H22">
        <v>37.72</v>
      </c>
      <c r="I22">
        <f t="shared" si="0"/>
        <v>35.17</v>
      </c>
      <c r="K22" s="1">
        <f t="shared" si="3"/>
        <v>0.11231162922945692</v>
      </c>
      <c r="L22" s="1">
        <f t="shared" si="4"/>
        <v>2.1893659368780211E-2</v>
      </c>
      <c r="M22" s="1">
        <f t="shared" si="5"/>
        <v>0.20130793289735568</v>
      </c>
      <c r="N22" s="1">
        <f t="shared" si="6"/>
        <v>5.4023315325561552E-2</v>
      </c>
      <c r="O22" s="1">
        <f t="shared" si="7"/>
        <v>0.45976684674438445</v>
      </c>
      <c r="P22" s="1">
        <f t="shared" si="1"/>
        <v>0.15069661643446117</v>
      </c>
      <c r="Q22" s="1">
        <f t="shared" si="8"/>
        <v>1.0725049758316747</v>
      </c>
      <c r="R22" s="1">
        <f t="shared" si="2"/>
        <v>1</v>
      </c>
    </row>
    <row r="23" spans="1:18" x14ac:dyDescent="0.2">
      <c r="A23">
        <v>2004</v>
      </c>
      <c r="B23">
        <v>5.0599999999999996</v>
      </c>
      <c r="C23">
        <v>0.73</v>
      </c>
      <c r="D23">
        <v>7.38</v>
      </c>
      <c r="E23">
        <v>1.88</v>
      </c>
      <c r="F23">
        <v>16.53</v>
      </c>
      <c r="G23">
        <v>5.19</v>
      </c>
      <c r="H23">
        <v>36.43</v>
      </c>
      <c r="I23">
        <f t="shared" si="0"/>
        <v>36.769999999999996</v>
      </c>
      <c r="K23" s="1">
        <f t="shared" si="3"/>
        <v>0.13761218384552626</v>
      </c>
      <c r="L23" s="1">
        <f t="shared" si="4"/>
        <v>1.9853141147674735E-2</v>
      </c>
      <c r="M23" s="1">
        <f t="shared" si="5"/>
        <v>0.20070709817786242</v>
      </c>
      <c r="N23" s="1">
        <f t="shared" si="6"/>
        <v>5.1128637476203428E-2</v>
      </c>
      <c r="O23" s="1">
        <f t="shared" si="7"/>
        <v>0.44955126461789513</v>
      </c>
      <c r="P23" s="1">
        <f t="shared" si="1"/>
        <v>0.14114767473483822</v>
      </c>
      <c r="Q23" s="1">
        <f t="shared" si="8"/>
        <v>0.99075333152026113</v>
      </c>
      <c r="R23" s="1">
        <f t="shared" si="2"/>
        <v>1.0000000000000002</v>
      </c>
    </row>
    <row r="24" spans="1:18" x14ac:dyDescent="0.2">
      <c r="A24">
        <v>2003</v>
      </c>
      <c r="B24">
        <v>5.34</v>
      </c>
      <c r="C24">
        <v>0.77</v>
      </c>
      <c r="D24">
        <v>7.83</v>
      </c>
      <c r="E24">
        <v>1.88</v>
      </c>
      <c r="F24">
        <v>16.59</v>
      </c>
      <c r="G24">
        <v>4.4400000000000004</v>
      </c>
      <c r="H24">
        <v>35.74</v>
      </c>
      <c r="I24">
        <f t="shared" si="0"/>
        <v>36.849999999999994</v>
      </c>
      <c r="K24" s="1">
        <f t="shared" si="3"/>
        <v>0.14491180461329717</v>
      </c>
      <c r="L24" s="1">
        <f t="shared" si="4"/>
        <v>2.0895522388059706E-2</v>
      </c>
      <c r="M24" s="1">
        <f t="shared" si="5"/>
        <v>0.21248303934871102</v>
      </c>
      <c r="N24" s="1">
        <f t="shared" si="6"/>
        <v>5.1017639077340575E-2</v>
      </c>
      <c r="O24" s="1">
        <f t="shared" si="7"/>
        <v>0.45020352781546819</v>
      </c>
      <c r="P24" s="1">
        <f t="shared" si="1"/>
        <v>0.12048846675712351</v>
      </c>
      <c r="Q24" s="1">
        <f t="shared" si="8"/>
        <v>0.96987788331071934</v>
      </c>
      <c r="R24" s="1">
        <f t="shared" si="2"/>
        <v>1.0000000000000002</v>
      </c>
    </row>
    <row r="25" spans="1:18" x14ac:dyDescent="0.2">
      <c r="A25">
        <v>2002</v>
      </c>
      <c r="B25">
        <v>5.64</v>
      </c>
      <c r="C25">
        <v>0.83</v>
      </c>
      <c r="D25">
        <v>7.96</v>
      </c>
      <c r="E25">
        <v>1.84</v>
      </c>
      <c r="F25">
        <v>16.28</v>
      </c>
      <c r="G25">
        <v>3.7</v>
      </c>
      <c r="H25">
        <v>35.58</v>
      </c>
      <c r="I25">
        <f t="shared" si="0"/>
        <v>36.25</v>
      </c>
      <c r="K25" s="1">
        <f t="shared" si="3"/>
        <v>0.15558620689655173</v>
      </c>
      <c r="L25" s="1">
        <f t="shared" si="4"/>
        <v>2.2896551724137931E-2</v>
      </c>
      <c r="M25" s="1">
        <f t="shared" si="5"/>
        <v>0.21958620689655173</v>
      </c>
      <c r="N25" s="1">
        <f t="shared" si="6"/>
        <v>5.0758620689655178E-2</v>
      </c>
      <c r="O25" s="1">
        <f t="shared" si="7"/>
        <v>0.44910344827586213</v>
      </c>
      <c r="P25" s="1">
        <f t="shared" si="1"/>
        <v>0.10206896551724139</v>
      </c>
      <c r="Q25" s="1">
        <f t="shared" si="8"/>
        <v>0.98151724137931029</v>
      </c>
      <c r="R25" s="1">
        <f t="shared" si="2"/>
        <v>1</v>
      </c>
    </row>
    <row r="26" spans="1:18" x14ac:dyDescent="0.2">
      <c r="A26">
        <v>2001</v>
      </c>
      <c r="B26">
        <v>5.96</v>
      </c>
      <c r="C26">
        <v>0.74</v>
      </c>
      <c r="D26">
        <v>8.31</v>
      </c>
      <c r="E26">
        <v>1.54</v>
      </c>
      <c r="F26">
        <v>16.350000000000001</v>
      </c>
      <c r="G26">
        <v>3.42</v>
      </c>
      <c r="H26">
        <v>35.57</v>
      </c>
      <c r="I26">
        <f t="shared" si="0"/>
        <v>36.320000000000007</v>
      </c>
      <c r="K26" s="1">
        <f t="shared" si="3"/>
        <v>0.16409691629955944</v>
      </c>
      <c r="L26" s="1">
        <f t="shared" si="4"/>
        <v>2.0374449339207044E-2</v>
      </c>
      <c r="M26" s="1">
        <f t="shared" si="5"/>
        <v>0.2287995594713656</v>
      </c>
      <c r="N26" s="1">
        <f t="shared" si="6"/>
        <v>4.2400881057268712E-2</v>
      </c>
      <c r="O26" s="1">
        <f t="shared" si="7"/>
        <v>0.45016519823788542</v>
      </c>
      <c r="P26" s="1">
        <f t="shared" si="1"/>
        <v>9.4162995594713639E-2</v>
      </c>
      <c r="Q26" s="1">
        <f t="shared" si="8"/>
        <v>0.97935022026431695</v>
      </c>
      <c r="R26" s="1">
        <f t="shared" si="2"/>
        <v>0.99999999999999978</v>
      </c>
    </row>
    <row r="27" spans="1:18" x14ac:dyDescent="0.2">
      <c r="A27">
        <v>2000</v>
      </c>
      <c r="B27">
        <v>5.5</v>
      </c>
      <c r="C27">
        <v>0.78</v>
      </c>
      <c r="D27">
        <v>8.74</v>
      </c>
      <c r="E27">
        <v>1.73</v>
      </c>
      <c r="F27">
        <v>15.9</v>
      </c>
      <c r="G27">
        <v>2.7</v>
      </c>
      <c r="H27">
        <v>34.549999999999997</v>
      </c>
      <c r="I27">
        <f t="shared" si="0"/>
        <v>35.35</v>
      </c>
      <c r="K27" s="1">
        <f t="shared" si="3"/>
        <v>0.15558698727015557</v>
      </c>
      <c r="L27" s="1">
        <f t="shared" si="4"/>
        <v>2.2065063649222064E-2</v>
      </c>
      <c r="M27" s="1">
        <f t="shared" si="5"/>
        <v>0.24724186704384724</v>
      </c>
      <c r="N27" s="1">
        <f t="shared" si="6"/>
        <v>4.893917963224894E-2</v>
      </c>
      <c r="O27" s="1">
        <f t="shared" si="7"/>
        <v>0.44978783592644977</v>
      </c>
      <c r="P27" s="1">
        <f t="shared" si="1"/>
        <v>7.6379066478076379E-2</v>
      </c>
      <c r="Q27" s="1">
        <f t="shared" si="8"/>
        <v>0.97736916548797725</v>
      </c>
      <c r="R27" s="1">
        <f t="shared" si="2"/>
        <v>0.99999999999999989</v>
      </c>
    </row>
    <row r="28" spans="1:18" x14ac:dyDescent="0.2">
      <c r="A28">
        <v>1999</v>
      </c>
      <c r="B28">
        <v>5.36</v>
      </c>
      <c r="C28">
        <v>0.73</v>
      </c>
      <c r="D28">
        <v>8.76</v>
      </c>
      <c r="E28">
        <v>1.96</v>
      </c>
      <c r="F28">
        <v>16.86</v>
      </c>
      <c r="G28">
        <v>2.5299999999999998</v>
      </c>
      <c r="H28">
        <v>33.520000000000003</v>
      </c>
      <c r="I28">
        <f t="shared" si="0"/>
        <v>36.200000000000003</v>
      </c>
      <c r="K28" s="1">
        <f t="shared" si="3"/>
        <v>0.14806629834254142</v>
      </c>
      <c r="L28" s="1">
        <f t="shared" si="4"/>
        <v>2.0165745856353588E-2</v>
      </c>
      <c r="M28" s="1">
        <f t="shared" si="5"/>
        <v>0.24198895027624306</v>
      </c>
      <c r="N28" s="1">
        <f t="shared" si="6"/>
        <v>5.4143646408839771E-2</v>
      </c>
      <c r="O28" s="1">
        <f t="shared" si="7"/>
        <v>0.46574585635359111</v>
      </c>
      <c r="P28" s="1">
        <f t="shared" si="1"/>
        <v>6.988950276243093E-2</v>
      </c>
      <c r="Q28" s="1">
        <f t="shared" si="8"/>
        <v>0.92596685082872932</v>
      </c>
      <c r="R28" s="1">
        <f t="shared" si="2"/>
        <v>0.99999999999999978</v>
      </c>
    </row>
    <row r="29" spans="1:18" x14ac:dyDescent="0.2">
      <c r="A29">
        <v>1998</v>
      </c>
      <c r="B29">
        <v>5.67</v>
      </c>
      <c r="C29">
        <v>0.78</v>
      </c>
      <c r="D29">
        <v>8.9600000000000009</v>
      </c>
      <c r="E29">
        <v>1.99</v>
      </c>
      <c r="F29">
        <v>16.989999999999998</v>
      </c>
      <c r="G29">
        <v>2.2599999999999998</v>
      </c>
      <c r="H29">
        <v>33.76</v>
      </c>
      <c r="I29">
        <f t="shared" si="0"/>
        <v>36.65</v>
      </c>
      <c r="K29" s="1">
        <f t="shared" si="3"/>
        <v>0.15470668485675307</v>
      </c>
      <c r="L29" s="1">
        <f t="shared" si="4"/>
        <v>2.1282401091405185E-2</v>
      </c>
      <c r="M29" s="1">
        <f t="shared" si="5"/>
        <v>0.244474761255116</v>
      </c>
      <c r="N29" s="1">
        <f t="shared" si="6"/>
        <v>5.4297407912687584E-2</v>
      </c>
      <c r="O29" s="1">
        <f t="shared" si="7"/>
        <v>0.46357435197817187</v>
      </c>
      <c r="P29" s="1">
        <f t="shared" si="1"/>
        <v>6.1664392905866297E-2</v>
      </c>
      <c r="Q29" s="1">
        <f t="shared" si="8"/>
        <v>0.92114597544338339</v>
      </c>
      <c r="R29" s="1">
        <f t="shared" si="2"/>
        <v>1</v>
      </c>
    </row>
    <row r="30" spans="1:18" x14ac:dyDescent="0.2">
      <c r="A30">
        <v>1997</v>
      </c>
      <c r="B30">
        <v>5.41</v>
      </c>
      <c r="C30">
        <v>0.83</v>
      </c>
      <c r="D30">
        <v>9.98</v>
      </c>
      <c r="E30">
        <v>1.98</v>
      </c>
      <c r="F30">
        <v>15.63</v>
      </c>
      <c r="G30">
        <v>2.14</v>
      </c>
      <c r="H30">
        <v>32.67</v>
      </c>
      <c r="I30">
        <f t="shared" si="0"/>
        <v>35.97</v>
      </c>
      <c r="K30" s="1">
        <f t="shared" si="3"/>
        <v>0.15040311370586601</v>
      </c>
      <c r="L30" s="1">
        <f t="shared" si="4"/>
        <v>2.3074784542674451E-2</v>
      </c>
      <c r="M30" s="1">
        <f t="shared" si="5"/>
        <v>0.27745343341673617</v>
      </c>
      <c r="N30" s="1">
        <f t="shared" si="6"/>
        <v>5.5045871559633031E-2</v>
      </c>
      <c r="O30" s="1">
        <f t="shared" si="7"/>
        <v>0.4345287739783153</v>
      </c>
      <c r="P30" s="1">
        <f t="shared" si="1"/>
        <v>5.9494022796775098E-2</v>
      </c>
      <c r="Q30" s="1">
        <f t="shared" si="8"/>
        <v>0.90825688073394506</v>
      </c>
      <c r="R30" s="1">
        <f t="shared" si="2"/>
        <v>1</v>
      </c>
    </row>
    <row r="31" spans="1:18" x14ac:dyDescent="0.2">
      <c r="A31">
        <v>1996</v>
      </c>
      <c r="B31">
        <v>5.17</v>
      </c>
      <c r="C31">
        <v>0.8</v>
      </c>
      <c r="D31">
        <v>11.47</v>
      </c>
      <c r="E31">
        <v>2.27</v>
      </c>
      <c r="F31">
        <v>15.85</v>
      </c>
      <c r="G31">
        <v>2.3199999999999998</v>
      </c>
      <c r="H31">
        <v>30.78</v>
      </c>
      <c r="I31">
        <f t="shared" si="0"/>
        <v>37.880000000000003</v>
      </c>
      <c r="K31" s="1">
        <f t="shared" si="3"/>
        <v>0.13648363252375922</v>
      </c>
      <c r="L31" s="1">
        <f t="shared" si="4"/>
        <v>2.1119324181626188E-2</v>
      </c>
      <c r="M31" s="1">
        <f t="shared" si="5"/>
        <v>0.30279831045406547</v>
      </c>
      <c r="N31" s="1">
        <f t="shared" si="6"/>
        <v>5.9926082365364307E-2</v>
      </c>
      <c r="O31" s="1">
        <f t="shared" si="7"/>
        <v>0.41842661034846879</v>
      </c>
      <c r="P31" s="1">
        <f t="shared" si="1"/>
        <v>6.1246040126715938E-2</v>
      </c>
      <c r="Q31" s="1">
        <f t="shared" si="8"/>
        <v>0.8125659978880676</v>
      </c>
      <c r="R31" s="1">
        <f t="shared" si="2"/>
        <v>0.99999999999999989</v>
      </c>
    </row>
    <row r="32" spans="1:18" x14ac:dyDescent="0.2">
      <c r="A32">
        <v>1995</v>
      </c>
      <c r="B32">
        <v>4.9800000000000004</v>
      </c>
      <c r="C32">
        <v>0.79</v>
      </c>
      <c r="D32">
        <v>11.76</v>
      </c>
      <c r="E32">
        <v>2.15</v>
      </c>
      <c r="F32">
        <v>16.399999999999999</v>
      </c>
      <c r="G32">
        <v>2.5</v>
      </c>
      <c r="H32">
        <v>29.6</v>
      </c>
      <c r="I32">
        <f t="shared" si="0"/>
        <v>38.58</v>
      </c>
      <c r="K32" s="1">
        <f t="shared" si="3"/>
        <v>0.12908242612752724</v>
      </c>
      <c r="L32" s="1">
        <f t="shared" si="4"/>
        <v>2.0476931052358736E-2</v>
      </c>
      <c r="M32" s="1">
        <f t="shared" si="5"/>
        <v>0.30482115085536549</v>
      </c>
      <c r="N32" s="1">
        <f t="shared" si="6"/>
        <v>5.5728356661482632E-2</v>
      </c>
      <c r="O32" s="1">
        <f t="shared" si="7"/>
        <v>0.4250907205806117</v>
      </c>
      <c r="P32" s="1">
        <f t="shared" si="1"/>
        <v>6.4800414722654229E-2</v>
      </c>
      <c r="Q32" s="1">
        <f t="shared" si="8"/>
        <v>0.7672369103162261</v>
      </c>
      <c r="R32" s="1">
        <f t="shared" si="2"/>
        <v>1</v>
      </c>
    </row>
    <row r="33" spans="1:18" x14ac:dyDescent="0.2">
      <c r="A33">
        <v>1994</v>
      </c>
      <c r="B33">
        <v>4.8499999999999996</v>
      </c>
      <c r="C33">
        <v>0.8</v>
      </c>
      <c r="D33">
        <v>11.26</v>
      </c>
      <c r="E33">
        <v>2.17</v>
      </c>
      <c r="F33">
        <v>16.18</v>
      </c>
      <c r="G33">
        <v>2.5</v>
      </c>
      <c r="H33">
        <v>30.44</v>
      </c>
      <c r="I33">
        <f t="shared" si="0"/>
        <v>37.76</v>
      </c>
      <c r="K33" s="1">
        <f t="shared" si="3"/>
        <v>0.1284427966101695</v>
      </c>
      <c r="L33" s="1">
        <f t="shared" si="4"/>
        <v>2.1186440677966104E-2</v>
      </c>
      <c r="M33" s="1">
        <f t="shared" si="5"/>
        <v>0.29819915254237289</v>
      </c>
      <c r="N33" s="1">
        <f t="shared" si="6"/>
        <v>5.746822033898305E-2</v>
      </c>
      <c r="O33" s="1">
        <f t="shared" si="7"/>
        <v>0.4284957627118644</v>
      </c>
      <c r="P33" s="1">
        <f t="shared" si="1"/>
        <v>6.6207627118644072E-2</v>
      </c>
      <c r="Q33" s="1">
        <f t="shared" si="8"/>
        <v>0.8061440677966103</v>
      </c>
      <c r="R33" s="1">
        <f t="shared" si="2"/>
        <v>1</v>
      </c>
    </row>
    <row r="34" spans="1:18" x14ac:dyDescent="0.2">
      <c r="A34">
        <v>1993</v>
      </c>
      <c r="B34">
        <v>4.96</v>
      </c>
      <c r="C34">
        <v>0.79</v>
      </c>
      <c r="D34">
        <v>11.26</v>
      </c>
      <c r="E34">
        <v>2.02</v>
      </c>
      <c r="F34">
        <v>16.29</v>
      </c>
      <c r="G34">
        <v>2.14</v>
      </c>
      <c r="H34">
        <v>30.76</v>
      </c>
      <c r="I34">
        <f t="shared" si="0"/>
        <v>37.459999999999994</v>
      </c>
      <c r="K34" s="1">
        <f t="shared" si="3"/>
        <v>0.13240790176187936</v>
      </c>
      <c r="L34" s="1">
        <f t="shared" si="4"/>
        <v>2.1089161772557399E-2</v>
      </c>
      <c r="M34" s="1">
        <f t="shared" si="5"/>
        <v>0.30058729311265353</v>
      </c>
      <c r="N34" s="1">
        <f t="shared" si="6"/>
        <v>5.392418579818474E-2</v>
      </c>
      <c r="O34" s="1">
        <f t="shared" si="7"/>
        <v>0.43486385477843037</v>
      </c>
      <c r="P34" s="1">
        <f t="shared" si="1"/>
        <v>5.7127602776294729E-2</v>
      </c>
      <c r="Q34" s="1">
        <f t="shared" si="8"/>
        <v>0.82114255205552611</v>
      </c>
      <c r="R34" s="1">
        <f t="shared" si="2"/>
        <v>1.0000000000000002</v>
      </c>
    </row>
    <row r="35" spans="1:18" x14ac:dyDescent="0.2">
      <c r="A35">
        <v>1992</v>
      </c>
      <c r="B35">
        <v>5.07</v>
      </c>
      <c r="C35">
        <v>0.88</v>
      </c>
      <c r="D35">
        <v>10.99</v>
      </c>
      <c r="E35">
        <v>2.13</v>
      </c>
      <c r="F35">
        <v>18.52</v>
      </c>
      <c r="G35">
        <v>1.86</v>
      </c>
      <c r="H35">
        <v>29.84</v>
      </c>
      <c r="I35">
        <f t="shared" si="0"/>
        <v>39.450000000000003</v>
      </c>
      <c r="K35" s="1">
        <f t="shared" si="3"/>
        <v>0.1285171102661597</v>
      </c>
      <c r="L35" s="1">
        <f t="shared" si="4"/>
        <v>2.2306717363751581E-2</v>
      </c>
      <c r="M35" s="1">
        <f t="shared" si="5"/>
        <v>0.2785804816223067</v>
      </c>
      <c r="N35" s="1">
        <f t="shared" si="6"/>
        <v>5.399239543726235E-2</v>
      </c>
      <c r="O35" s="1">
        <f t="shared" si="7"/>
        <v>0.46945500633713555</v>
      </c>
      <c r="P35" s="1">
        <f t="shared" si="1"/>
        <v>4.714828897338403E-2</v>
      </c>
      <c r="Q35" s="1">
        <f t="shared" si="8"/>
        <v>0.75640050697084915</v>
      </c>
      <c r="R35" s="1">
        <f t="shared" si="2"/>
        <v>1</v>
      </c>
    </row>
    <row r="36" spans="1:18" x14ac:dyDescent="0.2">
      <c r="A36">
        <v>1991</v>
      </c>
      <c r="B36">
        <v>5.41</v>
      </c>
      <c r="C36">
        <v>1.08</v>
      </c>
      <c r="D36">
        <v>11.91</v>
      </c>
      <c r="E36">
        <v>2.31</v>
      </c>
      <c r="F36">
        <v>19.96</v>
      </c>
      <c r="G36">
        <v>1.78</v>
      </c>
      <c r="H36">
        <v>26.76</v>
      </c>
      <c r="I36">
        <f t="shared" si="0"/>
        <v>42.45</v>
      </c>
      <c r="K36" s="1">
        <f t="shared" si="3"/>
        <v>0.12744405182567725</v>
      </c>
      <c r="L36" s="1">
        <f t="shared" si="4"/>
        <v>2.5441696113074206E-2</v>
      </c>
      <c r="M36" s="1">
        <f t="shared" si="5"/>
        <v>0.28056537102473494</v>
      </c>
      <c r="N36" s="1">
        <f t="shared" si="6"/>
        <v>5.4416961130742049E-2</v>
      </c>
      <c r="O36" s="1">
        <f t="shared" si="7"/>
        <v>0.47020023557126028</v>
      </c>
      <c r="P36" s="1">
        <f t="shared" si="1"/>
        <v>4.1931684334511186E-2</v>
      </c>
      <c r="Q36" s="1">
        <f t="shared" si="8"/>
        <v>0.63038869257950525</v>
      </c>
      <c r="R36" s="1">
        <f t="shared" si="2"/>
        <v>1</v>
      </c>
    </row>
    <row r="37" spans="1:18" x14ac:dyDescent="0.2">
      <c r="A37">
        <v>1990</v>
      </c>
      <c r="B37">
        <v>6.13</v>
      </c>
      <c r="C37">
        <v>1.04</v>
      </c>
      <c r="D37">
        <v>12.93</v>
      </c>
      <c r="E37">
        <v>2.54</v>
      </c>
      <c r="F37">
        <v>20.05</v>
      </c>
      <c r="G37">
        <v>1.61</v>
      </c>
      <c r="H37">
        <v>22.51</v>
      </c>
      <c r="I37">
        <f t="shared" si="0"/>
        <v>44.3</v>
      </c>
      <c r="K37" s="1">
        <f t="shared" si="3"/>
        <v>0.13837471783295713</v>
      </c>
      <c r="L37" s="1">
        <f t="shared" si="4"/>
        <v>2.3476297968397293E-2</v>
      </c>
      <c r="M37" s="1">
        <f t="shared" si="5"/>
        <v>0.29187358916478556</v>
      </c>
      <c r="N37" s="1">
        <f t="shared" si="6"/>
        <v>5.7336343115124158E-2</v>
      </c>
      <c r="O37" s="1">
        <f t="shared" si="7"/>
        <v>0.45259593679458243</v>
      </c>
      <c r="P37" s="1">
        <f t="shared" si="1"/>
        <v>3.6343115124153502E-2</v>
      </c>
      <c r="Q37" s="1">
        <f t="shared" si="8"/>
        <v>0.50812641083521448</v>
      </c>
      <c r="R37" s="1">
        <f t="shared" si="2"/>
        <v>1</v>
      </c>
    </row>
    <row r="38" spans="1:18" x14ac:dyDescent="0.2">
      <c r="A38">
        <v>1989</v>
      </c>
      <c r="B38">
        <v>5.93</v>
      </c>
      <c r="C38">
        <v>0.99</v>
      </c>
      <c r="D38">
        <v>12.82</v>
      </c>
      <c r="E38">
        <v>2.71</v>
      </c>
      <c r="F38">
        <v>18.670000000000002</v>
      </c>
      <c r="G38">
        <v>2.09</v>
      </c>
      <c r="H38">
        <v>22.88</v>
      </c>
      <c r="I38">
        <f t="shared" si="0"/>
        <v>43.210000000000008</v>
      </c>
      <c r="K38" s="1">
        <f t="shared" si="3"/>
        <v>0.13723675075214067</v>
      </c>
      <c r="L38" s="1">
        <f t="shared" si="4"/>
        <v>2.291136311039111E-2</v>
      </c>
      <c r="M38" s="1">
        <f t="shared" si="5"/>
        <v>0.29669058088405459</v>
      </c>
      <c r="N38" s="1">
        <f t="shared" si="6"/>
        <v>6.2716963665818082E-2</v>
      </c>
      <c r="O38" s="1">
        <f t="shared" si="7"/>
        <v>0.43207590835454751</v>
      </c>
      <c r="P38" s="1">
        <f t="shared" si="1"/>
        <v>4.8368433233047896E-2</v>
      </c>
      <c r="Q38" s="1">
        <f t="shared" si="8"/>
        <v>0.52950705855126112</v>
      </c>
      <c r="R38" s="1">
        <f t="shared" si="2"/>
        <v>0.99999999999999978</v>
      </c>
    </row>
    <row r="39" spans="1:18" x14ac:dyDescent="0.2">
      <c r="A39">
        <v>1988</v>
      </c>
      <c r="B39">
        <v>5.76</v>
      </c>
      <c r="C39">
        <v>0.93</v>
      </c>
      <c r="D39">
        <v>12.61</v>
      </c>
      <c r="E39">
        <v>2.37</v>
      </c>
      <c r="F39">
        <v>18.309999999999999</v>
      </c>
      <c r="G39">
        <v>1.98</v>
      </c>
      <c r="H39">
        <v>22.54</v>
      </c>
      <c r="I39">
        <f t="shared" si="0"/>
        <v>41.959999999999994</v>
      </c>
      <c r="K39" s="1">
        <f t="shared" si="3"/>
        <v>0.13727359389895138</v>
      </c>
      <c r="L39" s="1">
        <f t="shared" si="4"/>
        <v>2.2163965681601529E-2</v>
      </c>
      <c r="M39" s="1">
        <f t="shared" si="5"/>
        <v>0.30052430886558629</v>
      </c>
      <c r="N39" s="1">
        <f t="shared" si="6"/>
        <v>5.6482364156339379E-2</v>
      </c>
      <c r="O39" s="1">
        <f t="shared" si="7"/>
        <v>0.43636796949475692</v>
      </c>
      <c r="P39" s="1">
        <f t="shared" si="1"/>
        <v>4.7187797902764547E-2</v>
      </c>
      <c r="Q39" s="1">
        <f t="shared" si="8"/>
        <v>0.53717826501429944</v>
      </c>
      <c r="R39" s="1">
        <f t="shared" si="2"/>
        <v>0.99999999999999989</v>
      </c>
    </row>
    <row r="40" spans="1:18" x14ac:dyDescent="0.2">
      <c r="A40">
        <v>1987</v>
      </c>
      <c r="B40">
        <v>5.64</v>
      </c>
      <c r="C40">
        <v>1.01</v>
      </c>
      <c r="D40">
        <v>11.9</v>
      </c>
      <c r="E40">
        <v>2.37</v>
      </c>
      <c r="F40">
        <v>19.579999999999998</v>
      </c>
      <c r="G40">
        <v>1.8</v>
      </c>
      <c r="H40">
        <v>22.31</v>
      </c>
      <c r="I40">
        <f t="shared" si="0"/>
        <v>42.3</v>
      </c>
      <c r="K40" s="1">
        <f t="shared" si="3"/>
        <v>0.13333333333333333</v>
      </c>
      <c r="L40" s="1">
        <f t="shared" si="4"/>
        <v>2.3877068557919625E-2</v>
      </c>
      <c r="M40" s="1">
        <f t="shared" si="5"/>
        <v>0.28132387706855794</v>
      </c>
      <c r="N40" s="1">
        <f t="shared" si="6"/>
        <v>5.6028368794326246E-2</v>
      </c>
      <c r="O40" s="1">
        <f t="shared" si="7"/>
        <v>0.46288416075650118</v>
      </c>
      <c r="P40" s="1">
        <f t="shared" si="1"/>
        <v>4.2553191489361708E-2</v>
      </c>
      <c r="Q40" s="1">
        <f t="shared" si="8"/>
        <v>0.5274231678486998</v>
      </c>
      <c r="R40" s="1">
        <f t="shared" si="2"/>
        <v>1</v>
      </c>
    </row>
    <row r="41" spans="1:18" x14ac:dyDescent="0.2">
      <c r="A41">
        <v>1986</v>
      </c>
      <c r="B41">
        <v>5.25</v>
      </c>
      <c r="C41">
        <v>0.93</v>
      </c>
      <c r="D41">
        <v>12.31</v>
      </c>
      <c r="E41">
        <v>2.41</v>
      </c>
      <c r="F41">
        <v>18.87</v>
      </c>
      <c r="G41">
        <v>1.97</v>
      </c>
      <c r="H41">
        <v>23.36</v>
      </c>
      <c r="I41">
        <f t="shared" si="0"/>
        <v>41.74</v>
      </c>
      <c r="K41" s="1">
        <f t="shared" si="3"/>
        <v>0.12577862961188307</v>
      </c>
      <c r="L41" s="1">
        <f t="shared" si="4"/>
        <v>2.2280785816962148E-2</v>
      </c>
      <c r="M41" s="1">
        <f t="shared" si="5"/>
        <v>0.2949209391471011</v>
      </c>
      <c r="N41" s="1">
        <f t="shared" si="6"/>
        <v>5.7738380450407287E-2</v>
      </c>
      <c r="O41" s="1">
        <f t="shared" si="7"/>
        <v>0.45208433157642547</v>
      </c>
      <c r="P41" s="1">
        <f t="shared" si="1"/>
        <v>4.7196933397220892E-2</v>
      </c>
      <c r="Q41" s="1">
        <f t="shared" si="8"/>
        <v>0.55965500718735017</v>
      </c>
      <c r="R41" s="1">
        <f t="shared" si="2"/>
        <v>0.99999999999999989</v>
      </c>
    </row>
    <row r="42" spans="1:18" x14ac:dyDescent="0.2">
      <c r="A42">
        <v>1985</v>
      </c>
      <c r="B42">
        <v>5.5</v>
      </c>
      <c r="C42">
        <v>0.77</v>
      </c>
      <c r="D42">
        <v>11.24</v>
      </c>
      <c r="E42">
        <v>2.4900000000000002</v>
      </c>
      <c r="F42">
        <v>17.52</v>
      </c>
      <c r="G42">
        <v>2.2400000000000002</v>
      </c>
      <c r="H42">
        <v>25.87</v>
      </c>
      <c r="I42">
        <f t="shared" si="0"/>
        <v>39.76</v>
      </c>
      <c r="K42" s="1">
        <f t="shared" si="3"/>
        <v>0.13832997987927567</v>
      </c>
      <c r="L42" s="1">
        <f t="shared" si="4"/>
        <v>1.9366197183098594E-2</v>
      </c>
      <c r="M42" s="1">
        <f t="shared" si="5"/>
        <v>0.28269617706237427</v>
      </c>
      <c r="N42" s="1">
        <f t="shared" si="6"/>
        <v>6.2625754527162986E-2</v>
      </c>
      <c r="O42" s="1">
        <f t="shared" si="7"/>
        <v>0.44064386317907445</v>
      </c>
      <c r="P42" s="1">
        <f t="shared" si="1"/>
        <v>5.6338028169014093E-2</v>
      </c>
      <c r="Q42" s="1">
        <f t="shared" si="8"/>
        <v>0.65065392354124751</v>
      </c>
      <c r="R42" s="1">
        <f t="shared" si="2"/>
        <v>1</v>
      </c>
    </row>
    <row r="43" spans="1:18" x14ac:dyDescent="0.2">
      <c r="A43">
        <v>1984</v>
      </c>
      <c r="B43">
        <v>5.35</v>
      </c>
      <c r="C43">
        <v>0.84</v>
      </c>
      <c r="D43">
        <v>11.49</v>
      </c>
      <c r="E43">
        <v>2.41</v>
      </c>
      <c r="F43">
        <v>17.329999999999998</v>
      </c>
      <c r="G43">
        <v>1.64</v>
      </c>
      <c r="H43">
        <v>26.51</v>
      </c>
      <c r="I43">
        <f t="shared" si="0"/>
        <v>39.06</v>
      </c>
      <c r="K43" s="1">
        <f t="shared" si="3"/>
        <v>0.13696876600102406</v>
      </c>
      <c r="L43" s="1">
        <f t="shared" si="4"/>
        <v>2.150537634408602E-2</v>
      </c>
      <c r="M43" s="1">
        <f t="shared" si="5"/>
        <v>0.29416282642089092</v>
      </c>
      <c r="N43" s="1">
        <f t="shared" si="6"/>
        <v>6.1699948796722991E-2</v>
      </c>
      <c r="O43" s="1">
        <f t="shared" si="7"/>
        <v>0.44367639528929842</v>
      </c>
      <c r="P43" s="1">
        <f t="shared" si="1"/>
        <v>4.1986687147977465E-2</v>
      </c>
      <c r="Q43" s="1">
        <f t="shared" si="8"/>
        <v>0.67869943676395295</v>
      </c>
      <c r="R43" s="1">
        <f t="shared" si="2"/>
        <v>1</v>
      </c>
    </row>
    <row r="44" spans="1:18" x14ac:dyDescent="0.2">
      <c r="A44">
        <v>1983</v>
      </c>
      <c r="B44">
        <v>5.26</v>
      </c>
      <c r="C44">
        <v>1.1200000000000001</v>
      </c>
      <c r="D44">
        <v>11.38</v>
      </c>
      <c r="E44">
        <v>2.15</v>
      </c>
      <c r="F44">
        <v>18.72</v>
      </c>
      <c r="G44">
        <v>1.26</v>
      </c>
      <c r="H44">
        <v>27.57</v>
      </c>
      <c r="I44">
        <f t="shared" si="0"/>
        <v>39.889999999999993</v>
      </c>
      <c r="K44" s="1">
        <f t="shared" si="3"/>
        <v>0.1318626222110805</v>
      </c>
      <c r="L44" s="1">
        <f t="shared" si="4"/>
        <v>2.8077212333918283E-2</v>
      </c>
      <c r="M44" s="1">
        <f t="shared" si="5"/>
        <v>0.28528453246427682</v>
      </c>
      <c r="N44" s="1">
        <f t="shared" si="6"/>
        <v>5.3898220105289552E-2</v>
      </c>
      <c r="O44" s="1">
        <f t="shared" si="7"/>
        <v>0.46929054900977696</v>
      </c>
      <c r="P44" s="1">
        <f t="shared" si="1"/>
        <v>3.1586863875658067E-2</v>
      </c>
      <c r="Q44" s="1">
        <f t="shared" si="8"/>
        <v>0.69115066432689909</v>
      </c>
      <c r="R44" s="1">
        <f t="shared" si="2"/>
        <v>1.0000000000000002</v>
      </c>
    </row>
    <row r="45" spans="1:18" x14ac:dyDescent="0.2">
      <c r="A45">
        <v>1982</v>
      </c>
      <c r="B45">
        <v>5.07</v>
      </c>
      <c r="C45">
        <v>0.9</v>
      </c>
      <c r="D45">
        <v>10.51</v>
      </c>
      <c r="E45">
        <v>2.52</v>
      </c>
      <c r="F45">
        <v>19.63</v>
      </c>
      <c r="G45">
        <v>1.87</v>
      </c>
      <c r="H45">
        <v>32.340000000000003</v>
      </c>
      <c r="I45">
        <f t="shared" si="0"/>
        <v>40.499999999999993</v>
      </c>
      <c r="K45" s="1">
        <f t="shared" si="3"/>
        <v>0.1251851851851852</v>
      </c>
      <c r="L45" s="1">
        <f t="shared" si="4"/>
        <v>2.2222222222222227E-2</v>
      </c>
      <c r="M45" s="1">
        <f t="shared" si="5"/>
        <v>0.25950617283950622</v>
      </c>
      <c r="N45" s="1">
        <f t="shared" si="6"/>
        <v>6.2222222222222234E-2</v>
      </c>
      <c r="O45" s="1">
        <f t="shared" si="7"/>
        <v>0.48469135802469143</v>
      </c>
      <c r="P45" s="1">
        <f t="shared" si="1"/>
        <v>4.6172839506172847E-2</v>
      </c>
      <c r="Q45" s="1">
        <f t="shared" si="8"/>
        <v>0.79851851851851874</v>
      </c>
      <c r="R45" s="1">
        <f t="shared" si="2"/>
        <v>1.0000000000000002</v>
      </c>
    </row>
    <row r="46" spans="1:18" x14ac:dyDescent="0.2">
      <c r="A46">
        <v>1981</v>
      </c>
      <c r="B46">
        <v>4.8099999999999996</v>
      </c>
      <c r="C46">
        <v>0.9</v>
      </c>
      <c r="D46">
        <v>9.93</v>
      </c>
      <c r="E46">
        <v>2.37</v>
      </c>
      <c r="F46">
        <v>19.13</v>
      </c>
      <c r="G46">
        <v>1.84</v>
      </c>
      <c r="H46">
        <v>33.36</v>
      </c>
      <c r="I46">
        <f t="shared" si="0"/>
        <v>38.980000000000004</v>
      </c>
      <c r="K46" s="1">
        <f t="shared" si="3"/>
        <v>0.12339661364802461</v>
      </c>
      <c r="L46" s="1">
        <f t="shared" si="4"/>
        <v>2.3088763468445354E-2</v>
      </c>
      <c r="M46" s="1">
        <f t="shared" si="5"/>
        <v>0.25474602360184706</v>
      </c>
      <c r="N46" s="1">
        <f t="shared" si="6"/>
        <v>6.0800410466906103E-2</v>
      </c>
      <c r="O46" s="1">
        <f t="shared" si="7"/>
        <v>0.49076449461262178</v>
      </c>
      <c r="P46" s="1">
        <f t="shared" si="1"/>
        <v>4.720369420215495E-2</v>
      </c>
      <c r="Q46" s="1">
        <f t="shared" si="8"/>
        <v>0.85582349923037448</v>
      </c>
      <c r="R46" s="1">
        <f t="shared" si="2"/>
        <v>0.99999999999999989</v>
      </c>
    </row>
    <row r="47" spans="1:18" x14ac:dyDescent="0.2">
      <c r="A47">
        <v>1980</v>
      </c>
      <c r="B47">
        <v>5.93</v>
      </c>
      <c r="C47">
        <v>1.04</v>
      </c>
      <c r="D47">
        <v>10.37</v>
      </c>
      <c r="E47">
        <v>2.06</v>
      </c>
      <c r="F47">
        <v>22.32</v>
      </c>
      <c r="G47">
        <v>1.62</v>
      </c>
      <c r="H47">
        <v>29.39</v>
      </c>
      <c r="I47">
        <f t="shared" si="0"/>
        <v>43.339999999999996</v>
      </c>
      <c r="K47" s="1">
        <f t="shared" si="3"/>
        <v>0.13682510383017998</v>
      </c>
      <c r="L47" s="1">
        <f t="shared" si="4"/>
        <v>2.3996308260267656E-2</v>
      </c>
      <c r="M47" s="1">
        <f t="shared" si="5"/>
        <v>0.2392708814028611</v>
      </c>
      <c r="N47" s="1">
        <f t="shared" si="6"/>
        <v>4.7531149053991702E-2</v>
      </c>
      <c r="O47" s="1">
        <f t="shared" si="7"/>
        <v>0.51499769266266737</v>
      </c>
      <c r="P47" s="1">
        <f t="shared" si="1"/>
        <v>3.7378864790032308E-2</v>
      </c>
      <c r="Q47" s="1">
        <f>H47/I47</f>
        <v>0.67812644208583306</v>
      </c>
      <c r="R47" s="1">
        <f t="shared" si="2"/>
        <v>1.0000000000000002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DAD8-A980-6E47-B029-7F4308F2DB97}">
  <dimension ref="A1:G47"/>
  <sheetViews>
    <sheetView workbookViewId="0">
      <selection activeCell="I9" sqref="I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1980</v>
      </c>
      <c r="B2" s="1">
        <v>0.13682510383017998</v>
      </c>
      <c r="C2" s="1">
        <v>2.3996308260267656E-2</v>
      </c>
      <c r="D2" s="1">
        <v>0.2392708814028611</v>
      </c>
      <c r="E2" s="1">
        <v>4.7531149053991702E-2</v>
      </c>
      <c r="F2" s="1">
        <v>0.51499769266266737</v>
      </c>
      <c r="G2" s="1">
        <v>3.7378864790032308E-2</v>
      </c>
    </row>
    <row r="3" spans="1:7" x14ac:dyDescent="0.2">
      <c r="A3">
        <v>1981</v>
      </c>
      <c r="B3" s="1">
        <v>0.12339661364802461</v>
      </c>
      <c r="C3" s="1">
        <v>2.3088763468445354E-2</v>
      </c>
      <c r="D3" s="1">
        <v>0.25474602360184706</v>
      </c>
      <c r="E3" s="1">
        <v>6.0800410466906103E-2</v>
      </c>
      <c r="F3" s="1">
        <v>0.49076449461262178</v>
      </c>
      <c r="G3" s="1">
        <v>4.720369420215495E-2</v>
      </c>
    </row>
    <row r="4" spans="1:7" x14ac:dyDescent="0.2">
      <c r="A4">
        <v>1982</v>
      </c>
      <c r="B4" s="1">
        <v>0.1251851851851852</v>
      </c>
      <c r="C4" s="1">
        <v>2.2222222222222227E-2</v>
      </c>
      <c r="D4" s="1">
        <v>0.25950617283950622</v>
      </c>
      <c r="E4" s="1">
        <v>6.2222222222222234E-2</v>
      </c>
      <c r="F4" s="1">
        <v>0.48469135802469143</v>
      </c>
      <c r="G4" s="1">
        <v>4.6172839506172847E-2</v>
      </c>
    </row>
    <row r="5" spans="1:7" x14ac:dyDescent="0.2">
      <c r="A5">
        <v>1983</v>
      </c>
      <c r="B5" s="1">
        <v>0.1318626222110805</v>
      </c>
      <c r="C5" s="1">
        <v>2.8077212333918283E-2</v>
      </c>
      <c r="D5" s="1">
        <v>0.28528453246427682</v>
      </c>
      <c r="E5" s="1">
        <v>5.3898220105289552E-2</v>
      </c>
      <c r="F5" s="1">
        <v>0.46929054900977696</v>
      </c>
      <c r="G5" s="1">
        <v>3.1586863875658067E-2</v>
      </c>
    </row>
    <row r="6" spans="1:7" x14ac:dyDescent="0.2">
      <c r="A6">
        <v>1984</v>
      </c>
      <c r="B6" s="1">
        <v>0.13696876600102406</v>
      </c>
      <c r="C6" s="1">
        <v>2.150537634408602E-2</v>
      </c>
      <c r="D6" s="1">
        <v>0.29416282642089092</v>
      </c>
      <c r="E6" s="1">
        <v>6.1699948796722991E-2</v>
      </c>
      <c r="F6" s="1">
        <v>0.44367639528929842</v>
      </c>
      <c r="G6" s="1">
        <v>4.1986687147977465E-2</v>
      </c>
    </row>
    <row r="7" spans="1:7" x14ac:dyDescent="0.2">
      <c r="A7">
        <v>1985</v>
      </c>
      <c r="B7" s="1">
        <v>0.13832997987927567</v>
      </c>
      <c r="C7" s="1">
        <v>1.9366197183098594E-2</v>
      </c>
      <c r="D7" s="1">
        <v>0.28269617706237427</v>
      </c>
      <c r="E7" s="1">
        <v>6.2625754527162986E-2</v>
      </c>
      <c r="F7" s="1">
        <v>0.44064386317907445</v>
      </c>
      <c r="G7" s="1">
        <v>5.6338028169014093E-2</v>
      </c>
    </row>
    <row r="8" spans="1:7" x14ac:dyDescent="0.2">
      <c r="A8">
        <v>1986</v>
      </c>
      <c r="B8" s="1">
        <v>0.12577862961188307</v>
      </c>
      <c r="C8" s="1">
        <v>2.2280785816962148E-2</v>
      </c>
      <c r="D8" s="1">
        <v>0.2949209391471011</v>
      </c>
      <c r="E8" s="1">
        <v>5.7738380450407287E-2</v>
      </c>
      <c r="F8" s="1">
        <v>0.45208433157642547</v>
      </c>
      <c r="G8" s="1">
        <v>4.7196933397220892E-2</v>
      </c>
    </row>
    <row r="9" spans="1:7" x14ac:dyDescent="0.2">
      <c r="A9">
        <v>1987</v>
      </c>
      <c r="B9" s="1">
        <v>0.13333333333333333</v>
      </c>
      <c r="C9" s="1">
        <v>2.3877068557919625E-2</v>
      </c>
      <c r="D9" s="1">
        <v>0.28132387706855794</v>
      </c>
      <c r="E9" s="1">
        <v>5.6028368794326246E-2</v>
      </c>
      <c r="F9" s="1">
        <v>0.46288416075650118</v>
      </c>
      <c r="G9" s="1">
        <v>4.2553191489361708E-2</v>
      </c>
    </row>
    <row r="10" spans="1:7" x14ac:dyDescent="0.2">
      <c r="A10">
        <v>1988</v>
      </c>
      <c r="B10" s="1">
        <v>0.13727359389895138</v>
      </c>
      <c r="C10" s="1">
        <v>2.2163965681601529E-2</v>
      </c>
      <c r="D10" s="1">
        <v>0.30052430886558629</v>
      </c>
      <c r="E10" s="1">
        <v>5.6482364156339379E-2</v>
      </c>
      <c r="F10" s="1">
        <v>0.43636796949475692</v>
      </c>
      <c r="G10" s="1">
        <v>4.7187797902764547E-2</v>
      </c>
    </row>
    <row r="11" spans="1:7" x14ac:dyDescent="0.2">
      <c r="A11">
        <v>1989</v>
      </c>
      <c r="B11" s="1">
        <v>0.13723675075214067</v>
      </c>
      <c r="C11" s="1">
        <v>2.291136311039111E-2</v>
      </c>
      <c r="D11" s="1">
        <v>0.29669058088405459</v>
      </c>
      <c r="E11" s="1">
        <v>6.2716963665818082E-2</v>
      </c>
      <c r="F11" s="1">
        <v>0.43207590835454751</v>
      </c>
      <c r="G11" s="1">
        <v>4.8368433233047896E-2</v>
      </c>
    </row>
    <row r="12" spans="1:7" x14ac:dyDescent="0.2">
      <c r="A12">
        <v>1990</v>
      </c>
      <c r="B12" s="1">
        <v>0.13837471783295713</v>
      </c>
      <c r="C12" s="1">
        <v>2.3476297968397293E-2</v>
      </c>
      <c r="D12" s="1">
        <v>0.29187358916478556</v>
      </c>
      <c r="E12" s="1">
        <v>5.7336343115124158E-2</v>
      </c>
      <c r="F12" s="1">
        <v>0.45259593679458243</v>
      </c>
      <c r="G12" s="1">
        <v>3.6343115124153502E-2</v>
      </c>
    </row>
    <row r="13" spans="1:7" x14ac:dyDescent="0.2">
      <c r="A13">
        <v>1991</v>
      </c>
      <c r="B13" s="1">
        <v>0.12744405182567725</v>
      </c>
      <c r="C13" s="1">
        <v>2.5441696113074206E-2</v>
      </c>
      <c r="D13" s="1">
        <v>0.28056537102473494</v>
      </c>
      <c r="E13" s="1">
        <v>5.4416961130742049E-2</v>
      </c>
      <c r="F13" s="1">
        <v>0.47020023557126028</v>
      </c>
      <c r="G13" s="1">
        <v>4.1931684334511186E-2</v>
      </c>
    </row>
    <row r="14" spans="1:7" x14ac:dyDescent="0.2">
      <c r="A14">
        <v>1992</v>
      </c>
      <c r="B14" s="1">
        <v>0.1285171102661597</v>
      </c>
      <c r="C14" s="1">
        <v>2.2306717363751581E-2</v>
      </c>
      <c r="D14" s="1">
        <v>0.2785804816223067</v>
      </c>
      <c r="E14" s="1">
        <v>5.399239543726235E-2</v>
      </c>
      <c r="F14" s="1">
        <v>0.46945500633713555</v>
      </c>
      <c r="G14" s="1">
        <v>4.714828897338403E-2</v>
      </c>
    </row>
    <row r="15" spans="1:7" x14ac:dyDescent="0.2">
      <c r="A15">
        <v>1993</v>
      </c>
      <c r="B15" s="1">
        <v>0.13240790176187936</v>
      </c>
      <c r="C15" s="1">
        <v>2.1089161772557399E-2</v>
      </c>
      <c r="D15" s="1">
        <v>0.30058729311265353</v>
      </c>
      <c r="E15" s="1">
        <v>5.392418579818474E-2</v>
      </c>
      <c r="F15" s="1">
        <v>0.43486385477843037</v>
      </c>
      <c r="G15" s="1">
        <v>5.7127602776294729E-2</v>
      </c>
    </row>
    <row r="16" spans="1:7" x14ac:dyDescent="0.2">
      <c r="A16">
        <v>1994</v>
      </c>
      <c r="B16" s="1">
        <v>0.1284427966101695</v>
      </c>
      <c r="C16" s="1">
        <v>2.1186440677966104E-2</v>
      </c>
      <c r="D16" s="1">
        <v>0.29819915254237289</v>
      </c>
      <c r="E16" s="1">
        <v>5.746822033898305E-2</v>
      </c>
      <c r="F16" s="1">
        <v>0.4284957627118644</v>
      </c>
      <c r="G16" s="1">
        <v>6.6207627118644072E-2</v>
      </c>
    </row>
    <row r="17" spans="1:7" x14ac:dyDescent="0.2">
      <c r="A17">
        <v>1995</v>
      </c>
      <c r="B17" s="1">
        <v>0.12908242612752724</v>
      </c>
      <c r="C17" s="1">
        <v>2.0476931052358736E-2</v>
      </c>
      <c r="D17" s="1">
        <v>0.30482115085536549</v>
      </c>
      <c r="E17" s="1">
        <v>5.5728356661482632E-2</v>
      </c>
      <c r="F17" s="1">
        <v>0.4250907205806117</v>
      </c>
      <c r="G17" s="1">
        <v>6.4800414722654229E-2</v>
      </c>
    </row>
    <row r="18" spans="1:7" x14ac:dyDescent="0.2">
      <c r="A18">
        <v>1996</v>
      </c>
      <c r="B18" s="1">
        <v>0.13648363252375922</v>
      </c>
      <c r="C18" s="1">
        <v>2.1119324181626188E-2</v>
      </c>
      <c r="D18" s="1">
        <v>0.30279831045406547</v>
      </c>
      <c r="E18" s="1">
        <v>5.9926082365364307E-2</v>
      </c>
      <c r="F18" s="1">
        <v>0.41842661034846879</v>
      </c>
      <c r="G18" s="1">
        <v>6.1246040126715938E-2</v>
      </c>
    </row>
    <row r="19" spans="1:7" x14ac:dyDescent="0.2">
      <c r="A19">
        <v>1997</v>
      </c>
      <c r="B19" s="1">
        <v>0.15040311370586601</v>
      </c>
      <c r="C19" s="1">
        <v>2.3074784542674451E-2</v>
      </c>
      <c r="D19" s="1">
        <v>0.27745343341673617</v>
      </c>
      <c r="E19" s="1">
        <v>5.5045871559633031E-2</v>
      </c>
      <c r="F19" s="1">
        <v>0.4345287739783153</v>
      </c>
      <c r="G19" s="1">
        <v>5.9494022796775098E-2</v>
      </c>
    </row>
    <row r="20" spans="1:7" x14ac:dyDescent="0.2">
      <c r="A20">
        <v>1998</v>
      </c>
      <c r="B20" s="1">
        <v>0.15470668485675307</v>
      </c>
      <c r="C20" s="1">
        <v>2.1282401091405185E-2</v>
      </c>
      <c r="D20" s="1">
        <v>0.244474761255116</v>
      </c>
      <c r="E20" s="1">
        <v>5.4297407912687584E-2</v>
      </c>
      <c r="F20" s="1">
        <v>0.46357435197817187</v>
      </c>
      <c r="G20" s="1">
        <v>6.1664392905866297E-2</v>
      </c>
    </row>
    <row r="21" spans="1:7" x14ac:dyDescent="0.2">
      <c r="A21">
        <v>1999</v>
      </c>
      <c r="B21" s="1">
        <v>0.14806629834254142</v>
      </c>
      <c r="C21" s="1">
        <v>2.0165745856353588E-2</v>
      </c>
      <c r="D21" s="1">
        <v>0.24198895027624306</v>
      </c>
      <c r="E21" s="1">
        <v>5.4143646408839771E-2</v>
      </c>
      <c r="F21" s="1">
        <v>0.46574585635359111</v>
      </c>
      <c r="G21" s="1">
        <v>6.988950276243093E-2</v>
      </c>
    </row>
    <row r="22" spans="1:7" x14ac:dyDescent="0.2">
      <c r="A22">
        <v>2000</v>
      </c>
      <c r="B22" s="1">
        <v>0.15558698727015557</v>
      </c>
      <c r="C22" s="1">
        <v>2.2065063649222064E-2</v>
      </c>
      <c r="D22" s="1">
        <v>0.24724186704384724</v>
      </c>
      <c r="E22" s="1">
        <v>4.893917963224894E-2</v>
      </c>
      <c r="F22" s="1">
        <v>0.44978783592644977</v>
      </c>
      <c r="G22" s="1">
        <v>7.6379066478076379E-2</v>
      </c>
    </row>
    <row r="23" spans="1:7" x14ac:dyDescent="0.2">
      <c r="A23">
        <v>2001</v>
      </c>
      <c r="B23" s="1">
        <v>0.16409691629955944</v>
      </c>
      <c r="C23" s="1">
        <v>2.0374449339207044E-2</v>
      </c>
      <c r="D23" s="1">
        <v>0.2287995594713656</v>
      </c>
      <c r="E23" s="1">
        <v>4.2400881057268712E-2</v>
      </c>
      <c r="F23" s="1">
        <v>0.45016519823788542</v>
      </c>
      <c r="G23" s="1">
        <v>9.4162995594713639E-2</v>
      </c>
    </row>
    <row r="24" spans="1:7" x14ac:dyDescent="0.2">
      <c r="A24">
        <v>2002</v>
      </c>
      <c r="B24" s="1">
        <v>0.15558620689655173</v>
      </c>
      <c r="C24" s="1">
        <v>2.2896551724137931E-2</v>
      </c>
      <c r="D24" s="1">
        <v>0.21958620689655173</v>
      </c>
      <c r="E24" s="1">
        <v>5.0758620689655178E-2</v>
      </c>
      <c r="F24" s="1">
        <v>0.44910344827586213</v>
      </c>
      <c r="G24" s="1">
        <v>0.10206896551724139</v>
      </c>
    </row>
    <row r="25" spans="1:7" x14ac:dyDescent="0.2">
      <c r="A25">
        <v>2003</v>
      </c>
      <c r="B25" s="1">
        <v>0.14491180461329717</v>
      </c>
      <c r="C25" s="1">
        <v>2.0895522388059706E-2</v>
      </c>
      <c r="D25" s="1">
        <v>0.21248303934871102</v>
      </c>
      <c r="E25" s="1">
        <v>5.1017639077340575E-2</v>
      </c>
      <c r="F25" s="1">
        <v>0.45020352781546819</v>
      </c>
      <c r="G25" s="1">
        <v>0.12048846675712351</v>
      </c>
    </row>
    <row r="26" spans="1:7" x14ac:dyDescent="0.2">
      <c r="A26">
        <v>2004</v>
      </c>
      <c r="B26" s="1">
        <v>0.13761218384552626</v>
      </c>
      <c r="C26" s="1">
        <v>1.9853141147674735E-2</v>
      </c>
      <c r="D26" s="1">
        <v>0.20070709817786242</v>
      </c>
      <c r="E26" s="1">
        <v>5.1128637476203428E-2</v>
      </c>
      <c r="F26" s="1">
        <v>0.44955126461789513</v>
      </c>
      <c r="G26" s="1">
        <v>0.14114767473483822</v>
      </c>
    </row>
    <row r="27" spans="1:7" x14ac:dyDescent="0.2">
      <c r="A27">
        <v>2005</v>
      </c>
      <c r="B27" s="1">
        <v>0.11231162922945692</v>
      </c>
      <c r="C27" s="1">
        <v>2.1893659368780211E-2</v>
      </c>
      <c r="D27" s="1">
        <v>0.20130793289735568</v>
      </c>
      <c r="E27" s="1">
        <v>5.4023315325561552E-2</v>
      </c>
      <c r="F27" s="1">
        <v>0.45976684674438445</v>
      </c>
      <c r="G27" s="1">
        <v>0.15069661643446117</v>
      </c>
    </row>
    <row r="28" spans="1:7" x14ac:dyDescent="0.2">
      <c r="A28">
        <v>2006</v>
      </c>
      <c r="B28" s="1">
        <v>0.11831951986281793</v>
      </c>
      <c r="C28" s="1">
        <v>2.429265504429837E-2</v>
      </c>
      <c r="D28" s="1">
        <v>0.19319805658759645</v>
      </c>
      <c r="E28" s="1">
        <v>5.5444412689339806E-2</v>
      </c>
      <c r="F28" s="1">
        <v>0.44355530151471845</v>
      </c>
      <c r="G28" s="1">
        <v>0.16519005430122893</v>
      </c>
    </row>
    <row r="29" spans="1:7" x14ac:dyDescent="0.2">
      <c r="A29">
        <v>2007</v>
      </c>
      <c r="B29" s="1">
        <v>0.11742750502440424</v>
      </c>
      <c r="C29" s="1">
        <v>2.3255813953488375E-2</v>
      </c>
      <c r="D29" s="1">
        <v>0.17973011771461384</v>
      </c>
      <c r="E29" s="1">
        <v>5.3402239448751082E-2</v>
      </c>
      <c r="F29" s="1">
        <v>0.45219638242894061</v>
      </c>
      <c r="G29" s="1">
        <v>0.1739879414298019</v>
      </c>
    </row>
    <row r="30" spans="1:7" x14ac:dyDescent="0.2">
      <c r="A30">
        <v>2008</v>
      </c>
      <c r="B30" s="1">
        <v>0.10885929357266937</v>
      </c>
      <c r="C30" s="1">
        <v>2.3740590619571511E-2</v>
      </c>
      <c r="D30" s="1">
        <v>0.17602779386218878</v>
      </c>
      <c r="E30" s="1">
        <v>5.4429646786334683E-2</v>
      </c>
      <c r="F30" s="1">
        <v>0.45454545454545453</v>
      </c>
      <c r="G30" s="1">
        <v>0.18239722061378114</v>
      </c>
    </row>
    <row r="31" spans="1:7" x14ac:dyDescent="0.2">
      <c r="A31">
        <v>2009</v>
      </c>
      <c r="B31" s="1">
        <v>0.10837988826815644</v>
      </c>
      <c r="C31" s="1">
        <v>2.4301675977653633E-2</v>
      </c>
      <c r="D31" s="1">
        <v>0.16340782122905029</v>
      </c>
      <c r="E31" s="1">
        <v>5.1396648044692746E-2</v>
      </c>
      <c r="F31" s="1">
        <v>0.44245810055865925</v>
      </c>
      <c r="G31" s="1">
        <v>0.21005586592178771</v>
      </c>
    </row>
    <row r="32" spans="1:7" x14ac:dyDescent="0.2">
      <c r="A32">
        <v>2010</v>
      </c>
      <c r="B32" s="1">
        <v>0.10289389067524116</v>
      </c>
      <c r="C32" s="1">
        <v>2.2508038585209004E-2</v>
      </c>
      <c r="D32" s="1">
        <v>0.1642794504530839</v>
      </c>
      <c r="E32" s="1">
        <v>5.4077755042385267E-2</v>
      </c>
      <c r="F32" s="1">
        <v>0.41362174802689272</v>
      </c>
      <c r="G32" s="1">
        <v>0.24261911721718799</v>
      </c>
    </row>
    <row r="33" spans="1:7" x14ac:dyDescent="0.2">
      <c r="A33">
        <v>2011</v>
      </c>
      <c r="B33" s="1">
        <v>0.1080773606370876</v>
      </c>
      <c r="C33" s="1">
        <v>2.0477815699658706E-2</v>
      </c>
      <c r="D33" s="1">
        <v>0.15102389078498293</v>
      </c>
      <c r="E33" s="1">
        <v>5.6313993174061439E-2</v>
      </c>
      <c r="F33" s="1">
        <v>0.42804323094425489</v>
      </c>
      <c r="G33" s="1">
        <v>0.23606370875995453</v>
      </c>
    </row>
    <row r="34" spans="1:7" x14ac:dyDescent="0.2">
      <c r="A34">
        <v>2012</v>
      </c>
      <c r="B34" s="1">
        <v>0.10546304411335085</v>
      </c>
      <c r="C34" s="1">
        <v>4.9371895997662861E-2</v>
      </c>
      <c r="D34" s="1">
        <v>0.15162138475021911</v>
      </c>
      <c r="E34" s="1">
        <v>6.0473269062226102E-2</v>
      </c>
      <c r="F34" s="1">
        <v>0.38387379491673967</v>
      </c>
      <c r="G34" s="1">
        <v>0.2491966111598013</v>
      </c>
    </row>
    <row r="35" spans="1:7" x14ac:dyDescent="0.2">
      <c r="A35">
        <v>2013</v>
      </c>
      <c r="B35" s="1">
        <v>8.8836937463471655E-2</v>
      </c>
      <c r="C35" s="1">
        <v>4.7048509643483345E-2</v>
      </c>
      <c r="D35" s="1">
        <v>0.13880771478667447</v>
      </c>
      <c r="E35" s="1">
        <v>4.9678550555230856E-2</v>
      </c>
      <c r="F35" s="1">
        <v>0.39216832261835183</v>
      </c>
      <c r="G35" s="1">
        <v>0.28345996493278786</v>
      </c>
    </row>
    <row r="36" spans="1:7" x14ac:dyDescent="0.2">
      <c r="A36">
        <v>2014</v>
      </c>
      <c r="B36" s="1">
        <v>9.9883517763541055E-2</v>
      </c>
      <c r="C36" s="1">
        <v>3.9895165987186954E-2</v>
      </c>
      <c r="D36" s="1">
        <v>0.13628421665695981</v>
      </c>
      <c r="E36" s="1">
        <v>4.7757716948165399E-2</v>
      </c>
      <c r="F36" s="1">
        <v>0.38846825859056489</v>
      </c>
      <c r="G36" s="1">
        <v>0.28771112405358185</v>
      </c>
    </row>
    <row r="37" spans="1:7" x14ac:dyDescent="0.2">
      <c r="A37">
        <v>2015</v>
      </c>
      <c r="B37" s="1">
        <v>0.11076923076923077</v>
      </c>
      <c r="C37" s="1">
        <v>3.9160839160839157E-2</v>
      </c>
      <c r="D37" s="1">
        <v>0.13146853146853146</v>
      </c>
      <c r="E37" s="1">
        <v>4.6153846153846149E-2</v>
      </c>
      <c r="F37" s="1">
        <v>0.39356643356643356</v>
      </c>
      <c r="G37" s="1">
        <v>0.27888111888111888</v>
      </c>
    </row>
    <row r="38" spans="1:7" x14ac:dyDescent="0.2">
      <c r="A38">
        <v>2016</v>
      </c>
      <c r="B38" s="1">
        <v>0.11174707004633412</v>
      </c>
      <c r="C38" s="1">
        <v>4.7696920141727987E-2</v>
      </c>
      <c r="D38" s="1">
        <v>0.13573180703188878</v>
      </c>
      <c r="E38" s="1">
        <v>4.524393567729626E-2</v>
      </c>
      <c r="F38" s="1">
        <v>0.39411283728536384</v>
      </c>
      <c r="G38" s="1">
        <v>0.26546742981738891</v>
      </c>
    </row>
    <row r="39" spans="1:7" x14ac:dyDescent="0.2">
      <c r="A39">
        <v>2017</v>
      </c>
      <c r="B39" s="1">
        <v>0.10775151181968115</v>
      </c>
      <c r="C39" s="1">
        <v>3.8207806487080817E-2</v>
      </c>
      <c r="D39" s="1">
        <v>0.1355140186915888</v>
      </c>
      <c r="E39" s="1">
        <v>4.4804837822979664E-2</v>
      </c>
      <c r="F39" s="1">
        <v>0.38977460142935683</v>
      </c>
      <c r="G39" s="1">
        <v>0.28394722374931286</v>
      </c>
    </row>
    <row r="40" spans="1:7" x14ac:dyDescent="0.2">
      <c r="A40">
        <v>2018</v>
      </c>
      <c r="B40" s="1">
        <v>0.10849453322119428</v>
      </c>
      <c r="C40" s="1">
        <v>3.6164844407064758E-2</v>
      </c>
      <c r="D40" s="1">
        <v>0.14353798710400897</v>
      </c>
      <c r="E40" s="1">
        <v>4.2612839921502658E-2</v>
      </c>
      <c r="F40" s="1">
        <v>0.40089711241940007</v>
      </c>
      <c r="G40" s="1">
        <v>0.26829268292682928</v>
      </c>
    </row>
    <row r="41" spans="1:7" x14ac:dyDescent="0.2">
      <c r="A41">
        <v>2019</v>
      </c>
      <c r="B41" s="1">
        <v>0.12001140250855188</v>
      </c>
      <c r="C41" s="1">
        <v>3.3637400228050174E-2</v>
      </c>
      <c r="D41" s="1">
        <v>0.145096921322691</v>
      </c>
      <c r="E41" s="1">
        <v>4.789053591790194E-2</v>
      </c>
      <c r="F41" s="1">
        <v>0.43301026225769668</v>
      </c>
      <c r="G41" s="1">
        <v>0.22035347776510836</v>
      </c>
    </row>
    <row r="42" spans="1:7" x14ac:dyDescent="0.2">
      <c r="A42">
        <v>2020</v>
      </c>
      <c r="B42" s="1">
        <v>9.3977659057795052E-2</v>
      </c>
      <c r="C42" s="1">
        <v>4.0553666828557551E-2</v>
      </c>
      <c r="D42" s="1">
        <v>0.13987372510927634</v>
      </c>
      <c r="E42" s="1">
        <v>4.953861097620204E-2</v>
      </c>
      <c r="F42" s="1">
        <v>0.41039339485186982</v>
      </c>
      <c r="G42" s="1">
        <v>0.26566294317629918</v>
      </c>
    </row>
    <row r="43" spans="1:7" x14ac:dyDescent="0.2">
      <c r="A43">
        <v>2021</v>
      </c>
      <c r="B43" s="1">
        <v>8.4024618678084029E-2</v>
      </c>
      <c r="C43" s="1">
        <v>3.6928017126036924E-2</v>
      </c>
      <c r="D43" s="1">
        <v>0.12844527696012845</v>
      </c>
      <c r="E43" s="1">
        <v>4.2279903666042284E-2</v>
      </c>
      <c r="F43" s="1">
        <v>0.42708054589242711</v>
      </c>
      <c r="G43" s="1">
        <v>0.28124163767728128</v>
      </c>
    </row>
    <row r="44" spans="1:7" x14ac:dyDescent="0.2">
      <c r="A44">
        <v>2022</v>
      </c>
      <c r="B44" s="1">
        <v>0.10083806434171397</v>
      </c>
      <c r="C44" s="1">
        <v>4.9743173830765069E-2</v>
      </c>
      <c r="D44" s="1">
        <v>0.11949175452825087</v>
      </c>
      <c r="E44" s="1">
        <v>4.1092187077588535E-2</v>
      </c>
      <c r="F44" s="1">
        <v>0.45309543119762102</v>
      </c>
      <c r="G44" s="1">
        <v>0.23573938902406055</v>
      </c>
    </row>
    <row r="45" spans="1:7" x14ac:dyDescent="0.2">
      <c r="A45">
        <v>2023</v>
      </c>
      <c r="B45" s="1">
        <v>9.7902097902097904E-2</v>
      </c>
      <c r="C45" s="1">
        <v>4.4916621839698759E-2</v>
      </c>
      <c r="D45" s="1">
        <v>0.114308768154922</v>
      </c>
      <c r="E45" s="1">
        <v>4.5185583647122107E-2</v>
      </c>
      <c r="F45" s="1">
        <v>0.46906939214631527</v>
      </c>
      <c r="G45" s="1">
        <v>0.22861753630984399</v>
      </c>
    </row>
    <row r="46" spans="1:7" x14ac:dyDescent="0.2">
      <c r="A46">
        <v>2024</v>
      </c>
      <c r="B46" s="1">
        <v>0.10152143845089903</v>
      </c>
      <c r="C46" s="1">
        <v>4.0940525587828493E-2</v>
      </c>
      <c r="D46" s="1">
        <v>0.11867219917012449</v>
      </c>
      <c r="E46" s="1">
        <v>4.9792531120331954E-2</v>
      </c>
      <c r="F46" s="1">
        <v>0.45809128630705392</v>
      </c>
      <c r="G46" s="1">
        <v>0.23098201936376211</v>
      </c>
    </row>
    <row r="47" spans="1:7" x14ac:dyDescent="0.2">
      <c r="A47">
        <v>2025</v>
      </c>
      <c r="B47" s="1">
        <v>0.10021097046413502</v>
      </c>
      <c r="C47" s="1">
        <v>9.3618143459915606E-2</v>
      </c>
      <c r="D47" s="1">
        <v>0.1083860759493671</v>
      </c>
      <c r="E47" s="1">
        <v>4.4831223628691977E-2</v>
      </c>
      <c r="F47" s="1">
        <v>0.45411392405063283</v>
      </c>
      <c r="G47" s="1">
        <v>0.19883966244725737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E5E0-1740-8B4C-B6D4-B296742033B0}">
  <dimension ref="A1:O47"/>
  <sheetViews>
    <sheetView workbookViewId="0">
      <selection activeCell="J12" sqref="J12:O2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9</v>
      </c>
      <c r="H1" t="s">
        <v>7</v>
      </c>
      <c r="J1" t="s">
        <v>1</v>
      </c>
      <c r="K1" t="s">
        <v>2</v>
      </c>
      <c r="L1" t="s">
        <v>4</v>
      </c>
      <c r="M1" t="s">
        <v>5</v>
      </c>
      <c r="N1" t="s">
        <v>6</v>
      </c>
      <c r="O1" t="s">
        <v>9</v>
      </c>
    </row>
    <row r="2" spans="1:15" x14ac:dyDescent="0.2">
      <c r="A2">
        <v>1980</v>
      </c>
    </row>
    <row r="3" spans="1:15" x14ac:dyDescent="0.2">
      <c r="A3">
        <v>1981</v>
      </c>
    </row>
    <row r="4" spans="1:15" x14ac:dyDescent="0.2">
      <c r="A4">
        <v>1982</v>
      </c>
    </row>
    <row r="5" spans="1:15" x14ac:dyDescent="0.2">
      <c r="A5">
        <v>1983</v>
      </c>
    </row>
    <row r="6" spans="1:15" x14ac:dyDescent="0.2">
      <c r="A6">
        <v>1984</v>
      </c>
    </row>
    <row r="7" spans="1:15" x14ac:dyDescent="0.2">
      <c r="A7">
        <v>1985</v>
      </c>
    </row>
    <row r="8" spans="1:15" x14ac:dyDescent="0.2">
      <c r="A8">
        <v>1986</v>
      </c>
    </row>
    <row r="9" spans="1:15" x14ac:dyDescent="0.2">
      <c r="A9">
        <v>1987</v>
      </c>
    </row>
    <row r="10" spans="1:15" x14ac:dyDescent="0.2">
      <c r="A10">
        <v>1988</v>
      </c>
    </row>
    <row r="11" spans="1:15" x14ac:dyDescent="0.2">
      <c r="A11">
        <v>1989</v>
      </c>
    </row>
    <row r="12" spans="1:15" x14ac:dyDescent="0.2">
      <c r="A12">
        <v>1990</v>
      </c>
      <c r="B12">
        <v>3.18</v>
      </c>
      <c r="C12">
        <v>0.99</v>
      </c>
      <c r="D12">
        <v>2.6</v>
      </c>
      <c r="E12">
        <v>16.72</v>
      </c>
      <c r="F12">
        <v>16.72</v>
      </c>
      <c r="G12">
        <v>30.08</v>
      </c>
      <c r="H12">
        <f t="shared" ref="H12:H15" si="0">SUM(B12:G12)</f>
        <v>70.289999999999992</v>
      </c>
      <c r="J12">
        <f t="shared" ref="J12:J15" si="1">B12/H12</f>
        <v>4.5241143832693134E-2</v>
      </c>
      <c r="K12">
        <f t="shared" ref="K12:K15" si="2">C12/H12</f>
        <v>1.4084507042253523E-2</v>
      </c>
      <c r="L12">
        <f t="shared" ref="L12:L15" si="3">D12/H12</f>
        <v>3.6989614454403193E-2</v>
      </c>
      <c r="M12">
        <f t="shared" ref="M12:M15" si="4">E12/H12</f>
        <v>0.23787167449139282</v>
      </c>
      <c r="N12">
        <f t="shared" ref="N12:N15" si="5">F12/H12</f>
        <v>0.23787167449139282</v>
      </c>
      <c r="O12">
        <f t="shared" ref="O12:O15" si="6">G12/H12</f>
        <v>0.42794138568786461</v>
      </c>
    </row>
    <row r="13" spans="1:15" x14ac:dyDescent="0.2">
      <c r="A13">
        <v>1991</v>
      </c>
      <c r="B13">
        <v>3.55</v>
      </c>
      <c r="C13">
        <v>0.86</v>
      </c>
      <c r="D13">
        <v>2.23</v>
      </c>
      <c r="E13">
        <v>16.91</v>
      </c>
      <c r="F13">
        <v>2.99</v>
      </c>
      <c r="G13">
        <v>28.29</v>
      </c>
      <c r="H13">
        <f t="shared" si="0"/>
        <v>54.83</v>
      </c>
      <c r="J13">
        <f t="shared" si="1"/>
        <v>6.4745577238737917E-2</v>
      </c>
      <c r="K13">
        <f t="shared" si="2"/>
        <v>1.5684844063468904E-2</v>
      </c>
      <c r="L13">
        <f t="shared" si="3"/>
        <v>4.0671165420390301E-2</v>
      </c>
      <c r="M13">
        <f t="shared" si="4"/>
        <v>0.3084078059456502</v>
      </c>
      <c r="N13">
        <f t="shared" si="5"/>
        <v>5.4532190406711659E-2</v>
      </c>
      <c r="O13">
        <f t="shared" si="6"/>
        <v>0.51595841692504107</v>
      </c>
    </row>
    <row r="14" spans="1:15" x14ac:dyDescent="0.2">
      <c r="A14">
        <v>1992</v>
      </c>
      <c r="B14">
        <v>3.6</v>
      </c>
      <c r="C14">
        <v>0.78</v>
      </c>
      <c r="D14">
        <v>2.23</v>
      </c>
      <c r="E14">
        <v>16.05</v>
      </c>
      <c r="F14">
        <v>3.75</v>
      </c>
      <c r="G14">
        <v>27.29</v>
      </c>
      <c r="H14">
        <f t="shared" si="0"/>
        <v>53.7</v>
      </c>
      <c r="J14">
        <f t="shared" si="1"/>
        <v>6.7039106145251395E-2</v>
      </c>
      <c r="K14">
        <f t="shared" si="2"/>
        <v>1.452513966480447E-2</v>
      </c>
      <c r="L14">
        <f t="shared" si="3"/>
        <v>4.1527001862197391E-2</v>
      </c>
      <c r="M14">
        <f t="shared" si="4"/>
        <v>0.2988826815642458</v>
      </c>
      <c r="N14">
        <f t="shared" si="5"/>
        <v>6.9832402234636867E-2</v>
      </c>
      <c r="O14">
        <f t="shared" si="6"/>
        <v>0.50819366852886405</v>
      </c>
    </row>
    <row r="15" spans="1:15" x14ac:dyDescent="0.2">
      <c r="A15">
        <v>1993</v>
      </c>
      <c r="B15">
        <v>3.29</v>
      </c>
      <c r="C15">
        <v>0.6</v>
      </c>
      <c r="D15">
        <v>2.29</v>
      </c>
      <c r="E15">
        <v>14.23</v>
      </c>
      <c r="F15">
        <v>5.99</v>
      </c>
      <c r="G15">
        <v>28.39</v>
      </c>
      <c r="H15">
        <f t="shared" si="0"/>
        <v>54.79</v>
      </c>
      <c r="J15">
        <f t="shared" si="1"/>
        <v>6.0047453914947986E-2</v>
      </c>
      <c r="K15">
        <f t="shared" si="2"/>
        <v>1.0950903449534586E-2</v>
      </c>
      <c r="L15">
        <f t="shared" si="3"/>
        <v>4.179594816572367E-2</v>
      </c>
      <c r="M15">
        <f t="shared" si="4"/>
        <v>0.25971892681146197</v>
      </c>
      <c r="N15">
        <f t="shared" si="5"/>
        <v>0.10932651943785363</v>
      </c>
      <c r="O15">
        <f t="shared" si="6"/>
        <v>0.51816024822047824</v>
      </c>
    </row>
    <row r="16" spans="1:15" x14ac:dyDescent="0.2">
      <c r="A16">
        <v>1994</v>
      </c>
      <c r="B16">
        <v>3.19</v>
      </c>
      <c r="C16">
        <v>0.54</v>
      </c>
      <c r="D16">
        <v>2.29</v>
      </c>
      <c r="E16">
        <v>12.26</v>
      </c>
      <c r="F16">
        <v>6.17</v>
      </c>
      <c r="G16">
        <v>28.72</v>
      </c>
      <c r="H16">
        <f>SUM(B16:G16)</f>
        <v>53.17</v>
      </c>
      <c r="J16">
        <f t="shared" ref="J16:J19" si="7">B16/H16</f>
        <v>5.9996238480346055E-2</v>
      </c>
      <c r="K16">
        <f t="shared" ref="K16:K19" si="8">C16/H16</f>
        <v>1.0156103065638519E-2</v>
      </c>
      <c r="L16">
        <f t="shared" ref="L16:L19" si="9">D16/H16</f>
        <v>4.3069400037615196E-2</v>
      </c>
      <c r="M16">
        <f t="shared" ref="M16:M19" si="10">E16/H16</f>
        <v>0.23058115478653374</v>
      </c>
      <c r="N16">
        <f t="shared" ref="N16:N19" si="11">F16/H16</f>
        <v>0.11604288132405491</v>
      </c>
      <c r="O16">
        <f t="shared" ref="O16:O19" si="12">G16/H16</f>
        <v>0.54015422230581156</v>
      </c>
    </row>
    <row r="17" spans="1:15" x14ac:dyDescent="0.2">
      <c r="A17">
        <v>1995</v>
      </c>
      <c r="B17">
        <v>3.2</v>
      </c>
      <c r="C17">
        <v>0.53</v>
      </c>
      <c r="D17">
        <v>2.0499999999999998</v>
      </c>
      <c r="E17">
        <v>12.48</v>
      </c>
      <c r="F17">
        <v>6.1</v>
      </c>
      <c r="G17">
        <v>26.73</v>
      </c>
      <c r="H17">
        <f>SUM(B17:G17)</f>
        <v>51.09</v>
      </c>
      <c r="J17">
        <f t="shared" si="7"/>
        <v>6.2634566451360341E-2</v>
      </c>
      <c r="K17">
        <f t="shared" si="8"/>
        <v>1.0373850068506557E-2</v>
      </c>
      <c r="L17">
        <f t="shared" si="9"/>
        <v>4.0125269132902715E-2</v>
      </c>
      <c r="M17">
        <f t="shared" si="10"/>
        <v>0.24427480916030533</v>
      </c>
      <c r="N17">
        <f t="shared" si="11"/>
        <v>0.11939714229790564</v>
      </c>
      <c r="O17">
        <f t="shared" si="12"/>
        <v>0.52319436288901933</v>
      </c>
    </row>
    <row r="18" spans="1:15" x14ac:dyDescent="0.2">
      <c r="A18">
        <v>1996</v>
      </c>
      <c r="B18">
        <v>3.13</v>
      </c>
      <c r="C18">
        <v>0.47</v>
      </c>
      <c r="D18">
        <v>1.96</v>
      </c>
      <c r="E18">
        <v>12.54</v>
      </c>
      <c r="F18">
        <v>6.51</v>
      </c>
      <c r="G18">
        <v>26.31</v>
      </c>
      <c r="H18">
        <f>SUM(B18:G18)</f>
        <v>50.92</v>
      </c>
      <c r="J18">
        <f t="shared" si="7"/>
        <v>6.146897093479968E-2</v>
      </c>
      <c r="K18">
        <f t="shared" si="8"/>
        <v>9.2301649646504315E-3</v>
      </c>
      <c r="L18">
        <f t="shared" si="9"/>
        <v>3.8491751767478398E-2</v>
      </c>
      <c r="M18">
        <f t="shared" si="10"/>
        <v>0.24626865671641787</v>
      </c>
      <c r="N18">
        <f t="shared" si="11"/>
        <v>0.12784760408483895</v>
      </c>
      <c r="O18">
        <f t="shared" si="12"/>
        <v>0.51669285153181455</v>
      </c>
    </row>
    <row r="19" spans="1:15" x14ac:dyDescent="0.2">
      <c r="A19">
        <v>1997</v>
      </c>
      <c r="B19">
        <v>3.39</v>
      </c>
      <c r="C19">
        <v>0.47</v>
      </c>
      <c r="D19" s="7">
        <v>2.0499999999999998</v>
      </c>
      <c r="E19">
        <v>12.44</v>
      </c>
      <c r="F19">
        <v>6.38</v>
      </c>
      <c r="G19">
        <v>27.35</v>
      </c>
      <c r="H19">
        <f>SUM(B19:G19)</f>
        <v>52.08</v>
      </c>
      <c r="J19">
        <f t="shared" si="7"/>
        <v>6.5092165898617521E-2</v>
      </c>
      <c r="K19">
        <f t="shared" si="8"/>
        <v>9.0245775729646694E-3</v>
      </c>
      <c r="L19">
        <f t="shared" si="9"/>
        <v>3.9362519201228879E-2</v>
      </c>
      <c r="M19">
        <f t="shared" si="10"/>
        <v>0.23886328725038403</v>
      </c>
      <c r="N19">
        <f t="shared" si="11"/>
        <v>0.12250384024577574</v>
      </c>
      <c r="O19">
        <f t="shared" si="12"/>
        <v>0.52515360983102921</v>
      </c>
    </row>
    <row r="20" spans="1:15" x14ac:dyDescent="0.2">
      <c r="A20">
        <v>1998</v>
      </c>
      <c r="B20">
        <v>3.75</v>
      </c>
      <c r="C20">
        <v>0.5</v>
      </c>
      <c r="D20">
        <v>2.19</v>
      </c>
      <c r="E20">
        <v>14.79</v>
      </c>
      <c r="F20">
        <v>6.72</v>
      </c>
      <c r="G20">
        <v>29.68</v>
      </c>
      <c r="H20">
        <f>SUM(B20:G20)</f>
        <v>57.629999999999995</v>
      </c>
      <c r="J20">
        <f>B20/H20</f>
        <v>6.5070275897969806E-2</v>
      </c>
      <c r="K20">
        <f>C20/H20</f>
        <v>8.6760367863959742E-3</v>
      </c>
      <c r="L20">
        <f>D20/H20</f>
        <v>3.8001041124414367E-2</v>
      </c>
      <c r="M20">
        <f>E20/H20</f>
        <v>0.25663716814159293</v>
      </c>
      <c r="N20">
        <f>F20/H20</f>
        <v>0.11660593440916189</v>
      </c>
      <c r="O20">
        <f>G20/H20</f>
        <v>0.51500954364046503</v>
      </c>
    </row>
    <row r="21" spans="1:15" x14ac:dyDescent="0.2">
      <c r="A21">
        <v>1999</v>
      </c>
      <c r="B21">
        <v>3.47</v>
      </c>
      <c r="C21">
        <v>0.51</v>
      </c>
      <c r="D21">
        <v>2.17</v>
      </c>
      <c r="E21">
        <v>13.73</v>
      </c>
      <c r="F21">
        <v>7.58</v>
      </c>
      <c r="G21">
        <v>30.09</v>
      </c>
      <c r="H21">
        <f t="shared" ref="H21:H47" si="13">SUM(B21:G21)</f>
        <v>57.55</v>
      </c>
      <c r="J21">
        <f t="shared" ref="J21:J47" si="14">B21/H21</f>
        <v>6.0295395308427459E-2</v>
      </c>
      <c r="K21">
        <f t="shared" ref="K21:K47" si="15">C21/H21</f>
        <v>8.8618592528236315E-3</v>
      </c>
      <c r="L21">
        <f t="shared" ref="L21:L47" si="16">D21/H21</f>
        <v>3.7706342311033883E-2</v>
      </c>
      <c r="M21">
        <f t="shared" ref="M21:M47" si="17">E21/H21</f>
        <v>0.23857515204170288</v>
      </c>
      <c r="N21">
        <f t="shared" ref="N21:N47" si="18">F21/H21</f>
        <v>0.1317115551694179</v>
      </c>
      <c r="O21">
        <f t="shared" ref="O21:O47" si="19">G21/H21</f>
        <v>0.52284969591659425</v>
      </c>
    </row>
    <row r="22" spans="1:15" x14ac:dyDescent="0.2">
      <c r="A22">
        <v>2000</v>
      </c>
      <c r="B22">
        <v>3.06</v>
      </c>
      <c r="C22">
        <v>0.46</v>
      </c>
      <c r="D22">
        <v>1.85</v>
      </c>
      <c r="E22">
        <v>12.29</v>
      </c>
      <c r="F22">
        <v>8.16</v>
      </c>
      <c r="G22">
        <v>29.37</v>
      </c>
      <c r="H22">
        <f t="shared" si="13"/>
        <v>55.19</v>
      </c>
      <c r="J22">
        <f t="shared" si="14"/>
        <v>5.5444826961406055E-2</v>
      </c>
      <c r="K22">
        <f t="shared" si="15"/>
        <v>8.3348432687081007E-3</v>
      </c>
      <c r="L22">
        <f t="shared" si="16"/>
        <v>3.3520565319804317E-2</v>
      </c>
      <c r="M22">
        <f t="shared" si="17"/>
        <v>0.22268526907048378</v>
      </c>
      <c r="N22">
        <f t="shared" si="18"/>
        <v>0.14785287189708282</v>
      </c>
      <c r="O22">
        <f t="shared" si="19"/>
        <v>0.53216162348251494</v>
      </c>
    </row>
    <row r="23" spans="1:15" x14ac:dyDescent="0.2">
      <c r="A23">
        <v>2001</v>
      </c>
      <c r="B23">
        <v>3.03</v>
      </c>
      <c r="C23">
        <v>0.45</v>
      </c>
      <c r="D23">
        <v>1.88</v>
      </c>
      <c r="E23">
        <v>12.06</v>
      </c>
      <c r="F23">
        <v>9.66</v>
      </c>
      <c r="G23">
        <v>29.26</v>
      </c>
      <c r="H23">
        <f t="shared" si="13"/>
        <v>56.34</v>
      </c>
      <c r="J23">
        <f t="shared" si="14"/>
        <v>5.378061767838125E-2</v>
      </c>
      <c r="K23">
        <f t="shared" si="15"/>
        <v>7.9872204472843447E-3</v>
      </c>
      <c r="L23">
        <f t="shared" si="16"/>
        <v>3.3368832090876814E-2</v>
      </c>
      <c r="M23">
        <f t="shared" si="17"/>
        <v>0.21405750798722045</v>
      </c>
      <c r="N23">
        <f t="shared" si="18"/>
        <v>0.17145899893503727</v>
      </c>
      <c r="O23">
        <f t="shared" si="19"/>
        <v>0.51934682286119982</v>
      </c>
    </row>
    <row r="24" spans="1:15" x14ac:dyDescent="0.2">
      <c r="A24">
        <v>2002</v>
      </c>
      <c r="B24">
        <v>2.77</v>
      </c>
      <c r="C24">
        <v>0.39</v>
      </c>
      <c r="D24">
        <v>2.0099999999999998</v>
      </c>
      <c r="E24">
        <v>11.21</v>
      </c>
      <c r="F24">
        <v>11.8</v>
      </c>
      <c r="G24">
        <v>27.5</v>
      </c>
      <c r="H24">
        <f t="shared" si="13"/>
        <v>55.680000000000007</v>
      </c>
      <c r="J24">
        <f t="shared" si="14"/>
        <v>4.9748563218390801E-2</v>
      </c>
      <c r="K24">
        <f t="shared" si="15"/>
        <v>7.0043103448275855E-3</v>
      </c>
      <c r="L24">
        <f t="shared" si="16"/>
        <v>3.6099137931034475E-2</v>
      </c>
      <c r="M24">
        <f t="shared" si="17"/>
        <v>0.20132902298850575</v>
      </c>
      <c r="N24">
        <f t="shared" si="18"/>
        <v>0.21192528735632182</v>
      </c>
      <c r="O24">
        <f t="shared" si="19"/>
        <v>0.4938936781609195</v>
      </c>
    </row>
    <row r="25" spans="1:15" x14ac:dyDescent="0.2">
      <c r="A25">
        <v>2003</v>
      </c>
      <c r="B25">
        <v>2.77</v>
      </c>
      <c r="C25">
        <v>0.41</v>
      </c>
      <c r="D25">
        <v>2.2000000000000002</v>
      </c>
      <c r="E25">
        <v>11.81</v>
      </c>
      <c r="F25">
        <v>14.55</v>
      </c>
      <c r="G25">
        <v>23.77</v>
      </c>
      <c r="H25">
        <f t="shared" si="13"/>
        <v>55.510000000000005</v>
      </c>
      <c r="J25">
        <f t="shared" si="14"/>
        <v>4.9900918753377765E-2</v>
      </c>
      <c r="K25">
        <f t="shared" si="15"/>
        <v>7.3860565663844344E-3</v>
      </c>
      <c r="L25">
        <f t="shared" si="16"/>
        <v>3.9632498648892088E-2</v>
      </c>
      <c r="M25">
        <f t="shared" si="17"/>
        <v>0.21275445865609799</v>
      </c>
      <c r="N25">
        <f t="shared" si="18"/>
        <v>0.26211493424608179</v>
      </c>
      <c r="O25">
        <f t="shared" si="19"/>
        <v>0.42821113312916587</v>
      </c>
    </row>
    <row r="26" spans="1:15" x14ac:dyDescent="0.2">
      <c r="A26">
        <v>2004</v>
      </c>
      <c r="B26">
        <v>2.61</v>
      </c>
      <c r="C26">
        <v>0.4</v>
      </c>
      <c r="D26">
        <v>2.14</v>
      </c>
      <c r="E26">
        <v>11.26</v>
      </c>
      <c r="F26">
        <v>15.48</v>
      </c>
      <c r="G26">
        <v>21.92</v>
      </c>
      <c r="H26">
        <f t="shared" si="13"/>
        <v>53.81</v>
      </c>
      <c r="J26">
        <f t="shared" si="14"/>
        <v>4.8503995539862475E-2</v>
      </c>
      <c r="K26">
        <f t="shared" si="15"/>
        <v>7.4335625348448241E-3</v>
      </c>
      <c r="L26">
        <f t="shared" si="16"/>
        <v>3.9769559561419809E-2</v>
      </c>
      <c r="M26">
        <f t="shared" si="17"/>
        <v>0.20925478535588179</v>
      </c>
      <c r="N26">
        <f t="shared" si="18"/>
        <v>0.28767887009849469</v>
      </c>
      <c r="O26">
        <f t="shared" si="19"/>
        <v>0.40735922690949639</v>
      </c>
    </row>
    <row r="27" spans="1:15" x14ac:dyDescent="0.2">
      <c r="A27">
        <v>2005</v>
      </c>
      <c r="B27">
        <v>2.56</v>
      </c>
      <c r="C27">
        <v>2.14</v>
      </c>
      <c r="D27">
        <v>2.14</v>
      </c>
      <c r="E27">
        <v>10.32</v>
      </c>
      <c r="F27">
        <v>15.51</v>
      </c>
      <c r="G27">
        <v>21.91</v>
      </c>
      <c r="H27">
        <f t="shared" si="13"/>
        <v>54.58</v>
      </c>
      <c r="J27">
        <f t="shared" si="14"/>
        <v>4.6903627702455111E-2</v>
      </c>
      <c r="K27">
        <f t="shared" si="15"/>
        <v>3.9208501282521076E-2</v>
      </c>
      <c r="L27">
        <f t="shared" si="16"/>
        <v>3.9208501282521076E-2</v>
      </c>
      <c r="M27">
        <f t="shared" si="17"/>
        <v>0.18908024917552219</v>
      </c>
      <c r="N27">
        <f t="shared" si="18"/>
        <v>0.28417002565042143</v>
      </c>
      <c r="O27">
        <f t="shared" si="19"/>
        <v>0.4014290949065592</v>
      </c>
    </row>
    <row r="28" spans="1:15" x14ac:dyDescent="0.2">
      <c r="A28">
        <v>2006</v>
      </c>
      <c r="B28">
        <v>2.33</v>
      </c>
      <c r="C28">
        <v>0.35</v>
      </c>
      <c r="D28">
        <v>1.93</v>
      </c>
      <c r="E28">
        <v>10.35</v>
      </c>
      <c r="F28">
        <v>16.57</v>
      </c>
      <c r="G28">
        <v>21.79</v>
      </c>
      <c r="H28">
        <f t="shared" si="13"/>
        <v>53.32</v>
      </c>
      <c r="J28">
        <f t="shared" si="14"/>
        <v>4.3698424606151538E-2</v>
      </c>
      <c r="K28">
        <f t="shared" si="15"/>
        <v>6.564141035258814E-3</v>
      </c>
      <c r="L28">
        <f t="shared" si="16"/>
        <v>3.6196549137284317E-2</v>
      </c>
      <c r="M28">
        <f t="shared" si="17"/>
        <v>0.19411102775693923</v>
      </c>
      <c r="N28">
        <f t="shared" si="18"/>
        <v>0.31076519129782448</v>
      </c>
      <c r="O28">
        <f t="shared" si="19"/>
        <v>0.40866466616654162</v>
      </c>
    </row>
    <row r="29" spans="1:15" x14ac:dyDescent="0.2">
      <c r="A29">
        <v>2007</v>
      </c>
      <c r="B29">
        <v>2.1</v>
      </c>
      <c r="C29">
        <v>0.38</v>
      </c>
      <c r="D29">
        <v>2.1</v>
      </c>
      <c r="E29">
        <v>10.61</v>
      </c>
      <c r="F29">
        <v>17.48</v>
      </c>
      <c r="G29">
        <v>19.510000000000002</v>
      </c>
      <c r="H29">
        <f t="shared" si="13"/>
        <v>52.180000000000007</v>
      </c>
      <c r="J29">
        <f t="shared" si="14"/>
        <v>4.0245304714449974E-2</v>
      </c>
      <c r="K29">
        <f t="shared" si="15"/>
        <v>7.2824837102338051E-3</v>
      </c>
      <c r="L29">
        <f t="shared" si="16"/>
        <v>4.0245304714449974E-2</v>
      </c>
      <c r="M29">
        <f t="shared" si="17"/>
        <v>0.20333461096205438</v>
      </c>
      <c r="N29">
        <f t="shared" si="18"/>
        <v>0.33499425067075506</v>
      </c>
      <c r="O29">
        <f t="shared" si="19"/>
        <v>0.3738980452280567</v>
      </c>
    </row>
    <row r="30" spans="1:15" x14ac:dyDescent="0.2">
      <c r="A30">
        <v>2008</v>
      </c>
      <c r="B30">
        <v>1.89</v>
      </c>
      <c r="C30">
        <v>0.47</v>
      </c>
      <c r="D30">
        <v>2.2000000000000002</v>
      </c>
      <c r="E30">
        <v>10.119999999999999</v>
      </c>
      <c r="F30">
        <v>18.02</v>
      </c>
      <c r="G30">
        <v>17.13</v>
      </c>
      <c r="H30">
        <f t="shared" si="13"/>
        <v>49.83</v>
      </c>
      <c r="J30">
        <f t="shared" si="14"/>
        <v>3.7928958458759786E-2</v>
      </c>
      <c r="K30">
        <f t="shared" si="15"/>
        <v>9.4320690347180405E-3</v>
      </c>
      <c r="L30">
        <f t="shared" si="16"/>
        <v>4.4150110375275942E-2</v>
      </c>
      <c r="M30">
        <f t="shared" si="17"/>
        <v>0.2030905077262693</v>
      </c>
      <c r="N30">
        <f t="shared" si="18"/>
        <v>0.36162954043748746</v>
      </c>
      <c r="O30">
        <f t="shared" si="19"/>
        <v>0.34376881396748943</v>
      </c>
    </row>
    <row r="31" spans="1:15" x14ac:dyDescent="0.2">
      <c r="A31">
        <v>2009</v>
      </c>
      <c r="B31">
        <v>1.78</v>
      </c>
      <c r="C31">
        <v>0.52</v>
      </c>
      <c r="D31">
        <v>2.23</v>
      </c>
      <c r="E31">
        <v>9.7899999999999991</v>
      </c>
      <c r="F31">
        <v>15.58</v>
      </c>
      <c r="G31">
        <v>15.58</v>
      </c>
      <c r="H31">
        <f t="shared" si="13"/>
        <v>45.48</v>
      </c>
      <c r="J31">
        <f t="shared" si="14"/>
        <v>3.913808267370273E-2</v>
      </c>
      <c r="K31">
        <f t="shared" si="15"/>
        <v>1.1433597185576079E-2</v>
      </c>
      <c r="L31">
        <f t="shared" si="16"/>
        <v>4.9032541776605106E-2</v>
      </c>
      <c r="M31">
        <f t="shared" si="17"/>
        <v>0.21525945470536501</v>
      </c>
      <c r="N31">
        <f t="shared" si="18"/>
        <v>0.34256816182937555</v>
      </c>
      <c r="O31">
        <f t="shared" si="19"/>
        <v>0.34256816182937555</v>
      </c>
    </row>
    <row r="32" spans="1:15" x14ac:dyDescent="0.2">
      <c r="A32">
        <v>2010</v>
      </c>
      <c r="B32">
        <v>1.53</v>
      </c>
      <c r="C32">
        <v>0.44</v>
      </c>
      <c r="D32">
        <v>2.19</v>
      </c>
      <c r="E32">
        <v>8.3800000000000008</v>
      </c>
      <c r="F32">
        <v>21.74</v>
      </c>
      <c r="G32">
        <v>15.24</v>
      </c>
      <c r="H32">
        <f t="shared" si="13"/>
        <v>49.52</v>
      </c>
      <c r="J32">
        <f t="shared" si="14"/>
        <v>3.0896607431340872E-2</v>
      </c>
      <c r="K32">
        <f t="shared" si="15"/>
        <v>8.8852988691437793E-3</v>
      </c>
      <c r="L32">
        <f t="shared" si="16"/>
        <v>4.4224555735056542E-2</v>
      </c>
      <c r="M32">
        <f t="shared" si="17"/>
        <v>0.16922455573505654</v>
      </c>
      <c r="N32">
        <f t="shared" si="18"/>
        <v>0.43901453957996761</v>
      </c>
      <c r="O32">
        <f t="shared" si="19"/>
        <v>0.30775444264943458</v>
      </c>
    </row>
    <row r="33" spans="1:15" x14ac:dyDescent="0.2">
      <c r="A33">
        <v>2011</v>
      </c>
      <c r="B33">
        <v>1.73</v>
      </c>
      <c r="C33">
        <v>0.54</v>
      </c>
      <c r="D33">
        <v>2.27</v>
      </c>
      <c r="E33">
        <v>8.59</v>
      </c>
      <c r="F33">
        <v>22.45</v>
      </c>
      <c r="G33">
        <v>14.89</v>
      </c>
      <c r="H33">
        <f t="shared" si="13"/>
        <v>50.47</v>
      </c>
      <c r="J33">
        <f t="shared" si="14"/>
        <v>3.4277788785417082E-2</v>
      </c>
      <c r="K33">
        <f t="shared" si="15"/>
        <v>1.0699425401228453E-2</v>
      </c>
      <c r="L33">
        <f t="shared" si="16"/>
        <v>4.4977214186645534E-2</v>
      </c>
      <c r="M33">
        <f t="shared" si="17"/>
        <v>0.17020011888250447</v>
      </c>
      <c r="N33">
        <f t="shared" si="18"/>
        <v>0.44481870418070141</v>
      </c>
      <c r="O33">
        <f t="shared" si="19"/>
        <v>0.29502674856350308</v>
      </c>
    </row>
    <row r="34" spans="1:15" x14ac:dyDescent="0.2">
      <c r="A34">
        <v>2012</v>
      </c>
      <c r="B34">
        <v>1.46</v>
      </c>
      <c r="C34">
        <v>0.57999999999999996</v>
      </c>
      <c r="D34">
        <v>2.39</v>
      </c>
      <c r="E34">
        <v>7.24</v>
      </c>
      <c r="F34">
        <v>20.3</v>
      </c>
      <c r="G34">
        <v>16.72</v>
      </c>
      <c r="H34">
        <f t="shared" si="13"/>
        <v>48.69</v>
      </c>
      <c r="J34">
        <f t="shared" si="14"/>
        <v>2.9985623331279524E-2</v>
      </c>
      <c r="K34">
        <f t="shared" si="15"/>
        <v>1.1912096939823372E-2</v>
      </c>
      <c r="L34">
        <f t="shared" si="16"/>
        <v>4.9086054631341143E-2</v>
      </c>
      <c r="M34">
        <f t="shared" si="17"/>
        <v>0.14869583076607107</v>
      </c>
      <c r="N34">
        <f t="shared" si="18"/>
        <v>0.41692339289381808</v>
      </c>
      <c r="O34">
        <f t="shared" si="19"/>
        <v>0.34339700143766688</v>
      </c>
    </row>
    <row r="35" spans="1:15" x14ac:dyDescent="0.2">
      <c r="A35">
        <v>2013</v>
      </c>
      <c r="B35">
        <v>1.34</v>
      </c>
      <c r="C35">
        <v>0.51</v>
      </c>
      <c r="D35">
        <v>2.4300000000000002</v>
      </c>
      <c r="E35">
        <v>7.29</v>
      </c>
      <c r="F35">
        <v>20.38</v>
      </c>
      <c r="G35">
        <v>17.41</v>
      </c>
      <c r="H35">
        <f t="shared" si="13"/>
        <v>49.36</v>
      </c>
      <c r="J35">
        <f t="shared" si="14"/>
        <v>2.714748784440843E-2</v>
      </c>
      <c r="K35">
        <f t="shared" si="15"/>
        <v>1.0332252836304701E-2</v>
      </c>
      <c r="L35">
        <f t="shared" si="16"/>
        <v>4.9230145867098868E-2</v>
      </c>
      <c r="M35">
        <f t="shared" si="17"/>
        <v>0.1476904376012966</v>
      </c>
      <c r="N35">
        <f t="shared" si="18"/>
        <v>0.41288492706645052</v>
      </c>
      <c r="O35">
        <f t="shared" si="19"/>
        <v>0.35271474878444087</v>
      </c>
    </row>
    <row r="36" spans="1:15" x14ac:dyDescent="0.2">
      <c r="A36">
        <v>2014</v>
      </c>
      <c r="B36">
        <v>1.32</v>
      </c>
      <c r="C36">
        <v>0.52</v>
      </c>
      <c r="D36">
        <v>2.14</v>
      </c>
      <c r="E36">
        <v>7.59</v>
      </c>
      <c r="F36">
        <v>21.13</v>
      </c>
      <c r="G36">
        <v>17.41</v>
      </c>
      <c r="H36">
        <f t="shared" si="13"/>
        <v>50.11</v>
      </c>
      <c r="J36">
        <f t="shared" si="14"/>
        <v>2.634204749550988E-2</v>
      </c>
      <c r="K36">
        <f t="shared" si="15"/>
        <v>1.0377170225503891E-2</v>
      </c>
      <c r="L36">
        <f t="shared" si="16"/>
        <v>4.270604669726602E-2</v>
      </c>
      <c r="M36">
        <f t="shared" si="17"/>
        <v>0.1514667730991818</v>
      </c>
      <c r="N36">
        <f t="shared" si="18"/>
        <v>0.42167232089403311</v>
      </c>
      <c r="O36">
        <f t="shared" si="19"/>
        <v>0.34743564158850532</v>
      </c>
    </row>
    <row r="37" spans="1:15" x14ac:dyDescent="0.2">
      <c r="A37">
        <v>2015</v>
      </c>
      <c r="B37">
        <v>1.36</v>
      </c>
      <c r="C37">
        <v>0.5</v>
      </c>
      <c r="D37">
        <v>2.23</v>
      </c>
      <c r="E37">
        <v>7.21</v>
      </c>
      <c r="F37">
        <v>20.29</v>
      </c>
      <c r="G37">
        <v>18.64</v>
      </c>
      <c r="H37">
        <f t="shared" si="13"/>
        <v>50.230000000000004</v>
      </c>
      <c r="J37">
        <f t="shared" si="14"/>
        <v>2.7075452916583715E-2</v>
      </c>
      <c r="K37">
        <f t="shared" si="15"/>
        <v>9.954210631096954E-3</v>
      </c>
      <c r="L37">
        <f t="shared" si="16"/>
        <v>4.4395779414692409E-2</v>
      </c>
      <c r="M37">
        <f t="shared" si="17"/>
        <v>0.14353971730041806</v>
      </c>
      <c r="N37">
        <f t="shared" si="18"/>
        <v>0.40394186740991433</v>
      </c>
      <c r="O37">
        <f t="shared" si="19"/>
        <v>0.37109297232729443</v>
      </c>
    </row>
    <row r="38" spans="1:15" x14ac:dyDescent="0.2">
      <c r="A38">
        <v>2016</v>
      </c>
      <c r="B38">
        <v>1.83</v>
      </c>
      <c r="C38">
        <v>0.56000000000000005</v>
      </c>
      <c r="D38">
        <v>2.1800000000000002</v>
      </c>
      <c r="E38">
        <v>7.56</v>
      </c>
      <c r="F38">
        <v>20.47</v>
      </c>
      <c r="G38">
        <v>18.600000000000001</v>
      </c>
      <c r="H38">
        <f t="shared" si="13"/>
        <v>51.199999999999996</v>
      </c>
      <c r="J38">
        <f t="shared" si="14"/>
        <v>3.5742187500000001E-2</v>
      </c>
      <c r="K38">
        <f t="shared" si="15"/>
        <v>1.0937500000000003E-2</v>
      </c>
      <c r="L38">
        <f t="shared" si="16"/>
        <v>4.2578125000000008E-2</v>
      </c>
      <c r="M38">
        <f t="shared" si="17"/>
        <v>0.14765625000000002</v>
      </c>
      <c r="N38">
        <f t="shared" si="18"/>
        <v>0.39980468750000003</v>
      </c>
      <c r="O38">
        <f t="shared" si="19"/>
        <v>0.36328125000000006</v>
      </c>
    </row>
    <row r="39" spans="1:15" x14ac:dyDescent="0.2">
      <c r="A39">
        <v>2017</v>
      </c>
      <c r="B39">
        <v>1.7</v>
      </c>
      <c r="C39">
        <v>0.64</v>
      </c>
      <c r="D39">
        <v>2.2200000000000002</v>
      </c>
      <c r="E39">
        <v>7.48</v>
      </c>
      <c r="F39">
        <v>21.48</v>
      </c>
      <c r="G39">
        <v>17.68</v>
      </c>
      <c r="H39">
        <f t="shared" si="13"/>
        <v>51.2</v>
      </c>
      <c r="J39">
        <f t="shared" si="14"/>
        <v>3.3203125E-2</v>
      </c>
      <c r="K39">
        <f t="shared" si="15"/>
        <v>1.2499999999999999E-2</v>
      </c>
      <c r="L39">
        <f t="shared" si="16"/>
        <v>4.3359374999999999E-2</v>
      </c>
      <c r="M39">
        <f t="shared" si="17"/>
        <v>0.14609374999999999</v>
      </c>
      <c r="N39">
        <f t="shared" si="18"/>
        <v>0.41953124999999997</v>
      </c>
      <c r="O39">
        <f t="shared" si="19"/>
        <v>0.34531249999999997</v>
      </c>
    </row>
    <row r="40" spans="1:15" x14ac:dyDescent="0.2">
      <c r="A40">
        <v>2018</v>
      </c>
      <c r="B40">
        <v>1.59</v>
      </c>
      <c r="C40">
        <v>0.5</v>
      </c>
      <c r="D40">
        <v>2.19</v>
      </c>
      <c r="E40">
        <v>8.66</v>
      </c>
      <c r="F40">
        <v>22.16</v>
      </c>
      <c r="G40">
        <v>17.46</v>
      </c>
      <c r="H40">
        <f t="shared" si="13"/>
        <v>52.56</v>
      </c>
      <c r="J40">
        <f t="shared" si="14"/>
        <v>3.0251141552511417E-2</v>
      </c>
      <c r="K40">
        <f t="shared" si="15"/>
        <v>9.5129375951293754E-3</v>
      </c>
      <c r="L40">
        <f t="shared" si="16"/>
        <v>4.1666666666666664E-2</v>
      </c>
      <c r="M40">
        <f t="shared" si="17"/>
        <v>0.1647640791476408</v>
      </c>
      <c r="N40">
        <f t="shared" si="18"/>
        <v>0.42161339421613392</v>
      </c>
      <c r="O40">
        <f t="shared" si="19"/>
        <v>0.3321917808219178</v>
      </c>
    </row>
    <row r="41" spans="1:15" x14ac:dyDescent="0.2">
      <c r="A41">
        <v>2019</v>
      </c>
      <c r="B41">
        <v>1.66</v>
      </c>
      <c r="C41">
        <v>0.56999999999999995</v>
      </c>
      <c r="D41">
        <v>2.02</v>
      </c>
      <c r="E41">
        <v>8</v>
      </c>
      <c r="F41">
        <v>21.82</v>
      </c>
      <c r="G41">
        <v>18.27</v>
      </c>
      <c r="H41">
        <f t="shared" si="13"/>
        <v>52.34</v>
      </c>
      <c r="J41">
        <f t="shared" si="14"/>
        <v>3.1715705005731752E-2</v>
      </c>
      <c r="K41">
        <f t="shared" si="15"/>
        <v>1.0890332441727166E-2</v>
      </c>
      <c r="L41">
        <f t="shared" si="16"/>
        <v>3.8593809705769963E-2</v>
      </c>
      <c r="M41">
        <f t="shared" si="17"/>
        <v>0.15284677111196024</v>
      </c>
      <c r="N41">
        <f t="shared" si="18"/>
        <v>0.4168895682078716</v>
      </c>
      <c r="O41">
        <f t="shared" si="19"/>
        <v>0.34906381352693922</v>
      </c>
    </row>
    <row r="42" spans="1:15" x14ac:dyDescent="0.2">
      <c r="A42">
        <v>2020</v>
      </c>
      <c r="B42">
        <v>1.76</v>
      </c>
      <c r="C42">
        <v>1</v>
      </c>
      <c r="D42">
        <v>2.41</v>
      </c>
      <c r="E42">
        <v>10.42</v>
      </c>
      <c r="F42">
        <v>32.880000000000003</v>
      </c>
      <c r="G42">
        <v>22.32</v>
      </c>
      <c r="H42">
        <f t="shared" si="13"/>
        <v>70.789999999999992</v>
      </c>
      <c r="J42">
        <f t="shared" si="14"/>
        <v>2.4862268682017238E-2</v>
      </c>
      <c r="K42">
        <f t="shared" si="15"/>
        <v>1.4126289023873429E-2</v>
      </c>
      <c r="L42">
        <f t="shared" si="16"/>
        <v>3.4044356547534967E-2</v>
      </c>
      <c r="M42">
        <f t="shared" si="17"/>
        <v>0.14719593162876113</v>
      </c>
      <c r="N42">
        <f t="shared" si="18"/>
        <v>0.46447238310495842</v>
      </c>
      <c r="O42">
        <f t="shared" si="19"/>
        <v>0.31529877101285497</v>
      </c>
    </row>
    <row r="43" spans="1:15" x14ac:dyDescent="0.2">
      <c r="A43">
        <v>2021</v>
      </c>
      <c r="B43">
        <v>1.26</v>
      </c>
      <c r="C43">
        <v>0.62</v>
      </c>
      <c r="D43">
        <v>1.91</v>
      </c>
      <c r="E43">
        <v>7.64</v>
      </c>
      <c r="F43">
        <v>24.35</v>
      </c>
      <c r="G43">
        <v>15.93</v>
      </c>
      <c r="H43">
        <f t="shared" si="13"/>
        <v>51.71</v>
      </c>
      <c r="J43">
        <f t="shared" si="14"/>
        <v>2.4366660220460259E-2</v>
      </c>
      <c r="K43">
        <f t="shared" si="15"/>
        <v>1.1989943918004254E-2</v>
      </c>
      <c r="L43">
        <f t="shared" si="16"/>
        <v>3.6936762715142138E-2</v>
      </c>
      <c r="M43">
        <f t="shared" si="17"/>
        <v>0.14774705086056855</v>
      </c>
      <c r="N43">
        <f t="shared" si="18"/>
        <v>0.47089537807000581</v>
      </c>
      <c r="O43">
        <f t="shared" si="19"/>
        <v>0.30806420421581898</v>
      </c>
    </row>
    <row r="44" spans="1:15" x14ac:dyDescent="0.2">
      <c r="A44">
        <v>2022</v>
      </c>
      <c r="B44">
        <v>1.32</v>
      </c>
      <c r="C44">
        <v>0.67</v>
      </c>
      <c r="D44">
        <v>2.12</v>
      </c>
      <c r="E44">
        <v>8.66</v>
      </c>
      <c r="F44">
        <v>21.74</v>
      </c>
      <c r="G44">
        <v>17.41</v>
      </c>
      <c r="H44">
        <f t="shared" si="13"/>
        <v>51.92</v>
      </c>
      <c r="J44">
        <f t="shared" si="14"/>
        <v>2.5423728813559324E-2</v>
      </c>
      <c r="K44">
        <f t="shared" si="15"/>
        <v>1.2904468412942989E-2</v>
      </c>
      <c r="L44">
        <f t="shared" si="16"/>
        <v>4.0832049306625581E-2</v>
      </c>
      <c r="M44">
        <f t="shared" si="17"/>
        <v>0.1667950693374422</v>
      </c>
      <c r="N44">
        <f t="shared" si="18"/>
        <v>0.41872110939907548</v>
      </c>
      <c r="O44">
        <f t="shared" si="19"/>
        <v>0.3353235747303544</v>
      </c>
    </row>
    <row r="45" spans="1:15" x14ac:dyDescent="0.2">
      <c r="A45">
        <v>2023</v>
      </c>
      <c r="B45">
        <v>1.18</v>
      </c>
      <c r="C45">
        <v>0.93</v>
      </c>
      <c r="D45">
        <v>2.2799999999999998</v>
      </c>
      <c r="E45">
        <v>8.33</v>
      </c>
      <c r="F45">
        <v>19.93</v>
      </c>
      <c r="G45">
        <v>18.260000000000002</v>
      </c>
      <c r="H45">
        <f t="shared" si="13"/>
        <v>50.91</v>
      </c>
      <c r="J45">
        <f t="shared" si="14"/>
        <v>2.31781575329012E-2</v>
      </c>
      <c r="K45">
        <f t="shared" si="15"/>
        <v>1.8267530936947558E-2</v>
      </c>
      <c r="L45">
        <f t="shared" si="16"/>
        <v>4.4784914555097227E-2</v>
      </c>
      <c r="M45">
        <f t="shared" si="17"/>
        <v>0.16362207817717542</v>
      </c>
      <c r="N45">
        <f t="shared" si="18"/>
        <v>0.39147515222942447</v>
      </c>
      <c r="O45">
        <f t="shared" si="19"/>
        <v>0.35867216656845419</v>
      </c>
    </row>
    <row r="46" spans="1:15" x14ac:dyDescent="0.2">
      <c r="A46">
        <v>2024</v>
      </c>
      <c r="B46">
        <v>1.07</v>
      </c>
      <c r="C46">
        <v>0.95</v>
      </c>
      <c r="D46">
        <v>2.2000000000000002</v>
      </c>
      <c r="E46">
        <v>8.6</v>
      </c>
      <c r="F46">
        <v>19.48</v>
      </c>
      <c r="G46">
        <v>18.46</v>
      </c>
      <c r="H46">
        <f t="shared" si="13"/>
        <v>50.76</v>
      </c>
      <c r="J46">
        <f t="shared" si="14"/>
        <v>2.1079590228526401E-2</v>
      </c>
      <c r="K46">
        <f t="shared" si="15"/>
        <v>1.871552403467297E-2</v>
      </c>
      <c r="L46">
        <f t="shared" si="16"/>
        <v>4.3341213553979518E-2</v>
      </c>
      <c r="M46">
        <f t="shared" si="17"/>
        <v>0.16942474389282899</v>
      </c>
      <c r="N46">
        <f t="shared" si="18"/>
        <v>0.38376674546887313</v>
      </c>
      <c r="O46">
        <f t="shared" si="19"/>
        <v>0.36367218282111902</v>
      </c>
    </row>
    <row r="47" spans="1:15" x14ac:dyDescent="0.2">
      <c r="A47">
        <v>2025</v>
      </c>
      <c r="B47">
        <v>1.41</v>
      </c>
      <c r="C47">
        <v>1.04</v>
      </c>
      <c r="D47">
        <v>1.89</v>
      </c>
      <c r="E47">
        <v>8.76</v>
      </c>
      <c r="F47">
        <v>19</v>
      </c>
      <c r="G47">
        <v>17.82</v>
      </c>
      <c r="H47">
        <f t="shared" si="13"/>
        <v>49.92</v>
      </c>
      <c r="J47">
        <f t="shared" si="14"/>
        <v>2.8245192307692304E-2</v>
      </c>
      <c r="K47">
        <f t="shared" si="15"/>
        <v>2.0833333333333332E-2</v>
      </c>
      <c r="L47">
        <f t="shared" si="16"/>
        <v>3.786057692307692E-2</v>
      </c>
      <c r="M47">
        <f t="shared" si="17"/>
        <v>0.17548076923076922</v>
      </c>
      <c r="N47">
        <f t="shared" si="18"/>
        <v>0.38060897435897434</v>
      </c>
      <c r="O47">
        <f t="shared" si="19"/>
        <v>0.35697115384615385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15C2-213F-0B48-BB4E-989E6413DA58}">
  <dimension ref="A1:G47"/>
  <sheetViews>
    <sheetView workbookViewId="0">
      <selection activeCell="I21" sqref="I2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9</v>
      </c>
    </row>
    <row r="2" spans="1:7" x14ac:dyDescent="0.2">
      <c r="A2">
        <v>1980</v>
      </c>
    </row>
    <row r="3" spans="1:7" x14ac:dyDescent="0.2">
      <c r="A3">
        <v>1981</v>
      </c>
    </row>
    <row r="4" spans="1:7" x14ac:dyDescent="0.2">
      <c r="A4">
        <v>1982</v>
      </c>
    </row>
    <row r="5" spans="1:7" x14ac:dyDescent="0.2">
      <c r="A5">
        <v>1983</v>
      </c>
    </row>
    <row r="6" spans="1:7" x14ac:dyDescent="0.2">
      <c r="A6">
        <v>1984</v>
      </c>
    </row>
    <row r="7" spans="1:7" x14ac:dyDescent="0.2">
      <c r="A7">
        <v>1985</v>
      </c>
    </row>
    <row r="8" spans="1:7" x14ac:dyDescent="0.2">
      <c r="A8">
        <v>1986</v>
      </c>
    </row>
    <row r="9" spans="1:7" x14ac:dyDescent="0.2">
      <c r="A9">
        <v>1987</v>
      </c>
    </row>
    <row r="10" spans="1:7" x14ac:dyDescent="0.2">
      <c r="A10">
        <v>1988</v>
      </c>
    </row>
    <row r="11" spans="1:7" x14ac:dyDescent="0.2">
      <c r="A11">
        <v>1989</v>
      </c>
    </row>
    <row r="12" spans="1:7" x14ac:dyDescent="0.2">
      <c r="A12">
        <v>1990</v>
      </c>
      <c r="B12">
        <v>4.5241143832693134E-2</v>
      </c>
      <c r="C12">
        <v>1.4084507042253523E-2</v>
      </c>
      <c r="D12">
        <v>3.6989614454403193E-2</v>
      </c>
      <c r="E12">
        <v>0.23787167449139282</v>
      </c>
      <c r="F12">
        <v>0.23787167449139282</v>
      </c>
      <c r="G12">
        <v>0.42794138568786461</v>
      </c>
    </row>
    <row r="13" spans="1:7" x14ac:dyDescent="0.2">
      <c r="A13">
        <v>1991</v>
      </c>
      <c r="B13">
        <v>6.4745577238737917E-2</v>
      </c>
      <c r="C13">
        <v>1.5684844063468904E-2</v>
      </c>
      <c r="D13">
        <v>4.0671165420390301E-2</v>
      </c>
      <c r="E13">
        <v>0.3084078059456502</v>
      </c>
      <c r="F13">
        <v>5.4532190406711659E-2</v>
      </c>
      <c r="G13">
        <v>0.51595841692504107</v>
      </c>
    </row>
    <row r="14" spans="1:7" x14ac:dyDescent="0.2">
      <c r="A14">
        <v>1992</v>
      </c>
      <c r="B14">
        <v>6.7039106145251395E-2</v>
      </c>
      <c r="C14">
        <v>1.452513966480447E-2</v>
      </c>
      <c r="D14">
        <v>4.1527001862197391E-2</v>
      </c>
      <c r="E14">
        <v>0.2988826815642458</v>
      </c>
      <c r="F14">
        <v>6.9832402234636867E-2</v>
      </c>
      <c r="G14">
        <v>0.50819366852886405</v>
      </c>
    </row>
    <row r="15" spans="1:7" x14ac:dyDescent="0.2">
      <c r="A15">
        <v>1993</v>
      </c>
      <c r="B15">
        <v>6.0047453914947986E-2</v>
      </c>
      <c r="C15">
        <v>1.0950903449534586E-2</v>
      </c>
      <c r="D15">
        <v>4.179594816572367E-2</v>
      </c>
      <c r="E15">
        <v>0.25971892681146197</v>
      </c>
      <c r="F15">
        <v>0.10932651943785363</v>
      </c>
      <c r="G15">
        <v>0.51816024822047824</v>
      </c>
    </row>
    <row r="16" spans="1:7" x14ac:dyDescent="0.2">
      <c r="A16">
        <v>1994</v>
      </c>
      <c r="B16">
        <v>5.9996238480346055E-2</v>
      </c>
      <c r="C16">
        <v>1.0156103065638519E-2</v>
      </c>
      <c r="D16">
        <v>4.3069400037615196E-2</v>
      </c>
      <c r="E16">
        <v>0.23058115478653374</v>
      </c>
      <c r="F16">
        <v>0.11604288132405491</v>
      </c>
      <c r="G16">
        <v>0.54015422230581156</v>
      </c>
    </row>
    <row r="17" spans="1:7" x14ac:dyDescent="0.2">
      <c r="A17">
        <v>1995</v>
      </c>
      <c r="B17">
        <v>6.2634566451360341E-2</v>
      </c>
      <c r="C17">
        <v>1.0373850068506557E-2</v>
      </c>
      <c r="D17">
        <v>4.0125269132902715E-2</v>
      </c>
      <c r="E17">
        <v>0.24427480916030533</v>
      </c>
      <c r="F17">
        <v>0.11939714229790564</v>
      </c>
      <c r="G17">
        <v>0.52319436288901933</v>
      </c>
    </row>
    <row r="18" spans="1:7" x14ac:dyDescent="0.2">
      <c r="A18">
        <v>1996</v>
      </c>
      <c r="B18">
        <v>6.146897093479968E-2</v>
      </c>
      <c r="C18">
        <v>9.2301649646504315E-3</v>
      </c>
      <c r="D18">
        <v>3.8491751767478398E-2</v>
      </c>
      <c r="E18">
        <v>0.24626865671641787</v>
      </c>
      <c r="F18">
        <v>0.12784760408483895</v>
      </c>
      <c r="G18">
        <v>0.51669285153181455</v>
      </c>
    </row>
    <row r="19" spans="1:7" x14ac:dyDescent="0.2">
      <c r="A19">
        <v>1997</v>
      </c>
      <c r="B19">
        <v>6.5092165898617521E-2</v>
      </c>
      <c r="C19">
        <v>9.0245775729646694E-3</v>
      </c>
      <c r="D19">
        <v>3.9362519201228879E-2</v>
      </c>
      <c r="E19">
        <v>0.23886328725038403</v>
      </c>
      <c r="F19">
        <v>0.12250384024577574</v>
      </c>
      <c r="G19">
        <v>0.52515360983102921</v>
      </c>
    </row>
    <row r="20" spans="1:7" x14ac:dyDescent="0.2">
      <c r="A20">
        <v>1998</v>
      </c>
      <c r="B20">
        <v>6.5070275897969806E-2</v>
      </c>
      <c r="C20">
        <v>8.6760367863959742E-3</v>
      </c>
      <c r="D20">
        <v>3.8001041124414367E-2</v>
      </c>
      <c r="E20">
        <v>0.25663716814159293</v>
      </c>
      <c r="F20">
        <v>0.11660593440916189</v>
      </c>
      <c r="G20">
        <v>0.51500954364046503</v>
      </c>
    </row>
    <row r="21" spans="1:7" x14ac:dyDescent="0.2">
      <c r="A21">
        <v>1999</v>
      </c>
      <c r="B21">
        <v>6.0295395308427459E-2</v>
      </c>
      <c r="C21">
        <v>8.8618592528236315E-3</v>
      </c>
      <c r="D21">
        <v>3.7706342311033883E-2</v>
      </c>
      <c r="E21">
        <v>0.23857515204170288</v>
      </c>
      <c r="F21">
        <v>0.1317115551694179</v>
      </c>
      <c r="G21">
        <v>0.52284969591659425</v>
      </c>
    </row>
    <row r="22" spans="1:7" x14ac:dyDescent="0.2">
      <c r="A22">
        <v>2000</v>
      </c>
      <c r="B22">
        <v>5.5444826961406055E-2</v>
      </c>
      <c r="C22">
        <v>8.3348432687081007E-3</v>
      </c>
      <c r="D22">
        <v>3.3520565319804317E-2</v>
      </c>
      <c r="E22">
        <v>0.22268526907048378</v>
      </c>
      <c r="F22">
        <v>0.14785287189708282</v>
      </c>
      <c r="G22">
        <v>0.53216162348251494</v>
      </c>
    </row>
    <row r="23" spans="1:7" x14ac:dyDescent="0.2">
      <c r="A23">
        <v>2001</v>
      </c>
      <c r="B23">
        <v>5.378061767838125E-2</v>
      </c>
      <c r="C23">
        <v>7.9872204472843447E-3</v>
      </c>
      <c r="D23">
        <v>3.3368832090876814E-2</v>
      </c>
      <c r="E23">
        <v>0.21405750798722045</v>
      </c>
      <c r="F23">
        <v>0.17145899893503727</v>
      </c>
      <c r="G23">
        <v>0.51934682286119982</v>
      </c>
    </row>
    <row r="24" spans="1:7" x14ac:dyDescent="0.2">
      <c r="A24">
        <v>2002</v>
      </c>
      <c r="B24">
        <v>4.9748563218390801E-2</v>
      </c>
      <c r="C24">
        <v>7.0043103448275855E-3</v>
      </c>
      <c r="D24">
        <v>3.6099137931034475E-2</v>
      </c>
      <c r="E24">
        <v>0.20132902298850575</v>
      </c>
      <c r="F24">
        <v>0.21192528735632182</v>
      </c>
      <c r="G24">
        <v>0.4938936781609195</v>
      </c>
    </row>
    <row r="25" spans="1:7" x14ac:dyDescent="0.2">
      <c r="A25">
        <v>2003</v>
      </c>
      <c r="B25">
        <v>4.9900918753377765E-2</v>
      </c>
      <c r="C25">
        <v>7.3860565663844344E-3</v>
      </c>
      <c r="D25">
        <v>3.9632498648892088E-2</v>
      </c>
      <c r="E25">
        <v>0.21275445865609799</v>
      </c>
      <c r="F25">
        <v>0.26211493424608179</v>
      </c>
      <c r="G25">
        <v>0.42821113312916587</v>
      </c>
    </row>
    <row r="26" spans="1:7" x14ac:dyDescent="0.2">
      <c r="A26">
        <v>2004</v>
      </c>
      <c r="B26">
        <v>4.8503995539862475E-2</v>
      </c>
      <c r="C26">
        <v>7.4335625348448241E-3</v>
      </c>
      <c r="D26">
        <v>3.9769559561419809E-2</v>
      </c>
      <c r="E26">
        <v>0.20925478535588179</v>
      </c>
      <c r="F26">
        <v>0.28767887009849469</v>
      </c>
      <c r="G26">
        <v>0.40735922690949639</v>
      </c>
    </row>
    <row r="27" spans="1:7" x14ac:dyDescent="0.2">
      <c r="A27">
        <v>2005</v>
      </c>
      <c r="B27">
        <v>4.6903627702455111E-2</v>
      </c>
      <c r="C27">
        <v>3.9208501282521076E-2</v>
      </c>
      <c r="D27">
        <v>3.9208501282521076E-2</v>
      </c>
      <c r="E27">
        <v>0.18908024917552219</v>
      </c>
      <c r="F27">
        <v>0.28417002565042143</v>
      </c>
      <c r="G27">
        <v>0.4014290949065592</v>
      </c>
    </row>
    <row r="28" spans="1:7" x14ac:dyDescent="0.2">
      <c r="A28">
        <v>2006</v>
      </c>
      <c r="B28">
        <v>4.3698424606151538E-2</v>
      </c>
      <c r="C28">
        <v>6.564141035258814E-3</v>
      </c>
      <c r="D28">
        <v>3.6196549137284317E-2</v>
      </c>
      <c r="E28">
        <v>0.19411102775693923</v>
      </c>
      <c r="F28">
        <v>0.31076519129782448</v>
      </c>
      <c r="G28">
        <v>0.40866466616654162</v>
      </c>
    </row>
    <row r="29" spans="1:7" x14ac:dyDescent="0.2">
      <c r="A29">
        <v>2007</v>
      </c>
      <c r="B29">
        <v>4.0245304714449974E-2</v>
      </c>
      <c r="C29">
        <v>7.2824837102338051E-3</v>
      </c>
      <c r="D29">
        <v>4.0245304714449974E-2</v>
      </c>
      <c r="E29">
        <v>0.20333461096205438</v>
      </c>
      <c r="F29">
        <v>0.33499425067075506</v>
      </c>
      <c r="G29">
        <v>0.3738980452280567</v>
      </c>
    </row>
    <row r="30" spans="1:7" x14ac:dyDescent="0.2">
      <c r="A30">
        <v>2008</v>
      </c>
      <c r="B30">
        <v>3.7928958458759786E-2</v>
      </c>
      <c r="C30">
        <v>9.4320690347180405E-3</v>
      </c>
      <c r="D30">
        <v>4.4150110375275942E-2</v>
      </c>
      <c r="E30">
        <v>0.2030905077262693</v>
      </c>
      <c r="F30">
        <v>0.36162954043748746</v>
      </c>
      <c r="G30">
        <v>0.34376881396748943</v>
      </c>
    </row>
    <row r="31" spans="1:7" x14ac:dyDescent="0.2">
      <c r="A31">
        <v>2009</v>
      </c>
      <c r="B31">
        <v>3.913808267370273E-2</v>
      </c>
      <c r="C31">
        <v>1.1433597185576079E-2</v>
      </c>
      <c r="D31">
        <v>4.9032541776605106E-2</v>
      </c>
      <c r="E31">
        <v>0.21525945470536501</v>
      </c>
      <c r="F31">
        <v>0.34256816182937555</v>
      </c>
      <c r="G31">
        <v>0.34256816182937555</v>
      </c>
    </row>
    <row r="32" spans="1:7" x14ac:dyDescent="0.2">
      <c r="A32">
        <v>2010</v>
      </c>
      <c r="B32">
        <v>3.0896607431340872E-2</v>
      </c>
      <c r="C32">
        <v>8.8852988691437793E-3</v>
      </c>
      <c r="D32">
        <v>4.4224555735056542E-2</v>
      </c>
      <c r="E32">
        <v>0.16922455573505654</v>
      </c>
      <c r="F32">
        <v>0.43901453957996761</v>
      </c>
      <c r="G32">
        <v>0.30775444264943458</v>
      </c>
    </row>
    <row r="33" spans="1:7" x14ac:dyDescent="0.2">
      <c r="A33">
        <v>2011</v>
      </c>
      <c r="B33">
        <v>3.4277788785417082E-2</v>
      </c>
      <c r="C33">
        <v>1.0699425401228453E-2</v>
      </c>
      <c r="D33">
        <v>4.4977214186645534E-2</v>
      </c>
      <c r="E33">
        <v>0.17020011888250447</v>
      </c>
      <c r="F33">
        <v>0.44481870418070141</v>
      </c>
      <c r="G33">
        <v>0.29502674856350308</v>
      </c>
    </row>
    <row r="34" spans="1:7" x14ac:dyDescent="0.2">
      <c r="A34">
        <v>2012</v>
      </c>
      <c r="B34">
        <v>2.9985623331279524E-2</v>
      </c>
      <c r="C34">
        <v>1.1912096939823372E-2</v>
      </c>
      <c r="D34">
        <v>4.9086054631341143E-2</v>
      </c>
      <c r="E34">
        <v>0.14869583076607107</v>
      </c>
      <c r="F34">
        <v>0.41692339289381808</v>
      </c>
      <c r="G34">
        <v>0.34339700143766688</v>
      </c>
    </row>
    <row r="35" spans="1:7" x14ac:dyDescent="0.2">
      <c r="A35">
        <v>2013</v>
      </c>
      <c r="B35">
        <v>2.714748784440843E-2</v>
      </c>
      <c r="C35">
        <v>1.0332252836304701E-2</v>
      </c>
      <c r="D35">
        <v>4.9230145867098868E-2</v>
      </c>
      <c r="E35">
        <v>0.1476904376012966</v>
      </c>
      <c r="F35">
        <v>0.41288492706645052</v>
      </c>
      <c r="G35">
        <v>0.35271474878444087</v>
      </c>
    </row>
    <row r="36" spans="1:7" x14ac:dyDescent="0.2">
      <c r="A36">
        <v>2014</v>
      </c>
      <c r="B36">
        <v>2.634204749550988E-2</v>
      </c>
      <c r="C36">
        <v>1.0377170225503891E-2</v>
      </c>
      <c r="D36">
        <v>4.270604669726602E-2</v>
      </c>
      <c r="E36">
        <v>0.1514667730991818</v>
      </c>
      <c r="F36">
        <v>0.42167232089403311</v>
      </c>
      <c r="G36">
        <v>0.34743564158850532</v>
      </c>
    </row>
    <row r="37" spans="1:7" x14ac:dyDescent="0.2">
      <c r="A37">
        <v>2015</v>
      </c>
      <c r="B37">
        <v>2.7075452916583715E-2</v>
      </c>
      <c r="C37">
        <v>9.954210631096954E-3</v>
      </c>
      <c r="D37">
        <v>4.4395779414692409E-2</v>
      </c>
      <c r="E37">
        <v>0.14353971730041806</v>
      </c>
      <c r="F37">
        <v>0.40394186740991433</v>
      </c>
      <c r="G37">
        <v>0.37109297232729443</v>
      </c>
    </row>
    <row r="38" spans="1:7" x14ac:dyDescent="0.2">
      <c r="A38">
        <v>2016</v>
      </c>
      <c r="B38">
        <v>3.5742187500000001E-2</v>
      </c>
      <c r="C38">
        <v>1.0937500000000003E-2</v>
      </c>
      <c r="D38">
        <v>4.2578125000000008E-2</v>
      </c>
      <c r="E38">
        <v>0.14765625000000002</v>
      </c>
      <c r="F38">
        <v>0.39980468750000003</v>
      </c>
      <c r="G38">
        <v>0.36328125000000006</v>
      </c>
    </row>
    <row r="39" spans="1:7" x14ac:dyDescent="0.2">
      <c r="A39">
        <v>2017</v>
      </c>
      <c r="B39">
        <v>3.3203125E-2</v>
      </c>
      <c r="C39">
        <v>1.2499999999999999E-2</v>
      </c>
      <c r="D39">
        <v>4.3359374999999999E-2</v>
      </c>
      <c r="E39">
        <v>0.14609374999999999</v>
      </c>
      <c r="F39">
        <v>0.41953124999999997</v>
      </c>
      <c r="G39">
        <v>0.34531249999999997</v>
      </c>
    </row>
    <row r="40" spans="1:7" x14ac:dyDescent="0.2">
      <c r="A40">
        <v>2018</v>
      </c>
      <c r="B40">
        <v>3.0251141552511417E-2</v>
      </c>
      <c r="C40">
        <v>9.5129375951293754E-3</v>
      </c>
      <c r="D40">
        <v>4.1666666666666664E-2</v>
      </c>
      <c r="E40">
        <v>0.1647640791476408</v>
      </c>
      <c r="F40">
        <v>0.42161339421613392</v>
      </c>
      <c r="G40">
        <v>0.3321917808219178</v>
      </c>
    </row>
    <row r="41" spans="1:7" x14ac:dyDescent="0.2">
      <c r="A41">
        <v>2019</v>
      </c>
      <c r="B41">
        <v>3.1715705005731752E-2</v>
      </c>
      <c r="C41">
        <v>1.0890332441727166E-2</v>
      </c>
      <c r="D41">
        <v>3.8593809705769963E-2</v>
      </c>
      <c r="E41">
        <v>0.15284677111196024</v>
      </c>
      <c r="F41">
        <v>0.4168895682078716</v>
      </c>
      <c r="G41">
        <v>0.34906381352693922</v>
      </c>
    </row>
    <row r="42" spans="1:7" x14ac:dyDescent="0.2">
      <c r="A42">
        <v>2020</v>
      </c>
      <c r="B42">
        <v>2.4862268682017238E-2</v>
      </c>
      <c r="C42">
        <v>1.4126289023873429E-2</v>
      </c>
      <c r="D42">
        <v>3.4044356547534967E-2</v>
      </c>
      <c r="E42">
        <v>0.14719593162876113</v>
      </c>
      <c r="F42">
        <v>0.46447238310495842</v>
      </c>
      <c r="G42">
        <v>0.31529877101285497</v>
      </c>
    </row>
    <row r="43" spans="1:7" x14ac:dyDescent="0.2">
      <c r="A43">
        <v>2021</v>
      </c>
      <c r="B43">
        <v>2.4366660220460259E-2</v>
      </c>
      <c r="C43">
        <v>1.1989943918004254E-2</v>
      </c>
      <c r="D43">
        <v>3.6936762715142138E-2</v>
      </c>
      <c r="E43">
        <v>0.14774705086056855</v>
      </c>
      <c r="F43">
        <v>0.47089537807000581</v>
      </c>
      <c r="G43">
        <v>0.30806420421581898</v>
      </c>
    </row>
    <row r="44" spans="1:7" x14ac:dyDescent="0.2">
      <c r="A44">
        <v>2022</v>
      </c>
      <c r="B44">
        <v>2.5423728813559324E-2</v>
      </c>
      <c r="C44">
        <v>1.2904468412942989E-2</v>
      </c>
      <c r="D44">
        <v>4.0832049306625581E-2</v>
      </c>
      <c r="E44">
        <v>0.1667950693374422</v>
      </c>
      <c r="F44">
        <v>0.41872110939907548</v>
      </c>
      <c r="G44">
        <v>0.3353235747303544</v>
      </c>
    </row>
    <row r="45" spans="1:7" x14ac:dyDescent="0.2">
      <c r="A45">
        <v>2023</v>
      </c>
      <c r="B45">
        <v>2.31781575329012E-2</v>
      </c>
      <c r="C45">
        <v>1.8267530936947558E-2</v>
      </c>
      <c r="D45">
        <v>4.4784914555097227E-2</v>
      </c>
      <c r="E45">
        <v>0.16362207817717542</v>
      </c>
      <c r="F45">
        <v>0.39147515222942447</v>
      </c>
      <c r="G45">
        <v>0.35867216656845419</v>
      </c>
    </row>
    <row r="46" spans="1:7" x14ac:dyDescent="0.2">
      <c r="A46">
        <v>2024</v>
      </c>
      <c r="B46">
        <v>2.1079590228526401E-2</v>
      </c>
      <c r="C46">
        <v>1.871552403467297E-2</v>
      </c>
      <c r="D46">
        <v>4.3341213553979518E-2</v>
      </c>
      <c r="E46">
        <v>0.16942474389282899</v>
      </c>
      <c r="F46">
        <v>0.38376674546887313</v>
      </c>
      <c r="G46">
        <v>0.36367218282111902</v>
      </c>
    </row>
    <row r="47" spans="1:7" x14ac:dyDescent="0.2">
      <c r="A47">
        <v>2025</v>
      </c>
      <c r="B47">
        <v>2.8245192307692304E-2</v>
      </c>
      <c r="C47">
        <v>2.0833333333333332E-2</v>
      </c>
      <c r="D47">
        <v>3.786057692307692E-2</v>
      </c>
      <c r="E47">
        <v>0.17548076923076922</v>
      </c>
      <c r="F47">
        <v>0.38060897435897434</v>
      </c>
      <c r="G47">
        <v>0.35697115384615385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4941-75A9-334C-87EF-3E1A09FB9586}">
  <dimension ref="A1:O47"/>
  <sheetViews>
    <sheetView workbookViewId="0">
      <selection activeCell="J12" sqref="J12:O2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7</v>
      </c>
      <c r="J1" t="s">
        <v>1</v>
      </c>
      <c r="K1" t="s">
        <v>3</v>
      </c>
      <c r="L1" t="s">
        <v>4</v>
      </c>
      <c r="M1" t="s">
        <v>5</v>
      </c>
      <c r="N1" t="s">
        <v>6</v>
      </c>
      <c r="O1" t="s">
        <v>9</v>
      </c>
    </row>
    <row r="2" spans="1:15" x14ac:dyDescent="0.2">
      <c r="A2">
        <v>1980</v>
      </c>
    </row>
    <row r="3" spans="1:15" x14ac:dyDescent="0.2">
      <c r="A3">
        <v>1981</v>
      </c>
    </row>
    <row r="4" spans="1:15" x14ac:dyDescent="0.2">
      <c r="A4">
        <v>1982</v>
      </c>
    </row>
    <row r="5" spans="1:15" x14ac:dyDescent="0.2">
      <c r="A5">
        <v>1983</v>
      </c>
    </row>
    <row r="6" spans="1:15" x14ac:dyDescent="0.2">
      <c r="A6">
        <v>1984</v>
      </c>
    </row>
    <row r="7" spans="1:15" x14ac:dyDescent="0.2">
      <c r="A7">
        <v>1985</v>
      </c>
    </row>
    <row r="8" spans="1:15" x14ac:dyDescent="0.2">
      <c r="A8">
        <v>1986</v>
      </c>
    </row>
    <row r="9" spans="1:15" x14ac:dyDescent="0.2">
      <c r="A9">
        <v>1987</v>
      </c>
    </row>
    <row r="10" spans="1:15" x14ac:dyDescent="0.2">
      <c r="A10">
        <v>1988</v>
      </c>
    </row>
    <row r="11" spans="1:15" x14ac:dyDescent="0.2">
      <c r="A11">
        <v>1989</v>
      </c>
    </row>
    <row r="12" spans="1:15" x14ac:dyDescent="0.2">
      <c r="A12">
        <v>1990</v>
      </c>
      <c r="B12">
        <v>9.94</v>
      </c>
      <c r="C12">
        <v>5.43</v>
      </c>
      <c r="D12">
        <v>0.73</v>
      </c>
      <c r="E12">
        <v>50.01</v>
      </c>
      <c r="F12">
        <v>0.54</v>
      </c>
      <c r="G12">
        <v>7.36</v>
      </c>
      <c r="H12">
        <f t="shared" ref="H12:H19" si="0">SUM(B12:G12)</f>
        <v>74.010000000000005</v>
      </c>
      <c r="J12">
        <f t="shared" ref="J12:J19" si="1">B12/H12</f>
        <v>0.13430617484123766</v>
      </c>
      <c r="K12">
        <f t="shared" ref="K12:K19" si="2">C12/H12</f>
        <v>7.3368463721118757E-2</v>
      </c>
      <c r="L12">
        <f t="shared" ref="L12:L19" si="3">D12/H12</f>
        <v>9.8635319551411971E-3</v>
      </c>
      <c r="M12">
        <f t="shared" ref="M12:M19" si="4">E12/H12</f>
        <v>0.67571949736522086</v>
      </c>
      <c r="N12">
        <f t="shared" ref="N12:N19" si="5">F12/H12</f>
        <v>7.296311309282529E-3</v>
      </c>
      <c r="O12">
        <f t="shared" ref="O12:O19" si="6">G12/H12</f>
        <v>9.9446020807998914E-2</v>
      </c>
    </row>
    <row r="13" spans="1:15" x14ac:dyDescent="0.2">
      <c r="A13">
        <v>1991</v>
      </c>
      <c r="B13">
        <v>9.14</v>
      </c>
      <c r="C13">
        <v>5</v>
      </c>
      <c r="D13">
        <v>0.71</v>
      </c>
      <c r="E13">
        <v>51.29</v>
      </c>
      <c r="F13">
        <v>0.6</v>
      </c>
      <c r="G13">
        <v>7.85</v>
      </c>
      <c r="H13">
        <f t="shared" si="0"/>
        <v>74.589999999999989</v>
      </c>
      <c r="J13">
        <f t="shared" si="1"/>
        <v>0.12253653304732541</v>
      </c>
      <c r="K13">
        <f t="shared" si="2"/>
        <v>6.7033114358493101E-2</v>
      </c>
      <c r="L13">
        <f t="shared" si="3"/>
        <v>9.5187022389060204E-3</v>
      </c>
      <c r="M13">
        <f t="shared" si="4"/>
        <v>0.68762568708942229</v>
      </c>
      <c r="N13">
        <f t="shared" si="5"/>
        <v>8.0439737230191717E-3</v>
      </c>
      <c r="O13">
        <f t="shared" si="6"/>
        <v>0.10524198954283417</v>
      </c>
    </row>
    <row r="14" spans="1:15" x14ac:dyDescent="0.2">
      <c r="A14">
        <v>1992</v>
      </c>
      <c r="B14">
        <v>9.06</v>
      </c>
      <c r="C14">
        <v>4.1900000000000004</v>
      </c>
      <c r="D14">
        <v>0.73</v>
      </c>
      <c r="E14">
        <v>51.91</v>
      </c>
      <c r="F14">
        <v>0.69</v>
      </c>
      <c r="G14">
        <v>7.6</v>
      </c>
      <c r="H14">
        <f t="shared" si="0"/>
        <v>74.179999999999993</v>
      </c>
      <c r="J14">
        <f t="shared" si="1"/>
        <v>0.12213534645456998</v>
      </c>
      <c r="K14">
        <f t="shared" si="2"/>
        <v>5.6484227554596936E-2</v>
      </c>
      <c r="L14">
        <f t="shared" si="3"/>
        <v>9.840927473712591E-3</v>
      </c>
      <c r="M14">
        <f t="shared" si="4"/>
        <v>0.69978430843893236</v>
      </c>
      <c r="N14">
        <f t="shared" si="5"/>
        <v>9.3016985710434076E-3</v>
      </c>
      <c r="O14">
        <f t="shared" si="6"/>
        <v>0.10245349150714479</v>
      </c>
    </row>
    <row r="15" spans="1:15" x14ac:dyDescent="0.2">
      <c r="A15">
        <v>1993</v>
      </c>
      <c r="B15">
        <v>9.7899999999999991</v>
      </c>
      <c r="C15">
        <v>3.91</v>
      </c>
      <c r="D15">
        <v>0.76</v>
      </c>
      <c r="E15">
        <v>49.29</v>
      </c>
      <c r="F15">
        <v>1.39</v>
      </c>
      <c r="G15">
        <v>8.5299999999999994</v>
      </c>
      <c r="H15">
        <f t="shared" si="0"/>
        <v>73.67</v>
      </c>
      <c r="J15">
        <f t="shared" si="1"/>
        <v>0.13288991448350751</v>
      </c>
      <c r="K15">
        <f t="shared" si="2"/>
        <v>5.3074521514863582E-2</v>
      </c>
      <c r="L15">
        <f t="shared" si="3"/>
        <v>1.0316275281661463E-2</v>
      </c>
      <c r="M15">
        <f t="shared" si="4"/>
        <v>0.6690647482014388</v>
      </c>
      <c r="N15">
        <f t="shared" si="5"/>
        <v>1.8867924528301886E-2</v>
      </c>
      <c r="O15">
        <f t="shared" si="6"/>
        <v>0.11578661599022667</v>
      </c>
    </row>
    <row r="16" spans="1:15" x14ac:dyDescent="0.2">
      <c r="A16">
        <v>1994</v>
      </c>
      <c r="B16">
        <v>9.26</v>
      </c>
      <c r="C16">
        <v>3.88</v>
      </c>
      <c r="D16">
        <v>0.88</v>
      </c>
      <c r="E16">
        <v>50.09</v>
      </c>
      <c r="F16">
        <v>1.25</v>
      </c>
      <c r="G16">
        <v>8.3000000000000007</v>
      </c>
      <c r="H16">
        <f t="shared" si="0"/>
        <v>73.66</v>
      </c>
      <c r="J16">
        <f t="shared" si="1"/>
        <v>0.12571273418408907</v>
      </c>
      <c r="K16">
        <f t="shared" si="2"/>
        <v>5.2674450176486559E-2</v>
      </c>
      <c r="L16">
        <f t="shared" si="3"/>
        <v>1.1946782514254684E-2</v>
      </c>
      <c r="M16">
        <f t="shared" si="4"/>
        <v>0.68001629106706496</v>
      </c>
      <c r="N16">
        <f t="shared" si="5"/>
        <v>1.6969861525929948E-2</v>
      </c>
      <c r="O16">
        <f t="shared" si="6"/>
        <v>0.11267988053217487</v>
      </c>
    </row>
    <row r="17" spans="1:15" x14ac:dyDescent="0.2">
      <c r="A17">
        <v>1995</v>
      </c>
      <c r="B17">
        <v>8.5500000000000007</v>
      </c>
      <c r="C17">
        <v>4.26</v>
      </c>
      <c r="D17">
        <v>0.88</v>
      </c>
      <c r="E17">
        <v>49.2</v>
      </c>
      <c r="F17">
        <v>0.99</v>
      </c>
      <c r="G17">
        <v>8.27</v>
      </c>
      <c r="H17">
        <f t="shared" si="0"/>
        <v>72.150000000000006</v>
      </c>
      <c r="J17">
        <f t="shared" si="1"/>
        <v>0.11850311850311851</v>
      </c>
      <c r="K17">
        <f t="shared" si="2"/>
        <v>5.9043659043659033E-2</v>
      </c>
      <c r="L17">
        <f t="shared" si="3"/>
        <v>1.2196812196812196E-2</v>
      </c>
      <c r="M17">
        <f t="shared" si="4"/>
        <v>0.68191268191268195</v>
      </c>
      <c r="N17">
        <f t="shared" si="5"/>
        <v>1.372141372141372E-2</v>
      </c>
      <c r="O17">
        <f t="shared" si="6"/>
        <v>0.11462231462231461</v>
      </c>
    </row>
    <row r="18" spans="1:15" x14ac:dyDescent="0.2">
      <c r="A18">
        <v>1996</v>
      </c>
      <c r="B18">
        <v>8.9700000000000006</v>
      </c>
      <c r="C18">
        <v>3.79</v>
      </c>
      <c r="D18">
        <v>0.85</v>
      </c>
      <c r="E18">
        <v>47.21</v>
      </c>
      <c r="F18">
        <v>0.99</v>
      </c>
      <c r="G18">
        <v>8.51</v>
      </c>
      <c r="H18">
        <f t="shared" si="0"/>
        <v>70.320000000000007</v>
      </c>
      <c r="J18">
        <f t="shared" si="1"/>
        <v>0.12755972696245732</v>
      </c>
      <c r="K18">
        <f t="shared" si="2"/>
        <v>5.3896473265073942E-2</v>
      </c>
      <c r="L18">
        <f t="shared" si="3"/>
        <v>1.2087599544937428E-2</v>
      </c>
      <c r="M18">
        <f t="shared" si="4"/>
        <v>0.67135949943117168</v>
      </c>
      <c r="N18">
        <f t="shared" si="5"/>
        <v>1.4078498293515356E-2</v>
      </c>
      <c r="O18">
        <f t="shared" si="6"/>
        <v>0.12101820250284412</v>
      </c>
    </row>
    <row r="19" spans="1:15" x14ac:dyDescent="0.2">
      <c r="A19">
        <v>1997</v>
      </c>
      <c r="B19">
        <v>8.65</v>
      </c>
      <c r="C19">
        <v>3.62</v>
      </c>
      <c r="D19">
        <v>0.78</v>
      </c>
      <c r="E19">
        <v>45.21</v>
      </c>
      <c r="F19">
        <v>0.94</v>
      </c>
      <c r="G19">
        <v>9.33</v>
      </c>
      <c r="H19">
        <f t="shared" si="0"/>
        <v>68.53</v>
      </c>
      <c r="J19">
        <f t="shared" si="1"/>
        <v>0.12622209251422734</v>
      </c>
      <c r="K19">
        <f t="shared" si="2"/>
        <v>5.2823580913468553E-2</v>
      </c>
      <c r="L19">
        <f t="shared" si="3"/>
        <v>1.1381876550415877E-2</v>
      </c>
      <c r="M19">
        <f t="shared" si="4"/>
        <v>0.6597110754414125</v>
      </c>
      <c r="N19">
        <f t="shared" si="5"/>
        <v>1.3716620458193491E-2</v>
      </c>
      <c r="O19">
        <f t="shared" si="6"/>
        <v>0.13614475412228222</v>
      </c>
    </row>
    <row r="20" spans="1:15" x14ac:dyDescent="0.2">
      <c r="A20">
        <v>1998</v>
      </c>
      <c r="B20">
        <v>8.8800000000000008</v>
      </c>
      <c r="C20">
        <v>3.21</v>
      </c>
      <c r="D20">
        <v>0.76</v>
      </c>
      <c r="E20">
        <v>47.99</v>
      </c>
      <c r="F20">
        <v>0.85</v>
      </c>
      <c r="G20">
        <v>9.7200000000000006</v>
      </c>
      <c r="H20">
        <f>SUM(B20:G20)</f>
        <v>71.410000000000011</v>
      </c>
      <c r="J20">
        <f>B20/H20</f>
        <v>0.12435233160621761</v>
      </c>
      <c r="K20">
        <f>C20/H20</f>
        <v>4.4951687438734067E-2</v>
      </c>
      <c r="L20">
        <f>D20/H20</f>
        <v>1.0642767119451056E-2</v>
      </c>
      <c r="M20">
        <f>E20/H20</f>
        <v>0.67203472902954764</v>
      </c>
      <c r="N20">
        <f>F20/H20</f>
        <v>1.1903094804649206E-2</v>
      </c>
      <c r="O20">
        <f>G20/H20</f>
        <v>0.13611539000140035</v>
      </c>
    </row>
    <row r="21" spans="1:15" x14ac:dyDescent="0.2">
      <c r="A21">
        <v>1999</v>
      </c>
      <c r="B21">
        <v>9.27</v>
      </c>
      <c r="C21">
        <v>3.42</v>
      </c>
      <c r="D21">
        <v>0.83</v>
      </c>
      <c r="E21">
        <v>48.81</v>
      </c>
      <c r="F21">
        <v>1.02</v>
      </c>
      <c r="G21">
        <v>9.98</v>
      </c>
      <c r="H21">
        <f t="shared" ref="H21:H47" si="7">SUM(B21:G21)</f>
        <v>73.33</v>
      </c>
      <c r="J21">
        <f t="shared" ref="J21:J47" si="8">B21/H21</f>
        <v>0.12641483703804718</v>
      </c>
      <c r="K21">
        <f t="shared" ref="K21:K47" si="9">C21/H21</f>
        <v>4.6638483567434885E-2</v>
      </c>
      <c r="L21">
        <f t="shared" ref="L21:L47" si="10">D21/H21</f>
        <v>1.1318696304377471E-2</v>
      </c>
      <c r="M21">
        <f t="shared" ref="M21:M47" si="11">E21/H21</f>
        <v>0.66562116459839094</v>
      </c>
      <c r="N21">
        <f t="shared" ref="N21:N47" si="12">F21/H21</f>
        <v>1.3909723169234965E-2</v>
      </c>
      <c r="O21">
        <f t="shared" ref="O21:O47" si="13">G21/H21</f>
        <v>0.13609709532251466</v>
      </c>
    </row>
    <row r="22" spans="1:15" x14ac:dyDescent="0.2">
      <c r="A22">
        <v>2000</v>
      </c>
      <c r="B22">
        <v>7.69</v>
      </c>
      <c r="C22">
        <v>3.28</v>
      </c>
      <c r="D22">
        <v>0.78</v>
      </c>
      <c r="E22">
        <v>47.57</v>
      </c>
      <c r="F22">
        <v>1.47</v>
      </c>
      <c r="G22">
        <v>10.69</v>
      </c>
      <c r="H22">
        <f t="shared" si="7"/>
        <v>71.48</v>
      </c>
      <c r="J22">
        <f t="shared" si="8"/>
        <v>0.10758254057078903</v>
      </c>
      <c r="K22">
        <f t="shared" si="9"/>
        <v>4.5886961387800781E-2</v>
      </c>
      <c r="L22">
        <f t="shared" si="10"/>
        <v>1.0912143256855064E-2</v>
      </c>
      <c r="M22">
        <f t="shared" si="11"/>
        <v>0.66550083939563509</v>
      </c>
      <c r="N22">
        <f t="shared" si="12"/>
        <v>2.0565193060996082E-2</v>
      </c>
      <c r="O22">
        <f t="shared" si="13"/>
        <v>0.14955232232792387</v>
      </c>
    </row>
    <row r="23" spans="1:15" x14ac:dyDescent="0.2">
      <c r="A23">
        <v>2001</v>
      </c>
      <c r="B23">
        <v>5.75</v>
      </c>
      <c r="C23">
        <v>3.29</v>
      </c>
      <c r="D23">
        <v>0.71</v>
      </c>
      <c r="E23">
        <v>48.91</v>
      </c>
      <c r="F23">
        <v>1.74</v>
      </c>
      <c r="G23">
        <v>10.01</v>
      </c>
      <c r="H23">
        <f t="shared" si="7"/>
        <v>70.41</v>
      </c>
      <c r="J23">
        <f t="shared" si="8"/>
        <v>8.1664536287459177E-2</v>
      </c>
      <c r="K23">
        <f t="shared" si="9"/>
        <v>4.672631728447664E-2</v>
      </c>
      <c r="L23">
        <f t="shared" si="10"/>
        <v>1.0083794915494958E-2</v>
      </c>
      <c r="M23">
        <f t="shared" si="11"/>
        <v>0.69464564692515263</v>
      </c>
      <c r="N23">
        <f t="shared" si="12"/>
        <v>2.4712398806987643E-2</v>
      </c>
      <c r="O23">
        <f t="shared" si="13"/>
        <v>0.14216730578042891</v>
      </c>
    </row>
    <row r="24" spans="1:15" x14ac:dyDescent="0.2">
      <c r="A24">
        <v>2002</v>
      </c>
      <c r="B24">
        <v>4.9800000000000004</v>
      </c>
      <c r="C24">
        <v>3.22</v>
      </c>
      <c r="D24">
        <v>0.72</v>
      </c>
      <c r="E24">
        <v>49.26</v>
      </c>
      <c r="F24">
        <v>1.99</v>
      </c>
      <c r="G24">
        <v>9.5500000000000007</v>
      </c>
      <c r="H24">
        <f t="shared" si="7"/>
        <v>69.72</v>
      </c>
      <c r="J24">
        <f t="shared" si="8"/>
        <v>7.1428571428571438E-2</v>
      </c>
      <c r="K24">
        <f t="shared" si="9"/>
        <v>4.6184738955823298E-2</v>
      </c>
      <c r="L24">
        <f t="shared" si="10"/>
        <v>1.0327022375215145E-2</v>
      </c>
      <c r="M24">
        <f t="shared" si="11"/>
        <v>0.70654044750430289</v>
      </c>
      <c r="N24">
        <f t="shared" si="12"/>
        <v>2.8542742398164084E-2</v>
      </c>
      <c r="O24">
        <f t="shared" si="13"/>
        <v>0.13697647733792315</v>
      </c>
    </row>
    <row r="25" spans="1:15" x14ac:dyDescent="0.2">
      <c r="A25">
        <v>2003</v>
      </c>
      <c r="B25">
        <v>4.03</v>
      </c>
      <c r="C25">
        <v>3.32</v>
      </c>
      <c r="D25">
        <v>0.68</v>
      </c>
      <c r="E25">
        <v>50.56</v>
      </c>
      <c r="F25">
        <v>2.31</v>
      </c>
      <c r="G25">
        <v>9.52</v>
      </c>
      <c r="H25">
        <f t="shared" si="7"/>
        <v>70.42</v>
      </c>
      <c r="J25">
        <f t="shared" si="8"/>
        <v>5.7228060210167568E-2</v>
      </c>
      <c r="K25">
        <f t="shared" si="9"/>
        <v>4.7145697245100822E-2</v>
      </c>
      <c r="L25">
        <f t="shared" si="10"/>
        <v>9.6563476285146266E-3</v>
      </c>
      <c r="M25">
        <f t="shared" si="11"/>
        <v>0.71797784720249935</v>
      </c>
      <c r="N25">
        <f t="shared" si="12"/>
        <v>3.2803180914512925E-2</v>
      </c>
      <c r="O25">
        <f t="shared" si="13"/>
        <v>0.13518886679920475</v>
      </c>
    </row>
    <row r="26" spans="1:15" x14ac:dyDescent="0.2">
      <c r="A26">
        <v>2004</v>
      </c>
      <c r="B26">
        <v>3.67</v>
      </c>
      <c r="C26">
        <v>3.47</v>
      </c>
      <c r="D26">
        <v>0.77</v>
      </c>
      <c r="E26">
        <v>49.5</v>
      </c>
      <c r="F26">
        <v>2.63</v>
      </c>
      <c r="G26">
        <v>8.74</v>
      </c>
      <c r="H26">
        <f t="shared" si="7"/>
        <v>68.78</v>
      </c>
      <c r="J26">
        <f t="shared" si="8"/>
        <v>5.335853445769119E-2</v>
      </c>
      <c r="K26">
        <f t="shared" si="9"/>
        <v>5.0450712416400117E-2</v>
      </c>
      <c r="L26">
        <f t="shared" si="10"/>
        <v>1.1195114858970632E-2</v>
      </c>
      <c r="M26">
        <f t="shared" si="11"/>
        <v>0.7196859552195406</v>
      </c>
      <c r="N26">
        <f t="shared" si="12"/>
        <v>3.823785984297761E-2</v>
      </c>
      <c r="O26">
        <f t="shared" si="13"/>
        <v>0.1270718232044199</v>
      </c>
    </row>
    <row r="27" spans="1:15" x14ac:dyDescent="0.2">
      <c r="A27">
        <v>2005</v>
      </c>
      <c r="B27">
        <v>3.44</v>
      </c>
      <c r="C27">
        <v>3.34</v>
      </c>
      <c r="D27">
        <v>0.8</v>
      </c>
      <c r="E27">
        <v>48.96</v>
      </c>
      <c r="F27">
        <v>2.58</v>
      </c>
      <c r="G27">
        <v>8.93</v>
      </c>
      <c r="H27">
        <f t="shared" si="7"/>
        <v>68.05</v>
      </c>
      <c r="J27">
        <f t="shared" si="8"/>
        <v>5.0551065393093314E-2</v>
      </c>
      <c r="K27">
        <f t="shared" si="9"/>
        <v>4.908155767817781E-2</v>
      </c>
      <c r="L27">
        <f t="shared" si="10"/>
        <v>1.1756061719324027E-2</v>
      </c>
      <c r="M27">
        <f t="shared" si="11"/>
        <v>0.71947097722263043</v>
      </c>
      <c r="N27">
        <f t="shared" si="12"/>
        <v>3.7913299044819986E-2</v>
      </c>
      <c r="O27">
        <f t="shared" si="13"/>
        <v>0.13122703894195445</v>
      </c>
    </row>
    <row r="28" spans="1:15" x14ac:dyDescent="0.2">
      <c r="A28">
        <v>2006</v>
      </c>
      <c r="B28">
        <v>3.54</v>
      </c>
      <c r="C28">
        <v>3.08</v>
      </c>
      <c r="D28">
        <v>2.59</v>
      </c>
      <c r="E28">
        <v>48.47</v>
      </c>
      <c r="F28">
        <v>2.59</v>
      </c>
      <c r="G28">
        <v>8.9700000000000006</v>
      </c>
      <c r="H28">
        <f t="shared" si="7"/>
        <v>69.239999999999995</v>
      </c>
      <c r="J28">
        <f t="shared" si="8"/>
        <v>5.112651646447141E-2</v>
      </c>
      <c r="K28">
        <f t="shared" si="9"/>
        <v>4.4482957827845178E-2</v>
      </c>
      <c r="L28">
        <f t="shared" si="10"/>
        <v>3.7406123627960718E-2</v>
      </c>
      <c r="M28">
        <f t="shared" si="11"/>
        <v>0.70002888503755056</v>
      </c>
      <c r="N28">
        <f t="shared" si="12"/>
        <v>3.7406123627960718E-2</v>
      </c>
      <c r="O28">
        <f t="shared" si="13"/>
        <v>0.12954939341421146</v>
      </c>
    </row>
    <row r="29" spans="1:15" x14ac:dyDescent="0.2">
      <c r="A29">
        <v>2007</v>
      </c>
      <c r="B29">
        <v>3.5</v>
      </c>
      <c r="C29">
        <v>2.68</v>
      </c>
      <c r="D29">
        <v>0.91</v>
      </c>
      <c r="E29">
        <v>48.51</v>
      </c>
      <c r="F29">
        <v>3.02</v>
      </c>
      <c r="G29">
        <v>7.86</v>
      </c>
      <c r="H29">
        <f t="shared" si="7"/>
        <v>66.48</v>
      </c>
      <c r="J29">
        <f t="shared" si="8"/>
        <v>5.2647412755716001E-2</v>
      </c>
      <c r="K29">
        <f t="shared" si="9"/>
        <v>4.0312876052948254E-2</v>
      </c>
      <c r="L29">
        <f t="shared" si="10"/>
        <v>1.368832731648616E-2</v>
      </c>
      <c r="M29">
        <f t="shared" si="11"/>
        <v>0.72969314079422376</v>
      </c>
      <c r="N29">
        <f t="shared" si="12"/>
        <v>4.5427196149217808E-2</v>
      </c>
      <c r="O29">
        <f t="shared" si="13"/>
        <v>0.11823104693140794</v>
      </c>
    </row>
    <row r="30" spans="1:15" x14ac:dyDescent="0.2">
      <c r="A30">
        <v>2008</v>
      </c>
      <c r="B30">
        <v>4.7699999999999996</v>
      </c>
      <c r="C30">
        <v>2.78</v>
      </c>
      <c r="D30">
        <v>0.88</v>
      </c>
      <c r="E30">
        <v>45.34</v>
      </c>
      <c r="F30">
        <v>3.19</v>
      </c>
      <c r="G30">
        <v>7.9</v>
      </c>
      <c r="H30">
        <f t="shared" si="7"/>
        <v>64.86</v>
      </c>
      <c r="J30">
        <f t="shared" si="8"/>
        <v>7.3543015726179453E-2</v>
      </c>
      <c r="K30">
        <f t="shared" si="9"/>
        <v>4.2861547949429535E-2</v>
      </c>
      <c r="L30">
        <f t="shared" si="10"/>
        <v>1.3567684242984891E-2</v>
      </c>
      <c r="M30">
        <f t="shared" si="11"/>
        <v>0.69904409497378972</v>
      </c>
      <c r="N30">
        <f t="shared" si="12"/>
        <v>4.9182855380820227E-2</v>
      </c>
      <c r="O30">
        <f t="shared" si="13"/>
        <v>0.12180080172679618</v>
      </c>
    </row>
    <row r="31" spans="1:15" x14ac:dyDescent="0.2">
      <c r="A31">
        <v>2009</v>
      </c>
      <c r="B31">
        <v>7.69</v>
      </c>
      <c r="C31">
        <v>3.08</v>
      </c>
      <c r="D31">
        <v>1.01</v>
      </c>
      <c r="E31">
        <v>45.41</v>
      </c>
      <c r="F31">
        <v>3.41</v>
      </c>
      <c r="G31">
        <v>8.06</v>
      </c>
      <c r="H31">
        <f t="shared" si="7"/>
        <v>68.66</v>
      </c>
      <c r="J31">
        <f t="shared" si="8"/>
        <v>0.11200116516166619</v>
      </c>
      <c r="K31">
        <f t="shared" si="9"/>
        <v>4.4858724147975537E-2</v>
      </c>
      <c r="L31">
        <f t="shared" si="10"/>
        <v>1.4710166035537431E-2</v>
      </c>
      <c r="M31">
        <f t="shared" si="11"/>
        <v>0.66137489076609379</v>
      </c>
      <c r="N31">
        <f t="shared" si="12"/>
        <v>4.9665016020972917E-2</v>
      </c>
      <c r="O31">
        <f t="shared" si="13"/>
        <v>0.11739003786775416</v>
      </c>
    </row>
    <row r="32" spans="1:15" x14ac:dyDescent="0.2">
      <c r="A32">
        <v>2010</v>
      </c>
      <c r="B32">
        <v>4.4400000000000004</v>
      </c>
      <c r="C32">
        <v>2.88</v>
      </c>
      <c r="D32">
        <v>0.91</v>
      </c>
      <c r="E32">
        <v>41.57</v>
      </c>
      <c r="F32">
        <v>3.58</v>
      </c>
      <c r="G32">
        <v>8.2899999999999991</v>
      </c>
      <c r="H32">
        <f t="shared" si="7"/>
        <v>61.669999999999995</v>
      </c>
      <c r="J32">
        <f t="shared" si="8"/>
        <v>7.1996108318469282E-2</v>
      </c>
      <c r="K32">
        <f t="shared" si="9"/>
        <v>4.6700178368736828E-2</v>
      </c>
      <c r="L32">
        <f t="shared" si="10"/>
        <v>1.4755959137343929E-2</v>
      </c>
      <c r="M32">
        <f t="shared" si="11"/>
        <v>0.67407167180152427</v>
      </c>
      <c r="N32">
        <f t="shared" si="12"/>
        <v>5.8050916166693702E-2</v>
      </c>
      <c r="O32">
        <f t="shared" si="13"/>
        <v>0.13442516620723205</v>
      </c>
    </row>
    <row r="33" spans="1:15" x14ac:dyDescent="0.2">
      <c r="A33">
        <v>2011</v>
      </c>
      <c r="B33">
        <v>3.41</v>
      </c>
      <c r="C33">
        <v>2.5499999999999998</v>
      </c>
      <c r="D33">
        <v>1.06</v>
      </c>
      <c r="E33">
        <v>37.33</v>
      </c>
      <c r="F33">
        <v>8.8800000000000008</v>
      </c>
      <c r="G33">
        <v>8.01</v>
      </c>
      <c r="H33">
        <f t="shared" si="7"/>
        <v>61.239999999999995</v>
      </c>
      <c r="J33">
        <f t="shared" si="8"/>
        <v>5.5682560418027438E-2</v>
      </c>
      <c r="K33">
        <f t="shared" si="9"/>
        <v>4.1639451338994125E-2</v>
      </c>
      <c r="L33">
        <f t="shared" si="10"/>
        <v>1.7308948399738736E-2</v>
      </c>
      <c r="M33">
        <f t="shared" si="11"/>
        <v>0.60956890920966689</v>
      </c>
      <c r="N33">
        <f t="shared" si="12"/>
        <v>0.14500326583932074</v>
      </c>
      <c r="O33">
        <f t="shared" si="13"/>
        <v>0.13079686479425212</v>
      </c>
    </row>
    <row r="34" spans="1:15" x14ac:dyDescent="0.2">
      <c r="A34">
        <v>2012</v>
      </c>
      <c r="B34">
        <v>8.17</v>
      </c>
      <c r="C34">
        <v>2.66</v>
      </c>
      <c r="D34">
        <v>1.03</v>
      </c>
      <c r="E34">
        <v>34.270000000000003</v>
      </c>
      <c r="F34">
        <v>7.4</v>
      </c>
      <c r="G34">
        <v>8.4</v>
      </c>
      <c r="H34">
        <f t="shared" si="7"/>
        <v>61.93</v>
      </c>
      <c r="J34">
        <f t="shared" si="8"/>
        <v>0.13192313902793476</v>
      </c>
      <c r="K34">
        <f t="shared" si="9"/>
        <v>4.2951719683513648E-2</v>
      </c>
      <c r="L34">
        <f t="shared" si="10"/>
        <v>1.6631680930082351E-2</v>
      </c>
      <c r="M34">
        <f t="shared" si="11"/>
        <v>0.55336670434361379</v>
      </c>
      <c r="N34">
        <f t="shared" si="12"/>
        <v>0.1194897464879703</v>
      </c>
      <c r="O34">
        <f t="shared" si="13"/>
        <v>0.1356370095268852</v>
      </c>
    </row>
    <row r="35" spans="1:15" x14ac:dyDescent="0.2">
      <c r="A35">
        <v>2013</v>
      </c>
      <c r="B35">
        <v>3.45</v>
      </c>
      <c r="C35">
        <v>3.45</v>
      </c>
      <c r="D35">
        <v>0.89</v>
      </c>
      <c r="E35">
        <v>31.99</v>
      </c>
      <c r="F35">
        <v>16.41</v>
      </c>
      <c r="G35">
        <v>8.36</v>
      </c>
      <c r="H35">
        <f t="shared" si="7"/>
        <v>64.55</v>
      </c>
      <c r="J35">
        <f t="shared" si="8"/>
        <v>5.3446940356312943E-2</v>
      </c>
      <c r="K35">
        <f t="shared" si="9"/>
        <v>5.3446940356312943E-2</v>
      </c>
      <c r="L35">
        <f t="shared" si="10"/>
        <v>1.3787761425251744E-2</v>
      </c>
      <c r="M35">
        <f t="shared" si="11"/>
        <v>0.49558481797056547</v>
      </c>
      <c r="N35">
        <f t="shared" si="12"/>
        <v>0.25422153369481026</v>
      </c>
      <c r="O35">
        <f t="shared" si="13"/>
        <v>0.12951200619674672</v>
      </c>
    </row>
    <row r="36" spans="1:15" x14ac:dyDescent="0.2">
      <c r="A36">
        <v>2014</v>
      </c>
      <c r="B36">
        <v>3.72</v>
      </c>
      <c r="C36">
        <v>2.2999999999999998</v>
      </c>
      <c r="D36">
        <v>0.86</v>
      </c>
      <c r="E36">
        <v>35.72</v>
      </c>
      <c r="F36">
        <v>12.95</v>
      </c>
      <c r="G36">
        <v>10.039999999999999</v>
      </c>
      <c r="H36">
        <f t="shared" si="7"/>
        <v>65.59</v>
      </c>
      <c r="J36">
        <f t="shared" si="8"/>
        <v>5.6715962799207195E-2</v>
      </c>
      <c r="K36">
        <f t="shared" si="9"/>
        <v>3.506632108553133E-2</v>
      </c>
      <c r="L36">
        <f t="shared" si="10"/>
        <v>1.3111754840676932E-2</v>
      </c>
      <c r="M36">
        <f t="shared" si="11"/>
        <v>0.54459521268486044</v>
      </c>
      <c r="N36">
        <f t="shared" si="12"/>
        <v>0.19743863393810029</v>
      </c>
      <c r="O36">
        <f t="shared" si="13"/>
        <v>0.15307211465162371</v>
      </c>
    </row>
    <row r="37" spans="1:15" x14ac:dyDescent="0.2">
      <c r="A37">
        <v>2015</v>
      </c>
      <c r="B37">
        <v>3.69</v>
      </c>
      <c r="C37">
        <v>0.97</v>
      </c>
      <c r="D37">
        <v>0.97</v>
      </c>
      <c r="E37">
        <v>37.659999999999997</v>
      </c>
      <c r="F37">
        <v>3.46</v>
      </c>
      <c r="G37">
        <v>11.91</v>
      </c>
      <c r="H37">
        <f t="shared" si="7"/>
        <v>58.66</v>
      </c>
      <c r="J37">
        <f t="shared" si="8"/>
        <v>6.2904875554040229E-2</v>
      </c>
      <c r="K37">
        <f t="shared" si="9"/>
        <v>1.6535969996590523E-2</v>
      </c>
      <c r="L37">
        <f t="shared" si="10"/>
        <v>1.6535969996590523E-2</v>
      </c>
      <c r="M37">
        <f t="shared" si="11"/>
        <v>0.64200477326968974</v>
      </c>
      <c r="N37">
        <f t="shared" si="12"/>
        <v>5.8983975451755884E-2</v>
      </c>
      <c r="O37">
        <f t="shared" si="13"/>
        <v>0.20303443573133312</v>
      </c>
    </row>
    <row r="38" spans="1:15" x14ac:dyDescent="0.2">
      <c r="A38">
        <v>2016</v>
      </c>
      <c r="B38">
        <v>8.66</v>
      </c>
      <c r="C38">
        <v>2.4900000000000002</v>
      </c>
      <c r="D38">
        <v>0.82</v>
      </c>
      <c r="E38">
        <v>33.17</v>
      </c>
      <c r="F38">
        <v>13.05</v>
      </c>
      <c r="G38">
        <v>11.93</v>
      </c>
      <c r="H38">
        <f t="shared" si="7"/>
        <v>70.12</v>
      </c>
      <c r="J38">
        <f t="shared" si="8"/>
        <v>0.12350256702795208</v>
      </c>
      <c r="K38">
        <f t="shared" si="9"/>
        <v>3.551055333713634E-2</v>
      </c>
      <c r="L38">
        <f t="shared" si="10"/>
        <v>1.1694238448374214E-2</v>
      </c>
      <c r="M38">
        <f t="shared" si="11"/>
        <v>0.47304620650313745</v>
      </c>
      <c r="N38">
        <f t="shared" si="12"/>
        <v>0.1861095265259555</v>
      </c>
      <c r="O38">
        <f t="shared" si="13"/>
        <v>0.17013690815744437</v>
      </c>
    </row>
    <row r="39" spans="1:15" x14ac:dyDescent="0.2">
      <c r="A39">
        <v>2017</v>
      </c>
      <c r="B39">
        <v>3.91</v>
      </c>
      <c r="C39">
        <v>2.5499999999999998</v>
      </c>
      <c r="D39">
        <v>0.8</v>
      </c>
      <c r="E39">
        <v>35.06</v>
      </c>
      <c r="F39">
        <v>9.18</v>
      </c>
      <c r="G39">
        <v>11.82</v>
      </c>
      <c r="H39">
        <f t="shared" si="7"/>
        <v>63.32</v>
      </c>
      <c r="J39">
        <f t="shared" si="8"/>
        <v>6.1749842072015164E-2</v>
      </c>
      <c r="K39">
        <f t="shared" si="9"/>
        <v>4.0271636133922928E-2</v>
      </c>
      <c r="L39">
        <f t="shared" si="10"/>
        <v>1.2634238787113077E-2</v>
      </c>
      <c r="M39">
        <f t="shared" si="11"/>
        <v>0.55369551484523061</v>
      </c>
      <c r="N39">
        <f t="shared" si="12"/>
        <v>0.14497789008212256</v>
      </c>
      <c r="O39">
        <f t="shared" si="13"/>
        <v>0.1866708780795957</v>
      </c>
    </row>
    <row r="40" spans="1:15" x14ac:dyDescent="0.2">
      <c r="A40">
        <v>2018</v>
      </c>
      <c r="B40">
        <v>2.2599999999999998</v>
      </c>
      <c r="C40">
        <v>2.37</v>
      </c>
      <c r="D40">
        <v>0.88</v>
      </c>
      <c r="E40">
        <v>35.46</v>
      </c>
      <c r="F40">
        <v>11.82</v>
      </c>
      <c r="G40">
        <v>12.65</v>
      </c>
      <c r="H40">
        <f t="shared" si="7"/>
        <v>65.44</v>
      </c>
      <c r="J40">
        <f t="shared" si="8"/>
        <v>3.4535452322738386E-2</v>
      </c>
      <c r="K40">
        <f t="shared" si="9"/>
        <v>3.6216381418092913E-2</v>
      </c>
      <c r="L40">
        <f t="shared" si="10"/>
        <v>1.3447432762836187E-2</v>
      </c>
      <c r="M40">
        <f t="shared" si="11"/>
        <v>0.54187041564792182</v>
      </c>
      <c r="N40">
        <f t="shared" si="12"/>
        <v>0.18062347188264061</v>
      </c>
      <c r="O40">
        <f t="shared" si="13"/>
        <v>0.19330684596577019</v>
      </c>
    </row>
    <row r="41" spans="1:15" x14ac:dyDescent="0.2">
      <c r="A41">
        <v>2019</v>
      </c>
      <c r="B41">
        <v>7.31</v>
      </c>
      <c r="C41">
        <v>7.31</v>
      </c>
      <c r="D41">
        <v>0.81</v>
      </c>
      <c r="E41">
        <v>36.61</v>
      </c>
      <c r="F41">
        <v>8.44</v>
      </c>
      <c r="G41">
        <v>13.89</v>
      </c>
      <c r="H41">
        <f t="shared" si="7"/>
        <v>74.37</v>
      </c>
      <c r="J41">
        <f t="shared" si="8"/>
        <v>9.829232217291918E-2</v>
      </c>
      <c r="K41">
        <f t="shared" si="9"/>
        <v>9.829232217291918E-2</v>
      </c>
      <c r="L41">
        <f t="shared" si="10"/>
        <v>1.0891488503428802E-2</v>
      </c>
      <c r="M41">
        <f t="shared" si="11"/>
        <v>0.49226838779077581</v>
      </c>
      <c r="N41">
        <f t="shared" si="12"/>
        <v>0.1134866209493075</v>
      </c>
      <c r="O41">
        <f t="shared" si="13"/>
        <v>0.18676885841064944</v>
      </c>
    </row>
    <row r="42" spans="1:15" x14ac:dyDescent="0.2">
      <c r="A42">
        <v>2020</v>
      </c>
      <c r="B42">
        <v>2.5099999999999998</v>
      </c>
      <c r="C42">
        <v>2.5099999999999998</v>
      </c>
      <c r="D42">
        <v>0.85</v>
      </c>
      <c r="E42">
        <v>40.21</v>
      </c>
      <c r="F42">
        <v>5.86</v>
      </c>
      <c r="G42">
        <v>25.36</v>
      </c>
      <c r="H42">
        <f t="shared" si="7"/>
        <v>77.3</v>
      </c>
      <c r="J42">
        <f t="shared" si="8"/>
        <v>3.2470892626131953E-2</v>
      </c>
      <c r="K42">
        <f t="shared" si="9"/>
        <v>3.2470892626131953E-2</v>
      </c>
      <c r="L42">
        <f t="shared" si="10"/>
        <v>1.0996119016817595E-2</v>
      </c>
      <c r="M42">
        <f t="shared" si="11"/>
        <v>0.52018111254851229</v>
      </c>
      <c r="N42">
        <f t="shared" si="12"/>
        <v>7.5808538163001302E-2</v>
      </c>
      <c r="O42">
        <f t="shared" si="13"/>
        <v>0.32807244501940491</v>
      </c>
    </row>
    <row r="43" spans="1:15" x14ac:dyDescent="0.2">
      <c r="A43">
        <v>2021</v>
      </c>
      <c r="B43">
        <v>3.41</v>
      </c>
      <c r="C43">
        <v>2.12</v>
      </c>
      <c r="D43">
        <v>0.73</v>
      </c>
      <c r="E43">
        <v>36.119999999999997</v>
      </c>
      <c r="F43">
        <v>9.7100000000000009</v>
      </c>
      <c r="G43">
        <v>16.350000000000001</v>
      </c>
      <c r="H43">
        <f t="shared" si="7"/>
        <v>68.44</v>
      </c>
      <c r="J43">
        <f t="shared" si="8"/>
        <v>4.9824663939216834E-2</v>
      </c>
      <c r="K43">
        <f t="shared" si="9"/>
        <v>3.0976037405026302E-2</v>
      </c>
      <c r="L43">
        <f t="shared" si="10"/>
        <v>1.0666277030976038E-2</v>
      </c>
      <c r="M43">
        <f t="shared" si="11"/>
        <v>0.52776154295733491</v>
      </c>
      <c r="N43">
        <f t="shared" si="12"/>
        <v>0.14187609585037991</v>
      </c>
      <c r="O43">
        <f t="shared" si="13"/>
        <v>0.23889538281706607</v>
      </c>
    </row>
    <row r="44" spans="1:15" x14ac:dyDescent="0.2">
      <c r="A44">
        <v>2022</v>
      </c>
      <c r="B44">
        <v>3.25</v>
      </c>
      <c r="C44">
        <v>1.94</v>
      </c>
      <c r="D44">
        <v>0.72</v>
      </c>
      <c r="E44">
        <v>36.18</v>
      </c>
      <c r="F44">
        <v>12.18</v>
      </c>
      <c r="G44">
        <v>14.61</v>
      </c>
      <c r="H44">
        <f t="shared" si="7"/>
        <v>68.88</v>
      </c>
      <c r="J44">
        <f t="shared" si="8"/>
        <v>4.7183507549361209E-2</v>
      </c>
      <c r="K44">
        <f t="shared" si="9"/>
        <v>2.8164924506387922E-2</v>
      </c>
      <c r="L44">
        <f t="shared" si="10"/>
        <v>1.0452961672473868E-2</v>
      </c>
      <c r="M44">
        <f t="shared" si="11"/>
        <v>0.52526132404181192</v>
      </c>
      <c r="N44">
        <f t="shared" si="12"/>
        <v>0.17682926829268295</v>
      </c>
      <c r="O44">
        <f t="shared" si="13"/>
        <v>0.21210801393728224</v>
      </c>
    </row>
    <row r="45" spans="1:15" x14ac:dyDescent="0.2">
      <c r="A45">
        <v>2023</v>
      </c>
      <c r="B45">
        <v>2.75</v>
      </c>
      <c r="C45">
        <v>1.98</v>
      </c>
      <c r="D45">
        <v>0.72</v>
      </c>
      <c r="E45">
        <v>34.5</v>
      </c>
      <c r="F45">
        <v>12.84</v>
      </c>
      <c r="G45">
        <v>12.47</v>
      </c>
      <c r="H45">
        <f t="shared" si="7"/>
        <v>65.260000000000005</v>
      </c>
      <c r="J45">
        <f t="shared" si="8"/>
        <v>4.2139135764633767E-2</v>
      </c>
      <c r="K45">
        <f t="shared" si="9"/>
        <v>3.0340177750536313E-2</v>
      </c>
      <c r="L45">
        <f t="shared" si="10"/>
        <v>1.1032791909285931E-2</v>
      </c>
      <c r="M45">
        <f t="shared" si="11"/>
        <v>0.52865461231995092</v>
      </c>
      <c r="N45">
        <f t="shared" si="12"/>
        <v>0.19675145571559913</v>
      </c>
      <c r="O45">
        <f t="shared" si="13"/>
        <v>0.19108182653999387</v>
      </c>
    </row>
    <row r="46" spans="1:15" x14ac:dyDescent="0.2">
      <c r="A46">
        <v>2024</v>
      </c>
      <c r="B46">
        <v>3.03</v>
      </c>
      <c r="C46">
        <v>1.94</v>
      </c>
      <c r="D46">
        <v>0.7</v>
      </c>
      <c r="E46">
        <v>32.89</v>
      </c>
      <c r="F46">
        <v>13.05</v>
      </c>
      <c r="G46">
        <v>15.01</v>
      </c>
      <c r="H46">
        <f t="shared" si="7"/>
        <v>66.62</v>
      </c>
      <c r="J46">
        <f t="shared" si="8"/>
        <v>4.5481837286100266E-2</v>
      </c>
      <c r="K46">
        <f t="shared" si="9"/>
        <v>2.9120384268988289E-2</v>
      </c>
      <c r="L46">
        <f t="shared" si="10"/>
        <v>1.0507355148604021E-2</v>
      </c>
      <c r="M46">
        <f t="shared" si="11"/>
        <v>0.49369558691083754</v>
      </c>
      <c r="N46">
        <f t="shared" si="12"/>
        <v>0.19588712098468927</v>
      </c>
      <c r="O46">
        <f t="shared" si="13"/>
        <v>0.22530771540078054</v>
      </c>
    </row>
    <row r="47" spans="1:15" x14ac:dyDescent="0.2">
      <c r="A47">
        <v>2025</v>
      </c>
      <c r="B47">
        <v>4.7300000000000004</v>
      </c>
      <c r="C47">
        <v>2.0499999999999998</v>
      </c>
      <c r="D47">
        <v>2.0499999999999998</v>
      </c>
      <c r="E47">
        <v>36.130000000000003</v>
      </c>
      <c r="F47">
        <v>11.77</v>
      </c>
      <c r="G47">
        <v>12.43</v>
      </c>
      <c r="H47">
        <f t="shared" si="7"/>
        <v>69.16</v>
      </c>
      <c r="J47">
        <f t="shared" si="8"/>
        <v>6.8392134181607875E-2</v>
      </c>
      <c r="K47">
        <f t="shared" si="9"/>
        <v>2.9641411220358588E-2</v>
      </c>
      <c r="L47">
        <f t="shared" si="10"/>
        <v>2.9641411220358588E-2</v>
      </c>
      <c r="M47">
        <f t="shared" si="11"/>
        <v>0.52241179872758825</v>
      </c>
      <c r="N47">
        <f t="shared" si="12"/>
        <v>0.17018507807981492</v>
      </c>
      <c r="O47">
        <f t="shared" si="13"/>
        <v>0.17972816657027182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5E31-2FD9-504E-AB5F-D39003C6D5CE}">
  <dimension ref="A1:G47"/>
  <sheetViews>
    <sheetView workbookViewId="0">
      <selection activeCell="B12" sqref="B12: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9</v>
      </c>
    </row>
    <row r="2" spans="1:7" x14ac:dyDescent="0.2">
      <c r="A2">
        <v>1980</v>
      </c>
    </row>
    <row r="3" spans="1:7" x14ac:dyDescent="0.2">
      <c r="A3">
        <v>1981</v>
      </c>
    </row>
    <row r="4" spans="1:7" x14ac:dyDescent="0.2">
      <c r="A4">
        <v>1982</v>
      </c>
    </row>
    <row r="5" spans="1:7" x14ac:dyDescent="0.2">
      <c r="A5">
        <v>1983</v>
      </c>
    </row>
    <row r="6" spans="1:7" x14ac:dyDescent="0.2">
      <c r="A6">
        <v>1984</v>
      </c>
    </row>
    <row r="7" spans="1:7" x14ac:dyDescent="0.2">
      <c r="A7">
        <v>1985</v>
      </c>
    </row>
    <row r="8" spans="1:7" x14ac:dyDescent="0.2">
      <c r="A8">
        <v>1986</v>
      </c>
    </row>
    <row r="9" spans="1:7" x14ac:dyDescent="0.2">
      <c r="A9">
        <v>1987</v>
      </c>
    </row>
    <row r="10" spans="1:7" x14ac:dyDescent="0.2">
      <c r="A10">
        <v>1988</v>
      </c>
    </row>
    <row r="11" spans="1:7" x14ac:dyDescent="0.2">
      <c r="A11">
        <v>1989</v>
      </c>
    </row>
    <row r="12" spans="1:7" x14ac:dyDescent="0.2">
      <c r="A12">
        <v>1990</v>
      </c>
      <c r="B12">
        <v>0.13430617484123766</v>
      </c>
      <c r="C12">
        <v>7.3368463721118757E-2</v>
      </c>
      <c r="D12">
        <v>9.8635319551411971E-3</v>
      </c>
      <c r="E12">
        <v>0.67571949736522086</v>
      </c>
      <c r="F12">
        <v>7.296311309282529E-3</v>
      </c>
      <c r="G12">
        <v>9.9446020807998914E-2</v>
      </c>
    </row>
    <row r="13" spans="1:7" x14ac:dyDescent="0.2">
      <c r="A13">
        <v>1991</v>
      </c>
      <c r="B13">
        <v>0.12253653304732541</v>
      </c>
      <c r="C13">
        <v>6.7033114358493101E-2</v>
      </c>
      <c r="D13">
        <v>9.5187022389060204E-3</v>
      </c>
      <c r="E13">
        <v>0.68762568708942229</v>
      </c>
      <c r="F13">
        <v>8.0439737230191717E-3</v>
      </c>
      <c r="G13">
        <v>0.10524198954283417</v>
      </c>
    </row>
    <row r="14" spans="1:7" x14ac:dyDescent="0.2">
      <c r="A14">
        <v>1992</v>
      </c>
      <c r="B14">
        <v>0.12213534645456998</v>
      </c>
      <c r="C14">
        <v>5.6484227554596936E-2</v>
      </c>
      <c r="D14">
        <v>9.840927473712591E-3</v>
      </c>
      <c r="E14">
        <v>0.69978430843893236</v>
      </c>
      <c r="F14">
        <v>9.3016985710434076E-3</v>
      </c>
      <c r="G14">
        <v>0.10245349150714479</v>
      </c>
    </row>
    <row r="15" spans="1:7" x14ac:dyDescent="0.2">
      <c r="A15">
        <v>1993</v>
      </c>
      <c r="B15">
        <v>0.13288991448350751</v>
      </c>
      <c r="C15">
        <v>5.3074521514863582E-2</v>
      </c>
      <c r="D15">
        <v>1.0316275281661463E-2</v>
      </c>
      <c r="E15">
        <v>0.6690647482014388</v>
      </c>
      <c r="F15">
        <v>1.8867924528301886E-2</v>
      </c>
      <c r="G15">
        <v>0.11578661599022667</v>
      </c>
    </row>
    <row r="16" spans="1:7" x14ac:dyDescent="0.2">
      <c r="A16">
        <v>1994</v>
      </c>
      <c r="B16">
        <v>0.12571273418408907</v>
      </c>
      <c r="C16">
        <v>5.2674450176486559E-2</v>
      </c>
      <c r="D16">
        <v>1.1946782514254684E-2</v>
      </c>
      <c r="E16">
        <v>0.68001629106706496</v>
      </c>
      <c r="F16">
        <v>1.6969861525929948E-2</v>
      </c>
      <c r="G16">
        <v>0.11267988053217487</v>
      </c>
    </row>
    <row r="17" spans="1:7" x14ac:dyDescent="0.2">
      <c r="A17">
        <v>1995</v>
      </c>
      <c r="B17">
        <v>0.11850311850311851</v>
      </c>
      <c r="C17">
        <v>5.9043659043659033E-2</v>
      </c>
      <c r="D17">
        <v>1.2196812196812196E-2</v>
      </c>
      <c r="E17">
        <v>0.68191268191268195</v>
      </c>
      <c r="F17">
        <v>1.372141372141372E-2</v>
      </c>
      <c r="G17">
        <v>0.11462231462231461</v>
      </c>
    </row>
    <row r="18" spans="1:7" x14ac:dyDescent="0.2">
      <c r="A18">
        <v>1996</v>
      </c>
      <c r="B18">
        <v>0.12755972696245732</v>
      </c>
      <c r="C18">
        <v>5.3896473265073942E-2</v>
      </c>
      <c r="D18">
        <v>1.2087599544937428E-2</v>
      </c>
      <c r="E18">
        <v>0.67135949943117168</v>
      </c>
      <c r="F18">
        <v>1.4078498293515356E-2</v>
      </c>
      <c r="G18">
        <v>0.12101820250284412</v>
      </c>
    </row>
    <row r="19" spans="1:7" x14ac:dyDescent="0.2">
      <c r="A19">
        <v>1997</v>
      </c>
      <c r="B19">
        <v>0.12622209251422734</v>
      </c>
      <c r="C19">
        <v>5.2823580913468553E-2</v>
      </c>
      <c r="D19">
        <v>1.1381876550415877E-2</v>
      </c>
      <c r="E19">
        <v>0.6597110754414125</v>
      </c>
      <c r="F19">
        <v>1.3716620458193491E-2</v>
      </c>
      <c r="G19">
        <v>0.13614475412228222</v>
      </c>
    </row>
    <row r="20" spans="1:7" x14ac:dyDescent="0.2">
      <c r="A20">
        <v>1998</v>
      </c>
      <c r="B20">
        <v>0.12435233160621761</v>
      </c>
      <c r="C20">
        <v>4.4951687438734067E-2</v>
      </c>
      <c r="D20">
        <v>1.0642767119451056E-2</v>
      </c>
      <c r="E20">
        <v>0.67203472902954764</v>
      </c>
      <c r="F20">
        <v>1.1903094804649206E-2</v>
      </c>
      <c r="G20">
        <v>0.13611539000140035</v>
      </c>
    </row>
    <row r="21" spans="1:7" x14ac:dyDescent="0.2">
      <c r="A21">
        <v>1999</v>
      </c>
      <c r="B21">
        <v>0.12641483703804718</v>
      </c>
      <c r="C21">
        <v>4.6638483567434885E-2</v>
      </c>
      <c r="D21">
        <v>1.1318696304377471E-2</v>
      </c>
      <c r="E21">
        <v>0.66562116459839094</v>
      </c>
      <c r="F21">
        <v>1.3909723169234965E-2</v>
      </c>
      <c r="G21">
        <v>0.13609709532251466</v>
      </c>
    </row>
    <row r="22" spans="1:7" x14ac:dyDescent="0.2">
      <c r="A22">
        <v>2000</v>
      </c>
      <c r="B22">
        <v>0.10758254057078903</v>
      </c>
      <c r="C22">
        <v>4.5886961387800781E-2</v>
      </c>
      <c r="D22">
        <v>1.0912143256855064E-2</v>
      </c>
      <c r="E22">
        <v>0.66550083939563509</v>
      </c>
      <c r="F22">
        <v>2.0565193060996082E-2</v>
      </c>
      <c r="G22">
        <v>0.14955232232792387</v>
      </c>
    </row>
    <row r="23" spans="1:7" x14ac:dyDescent="0.2">
      <c r="A23">
        <v>2001</v>
      </c>
      <c r="B23">
        <v>8.1664536287459177E-2</v>
      </c>
      <c r="C23">
        <v>4.672631728447664E-2</v>
      </c>
      <c r="D23">
        <v>1.0083794915494958E-2</v>
      </c>
      <c r="E23">
        <v>0.69464564692515263</v>
      </c>
      <c r="F23">
        <v>2.4712398806987643E-2</v>
      </c>
      <c r="G23">
        <v>0.14216730578042891</v>
      </c>
    </row>
    <row r="24" spans="1:7" x14ac:dyDescent="0.2">
      <c r="A24">
        <v>2002</v>
      </c>
      <c r="B24">
        <v>7.1428571428571438E-2</v>
      </c>
      <c r="C24">
        <v>4.6184738955823298E-2</v>
      </c>
      <c r="D24">
        <v>1.0327022375215145E-2</v>
      </c>
      <c r="E24">
        <v>0.70654044750430289</v>
      </c>
      <c r="F24">
        <v>2.8542742398164084E-2</v>
      </c>
      <c r="G24">
        <v>0.13697647733792315</v>
      </c>
    </row>
    <row r="25" spans="1:7" x14ac:dyDescent="0.2">
      <c r="A25">
        <v>2003</v>
      </c>
      <c r="B25">
        <v>5.7228060210167568E-2</v>
      </c>
      <c r="C25">
        <v>4.7145697245100822E-2</v>
      </c>
      <c r="D25">
        <v>9.6563476285146266E-3</v>
      </c>
      <c r="E25">
        <v>0.71797784720249935</v>
      </c>
      <c r="F25">
        <v>3.2803180914512925E-2</v>
      </c>
      <c r="G25">
        <v>0.13518886679920475</v>
      </c>
    </row>
    <row r="26" spans="1:7" x14ac:dyDescent="0.2">
      <c r="A26">
        <v>2004</v>
      </c>
      <c r="B26">
        <v>5.335853445769119E-2</v>
      </c>
      <c r="C26">
        <v>5.0450712416400117E-2</v>
      </c>
      <c r="D26">
        <v>1.1195114858970632E-2</v>
      </c>
      <c r="E26">
        <v>0.7196859552195406</v>
      </c>
      <c r="F26">
        <v>3.823785984297761E-2</v>
      </c>
      <c r="G26">
        <v>0.1270718232044199</v>
      </c>
    </row>
    <row r="27" spans="1:7" x14ac:dyDescent="0.2">
      <c r="A27">
        <v>2005</v>
      </c>
      <c r="B27">
        <v>5.0551065393093314E-2</v>
      </c>
      <c r="C27">
        <v>4.908155767817781E-2</v>
      </c>
      <c r="D27">
        <v>1.1756061719324027E-2</v>
      </c>
      <c r="E27">
        <v>0.71947097722263043</v>
      </c>
      <c r="F27">
        <v>3.7913299044819986E-2</v>
      </c>
      <c r="G27">
        <v>0.13122703894195445</v>
      </c>
    </row>
    <row r="28" spans="1:7" x14ac:dyDescent="0.2">
      <c r="A28">
        <v>2006</v>
      </c>
      <c r="B28">
        <v>5.112651646447141E-2</v>
      </c>
      <c r="C28">
        <v>4.4482957827845178E-2</v>
      </c>
      <c r="D28">
        <v>3.7406123627960718E-2</v>
      </c>
      <c r="E28">
        <v>0.70002888503755056</v>
      </c>
      <c r="F28">
        <v>3.7406123627960718E-2</v>
      </c>
      <c r="G28">
        <v>0.12954939341421146</v>
      </c>
    </row>
    <row r="29" spans="1:7" x14ac:dyDescent="0.2">
      <c r="A29">
        <v>2007</v>
      </c>
      <c r="B29">
        <v>5.2647412755716001E-2</v>
      </c>
      <c r="C29">
        <v>4.0312876052948254E-2</v>
      </c>
      <c r="D29">
        <v>1.368832731648616E-2</v>
      </c>
      <c r="E29">
        <v>0.72969314079422376</v>
      </c>
      <c r="F29">
        <v>4.5427196149217808E-2</v>
      </c>
      <c r="G29">
        <v>0.11823104693140794</v>
      </c>
    </row>
    <row r="30" spans="1:7" x14ac:dyDescent="0.2">
      <c r="A30">
        <v>2008</v>
      </c>
      <c r="B30">
        <v>7.3543015726179453E-2</v>
      </c>
      <c r="C30">
        <v>4.2861547949429535E-2</v>
      </c>
      <c r="D30">
        <v>1.3567684242984891E-2</v>
      </c>
      <c r="E30">
        <v>0.69904409497378972</v>
      </c>
      <c r="F30">
        <v>4.9182855380820227E-2</v>
      </c>
      <c r="G30">
        <v>0.12180080172679618</v>
      </c>
    </row>
    <row r="31" spans="1:7" x14ac:dyDescent="0.2">
      <c r="A31">
        <v>2009</v>
      </c>
      <c r="B31">
        <v>0.11200116516166619</v>
      </c>
      <c r="C31">
        <v>4.4858724147975537E-2</v>
      </c>
      <c r="D31">
        <v>1.4710166035537431E-2</v>
      </c>
      <c r="E31">
        <v>0.66137489076609379</v>
      </c>
      <c r="F31">
        <v>4.9665016020972917E-2</v>
      </c>
      <c r="G31">
        <v>0.11739003786775416</v>
      </c>
    </row>
    <row r="32" spans="1:7" x14ac:dyDescent="0.2">
      <c r="A32">
        <v>2010</v>
      </c>
      <c r="B32">
        <v>7.1996108318469282E-2</v>
      </c>
      <c r="C32">
        <v>4.6700178368736828E-2</v>
      </c>
      <c r="D32">
        <v>1.4755959137343929E-2</v>
      </c>
      <c r="E32">
        <v>0.67407167180152427</v>
      </c>
      <c r="F32">
        <v>5.8050916166693702E-2</v>
      </c>
      <c r="G32">
        <v>0.13442516620723205</v>
      </c>
    </row>
    <row r="33" spans="1:7" x14ac:dyDescent="0.2">
      <c r="A33">
        <v>2011</v>
      </c>
      <c r="B33">
        <v>5.5682560418027438E-2</v>
      </c>
      <c r="C33">
        <v>4.1639451338994125E-2</v>
      </c>
      <c r="D33">
        <v>1.7308948399738736E-2</v>
      </c>
      <c r="E33">
        <v>0.60956890920966689</v>
      </c>
      <c r="F33">
        <v>0.14500326583932074</v>
      </c>
      <c r="G33">
        <v>0.13079686479425212</v>
      </c>
    </row>
    <row r="34" spans="1:7" x14ac:dyDescent="0.2">
      <c r="A34">
        <v>2012</v>
      </c>
      <c r="B34">
        <v>0.13192313902793476</v>
      </c>
      <c r="C34">
        <v>4.2951719683513648E-2</v>
      </c>
      <c r="D34">
        <v>1.6631680930082351E-2</v>
      </c>
      <c r="E34">
        <v>0.55336670434361379</v>
      </c>
      <c r="F34">
        <v>0.1194897464879703</v>
      </c>
      <c r="G34">
        <v>0.1356370095268852</v>
      </c>
    </row>
    <row r="35" spans="1:7" x14ac:dyDescent="0.2">
      <c r="A35">
        <v>2013</v>
      </c>
      <c r="B35">
        <v>5.3446940356312943E-2</v>
      </c>
      <c r="C35">
        <v>5.3446940356312943E-2</v>
      </c>
      <c r="D35">
        <v>1.3787761425251744E-2</v>
      </c>
      <c r="E35">
        <v>0.49558481797056547</v>
      </c>
      <c r="F35">
        <v>0.25422153369481026</v>
      </c>
      <c r="G35">
        <v>0.12951200619674672</v>
      </c>
    </row>
    <row r="36" spans="1:7" x14ac:dyDescent="0.2">
      <c r="A36">
        <v>2014</v>
      </c>
      <c r="B36">
        <v>5.6715962799207195E-2</v>
      </c>
      <c r="C36">
        <v>3.506632108553133E-2</v>
      </c>
      <c r="D36">
        <v>1.3111754840676932E-2</v>
      </c>
      <c r="E36">
        <v>0.54459521268486044</v>
      </c>
      <c r="F36">
        <v>0.19743863393810029</v>
      </c>
      <c r="G36">
        <v>0.15307211465162371</v>
      </c>
    </row>
    <row r="37" spans="1:7" x14ac:dyDescent="0.2">
      <c r="A37">
        <v>2015</v>
      </c>
      <c r="B37">
        <v>6.2904875554040229E-2</v>
      </c>
      <c r="C37">
        <v>1.6535969996590523E-2</v>
      </c>
      <c r="D37">
        <v>1.6535969996590523E-2</v>
      </c>
      <c r="E37">
        <v>0.64200477326968974</v>
      </c>
      <c r="F37">
        <v>5.8983975451755884E-2</v>
      </c>
      <c r="G37">
        <v>0.20303443573133312</v>
      </c>
    </row>
    <row r="38" spans="1:7" x14ac:dyDescent="0.2">
      <c r="A38">
        <v>2016</v>
      </c>
      <c r="B38">
        <v>0.12350256702795208</v>
      </c>
      <c r="C38">
        <v>3.551055333713634E-2</v>
      </c>
      <c r="D38">
        <v>1.1694238448374214E-2</v>
      </c>
      <c r="E38">
        <v>0.47304620650313745</v>
      </c>
      <c r="F38">
        <v>0.1861095265259555</v>
      </c>
      <c r="G38">
        <v>0.17013690815744437</v>
      </c>
    </row>
    <row r="39" spans="1:7" x14ac:dyDescent="0.2">
      <c r="A39">
        <v>2017</v>
      </c>
      <c r="B39">
        <v>6.1749842072015164E-2</v>
      </c>
      <c r="C39">
        <v>4.0271636133922928E-2</v>
      </c>
      <c r="D39">
        <v>1.2634238787113077E-2</v>
      </c>
      <c r="E39">
        <v>0.55369551484523061</v>
      </c>
      <c r="F39">
        <v>0.14497789008212256</v>
      </c>
      <c r="G39">
        <v>0.1866708780795957</v>
      </c>
    </row>
    <row r="40" spans="1:7" x14ac:dyDescent="0.2">
      <c r="A40">
        <v>2018</v>
      </c>
      <c r="B40">
        <v>3.4535452322738386E-2</v>
      </c>
      <c r="C40">
        <v>3.6216381418092913E-2</v>
      </c>
      <c r="D40">
        <v>1.3447432762836187E-2</v>
      </c>
      <c r="E40">
        <v>0.54187041564792182</v>
      </c>
      <c r="F40">
        <v>0.18062347188264061</v>
      </c>
      <c r="G40">
        <v>0.19330684596577019</v>
      </c>
    </row>
    <row r="41" spans="1:7" x14ac:dyDescent="0.2">
      <c r="A41">
        <v>2019</v>
      </c>
      <c r="B41">
        <v>9.829232217291918E-2</v>
      </c>
      <c r="C41">
        <v>9.829232217291918E-2</v>
      </c>
      <c r="D41">
        <v>1.0891488503428802E-2</v>
      </c>
      <c r="E41">
        <v>0.49226838779077581</v>
      </c>
      <c r="F41">
        <v>0.1134866209493075</v>
      </c>
      <c r="G41">
        <v>0.18676885841064944</v>
      </c>
    </row>
    <row r="42" spans="1:7" x14ac:dyDescent="0.2">
      <c r="A42">
        <v>2020</v>
      </c>
      <c r="B42">
        <v>3.2470892626131953E-2</v>
      </c>
      <c r="C42">
        <v>3.2470892626131953E-2</v>
      </c>
      <c r="D42">
        <v>1.0996119016817595E-2</v>
      </c>
      <c r="E42">
        <v>0.52018111254851229</v>
      </c>
      <c r="F42">
        <v>7.5808538163001302E-2</v>
      </c>
      <c r="G42">
        <v>0.32807244501940491</v>
      </c>
    </row>
    <row r="43" spans="1:7" x14ac:dyDescent="0.2">
      <c r="A43">
        <v>2021</v>
      </c>
      <c r="B43">
        <v>4.9824663939216834E-2</v>
      </c>
      <c r="C43">
        <v>3.0976037405026302E-2</v>
      </c>
      <c r="D43">
        <v>1.0666277030976038E-2</v>
      </c>
      <c r="E43">
        <v>0.52776154295733491</v>
      </c>
      <c r="F43">
        <v>0.14187609585037991</v>
      </c>
      <c r="G43">
        <v>0.23889538281706607</v>
      </c>
    </row>
    <row r="44" spans="1:7" x14ac:dyDescent="0.2">
      <c r="A44">
        <v>2022</v>
      </c>
      <c r="B44">
        <v>4.7183507549361209E-2</v>
      </c>
      <c r="C44">
        <v>2.8164924506387922E-2</v>
      </c>
      <c r="D44">
        <v>1.0452961672473868E-2</v>
      </c>
      <c r="E44">
        <v>0.52526132404181192</v>
      </c>
      <c r="F44">
        <v>0.17682926829268295</v>
      </c>
      <c r="G44">
        <v>0.21210801393728224</v>
      </c>
    </row>
    <row r="45" spans="1:7" x14ac:dyDescent="0.2">
      <c r="A45">
        <v>2023</v>
      </c>
      <c r="B45">
        <v>4.2139135764633767E-2</v>
      </c>
      <c r="C45">
        <v>3.0340177750536313E-2</v>
      </c>
      <c r="D45">
        <v>1.1032791909285931E-2</v>
      </c>
      <c r="E45">
        <v>0.52865461231995092</v>
      </c>
      <c r="F45">
        <v>0.19675145571559913</v>
      </c>
      <c r="G45">
        <v>0.19108182653999387</v>
      </c>
    </row>
    <row r="46" spans="1:7" x14ac:dyDescent="0.2">
      <c r="A46">
        <v>2024</v>
      </c>
      <c r="B46">
        <v>4.5481837286100266E-2</v>
      </c>
      <c r="C46">
        <v>2.9120384268988289E-2</v>
      </c>
      <c r="D46">
        <v>1.0507355148604021E-2</v>
      </c>
      <c r="E46">
        <v>0.49369558691083754</v>
      </c>
      <c r="F46">
        <v>0.19588712098468927</v>
      </c>
      <c r="G46">
        <v>0.22530771540078054</v>
      </c>
    </row>
    <row r="47" spans="1:7" x14ac:dyDescent="0.2">
      <c r="A47">
        <v>2025</v>
      </c>
      <c r="B47">
        <v>6.8392134181607875E-2</v>
      </c>
      <c r="C47">
        <v>2.9641411220358588E-2</v>
      </c>
      <c r="D47">
        <v>2.9641411220358588E-2</v>
      </c>
      <c r="E47">
        <v>0.52241179872758825</v>
      </c>
      <c r="F47">
        <v>0.17018507807981492</v>
      </c>
      <c r="G47">
        <v>0.17972816657027182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6FBD-8295-7449-B0A6-0283CD3BDF85}">
  <dimension ref="A1:O37"/>
  <sheetViews>
    <sheetView workbookViewId="0">
      <selection activeCell="J2" sqref="J2:O9"/>
    </sheetView>
  </sheetViews>
  <sheetFormatPr baseColWidth="10" defaultRowHeight="16" x14ac:dyDescent="0.2"/>
  <sheetData>
    <row r="1" spans="1:15" x14ac:dyDescent="0.2">
      <c r="A1" s="2" t="s">
        <v>0</v>
      </c>
      <c r="B1" s="3" t="s">
        <v>1</v>
      </c>
      <c r="C1" s="3" t="s">
        <v>3</v>
      </c>
      <c r="D1" s="3" t="s">
        <v>5</v>
      </c>
      <c r="E1" s="3" t="s">
        <v>2</v>
      </c>
      <c r="F1" s="3" t="s">
        <v>6</v>
      </c>
      <c r="G1" s="3" t="s">
        <v>9</v>
      </c>
      <c r="H1" s="5" t="s">
        <v>7</v>
      </c>
      <c r="J1" s="3" t="s">
        <v>1</v>
      </c>
      <c r="K1" s="3" t="s">
        <v>3</v>
      </c>
      <c r="L1" s="3" t="s">
        <v>5</v>
      </c>
      <c r="M1" s="3" t="s">
        <v>2</v>
      </c>
      <c r="N1" s="3" t="s">
        <v>6</v>
      </c>
      <c r="O1" s="3" t="s">
        <v>9</v>
      </c>
    </row>
    <row r="2" spans="1:15" x14ac:dyDescent="0.2">
      <c r="A2" s="4">
        <v>1990</v>
      </c>
      <c r="B2" s="4">
        <v>4.0199999999999996</v>
      </c>
      <c r="C2" s="4">
        <v>29.09</v>
      </c>
      <c r="D2" s="4">
        <v>10.43</v>
      </c>
      <c r="E2" s="4">
        <v>0.17</v>
      </c>
      <c r="F2" s="4">
        <v>3.2</v>
      </c>
      <c r="G2" s="4">
        <v>11.53</v>
      </c>
      <c r="H2" s="4">
        <f t="shared" ref="H2:H9" si="0">SUM(B2:G2)</f>
        <v>58.440000000000005</v>
      </c>
      <c r="I2" s="4"/>
      <c r="J2" s="4">
        <f t="shared" ref="J2" si="1">B2/H2</f>
        <v>6.8788501026694038E-2</v>
      </c>
      <c r="K2" s="4">
        <f t="shared" ref="K2" si="2">C2/H2</f>
        <v>0.49777549623545514</v>
      </c>
      <c r="L2" s="4">
        <f t="shared" ref="L2" si="3">D2/H2</f>
        <v>0.17847364818617384</v>
      </c>
      <c r="M2" s="4">
        <f t="shared" ref="M2" si="4">E2/H2</f>
        <v>2.9089664613278577E-3</v>
      </c>
      <c r="N2" s="4">
        <f t="shared" ref="N2" si="5">F2/H2</f>
        <v>5.4757015742642023E-2</v>
      </c>
      <c r="O2" s="4">
        <f t="shared" ref="O2" si="6">G2/H2</f>
        <v>0.19729637234770703</v>
      </c>
    </row>
    <row r="3" spans="1:15" x14ac:dyDescent="0.2">
      <c r="A3" s="4">
        <v>1991</v>
      </c>
      <c r="B3" s="4">
        <v>3.54</v>
      </c>
      <c r="C3" s="4">
        <v>29.96</v>
      </c>
      <c r="D3" s="4">
        <v>9.43</v>
      </c>
      <c r="E3" s="4">
        <v>0.19</v>
      </c>
      <c r="F3" s="4">
        <v>3.6</v>
      </c>
      <c r="G3" s="4">
        <v>9.9700000000000006</v>
      </c>
      <c r="H3" s="4">
        <f t="shared" si="0"/>
        <v>56.69</v>
      </c>
      <c r="I3" s="4"/>
      <c r="J3" s="4">
        <f t="shared" ref="J3:J9" si="7">B3/H3</f>
        <v>6.2444875639442586E-2</v>
      </c>
      <c r="K3" s="4">
        <f t="shared" ref="K3:K9" si="8">C3/H3</f>
        <v>0.52848826953607342</v>
      </c>
      <c r="L3" s="4">
        <f t="shared" ref="L3:L9" si="9">D3/H3</f>
        <v>0.16634327041806315</v>
      </c>
      <c r="M3" s="4">
        <f t="shared" ref="M3:M9" si="10">E3/H3</f>
        <v>3.3515611218909863E-3</v>
      </c>
      <c r="N3" s="4">
        <f t="shared" ref="N3:N9" si="11">F3/H3</f>
        <v>6.3503263362144999E-2</v>
      </c>
      <c r="O3" s="4">
        <f t="shared" ref="O3:O9" si="12">G3/H3</f>
        <v>0.17586875992238493</v>
      </c>
    </row>
    <row r="4" spans="1:15" x14ac:dyDescent="0.2">
      <c r="A4" s="4">
        <v>1992</v>
      </c>
      <c r="B4" s="4">
        <v>4.3</v>
      </c>
      <c r="C4" s="4">
        <v>28.23</v>
      </c>
      <c r="D4" s="4">
        <v>10.77</v>
      </c>
      <c r="E4" s="4">
        <v>0.26</v>
      </c>
      <c r="F4" s="4">
        <v>3.8</v>
      </c>
      <c r="G4" s="4">
        <v>9.0299999999999994</v>
      </c>
      <c r="H4" s="4">
        <f t="shared" si="0"/>
        <v>56.389999999999993</v>
      </c>
      <c r="I4" s="4"/>
      <c r="J4" s="4">
        <f t="shared" si="7"/>
        <v>7.6254655080688072E-2</v>
      </c>
      <c r="K4" s="4">
        <f t="shared" si="8"/>
        <v>0.50062067742507543</v>
      </c>
      <c r="L4" s="4">
        <f t="shared" si="9"/>
        <v>0.19099131051604895</v>
      </c>
      <c r="M4" s="4">
        <f t="shared" si="10"/>
        <v>4.6107465862741627E-3</v>
      </c>
      <c r="N4" s="4">
        <f t="shared" si="11"/>
        <v>6.7387834722468523E-2</v>
      </c>
      <c r="O4" s="4">
        <f t="shared" si="12"/>
        <v>0.16013477566944495</v>
      </c>
    </row>
    <row r="5" spans="1:15" x14ac:dyDescent="0.2">
      <c r="A5" s="4">
        <v>1993</v>
      </c>
      <c r="B5" s="4">
        <v>3.45</v>
      </c>
      <c r="C5" s="4">
        <v>28.23</v>
      </c>
      <c r="D5" s="4">
        <v>7.85</v>
      </c>
      <c r="E5" s="4">
        <v>0.18</v>
      </c>
      <c r="F5" s="4">
        <v>4.4800000000000004</v>
      </c>
      <c r="G5" s="4">
        <v>8.16</v>
      </c>
      <c r="H5" s="4">
        <f t="shared" si="0"/>
        <v>52.349999999999994</v>
      </c>
      <c r="I5" s="4"/>
      <c r="J5" s="4">
        <f t="shared" si="7"/>
        <v>6.5902578796561612E-2</v>
      </c>
      <c r="K5" s="4">
        <f t="shared" si="8"/>
        <v>0.53925501432664769</v>
      </c>
      <c r="L5" s="4">
        <f t="shared" si="9"/>
        <v>0.14995224450811845</v>
      </c>
      <c r="M5" s="4">
        <f t="shared" si="10"/>
        <v>3.4383954154727798E-3</v>
      </c>
      <c r="N5" s="4">
        <f t="shared" si="11"/>
        <v>8.5577841451766973E-2</v>
      </c>
      <c r="O5" s="4">
        <f t="shared" si="12"/>
        <v>0.1558739255014327</v>
      </c>
    </row>
    <row r="6" spans="1:15" x14ac:dyDescent="0.2">
      <c r="A6" s="4">
        <v>1994</v>
      </c>
      <c r="B6" s="4">
        <v>3.31</v>
      </c>
      <c r="C6" s="4">
        <v>27.56</v>
      </c>
      <c r="D6" s="4">
        <v>8.2899999999999991</v>
      </c>
      <c r="E6" s="4">
        <v>0.18</v>
      </c>
      <c r="F6" s="4">
        <v>4.97</v>
      </c>
      <c r="G6" s="4">
        <v>7</v>
      </c>
      <c r="H6" s="4">
        <f t="shared" si="0"/>
        <v>51.309999999999995</v>
      </c>
      <c r="I6" s="4"/>
      <c r="J6" s="4">
        <f t="shared" si="7"/>
        <v>6.4509842136035861E-2</v>
      </c>
      <c r="K6" s="4">
        <f t="shared" si="8"/>
        <v>0.53712726564022606</v>
      </c>
      <c r="L6" s="4">
        <f t="shared" si="9"/>
        <v>0.16156694601442215</v>
      </c>
      <c r="M6" s="4">
        <f t="shared" si="10"/>
        <v>3.5080880919898657E-3</v>
      </c>
      <c r="N6" s="4">
        <f t="shared" si="11"/>
        <v>9.6862210095497961E-2</v>
      </c>
      <c r="O6" s="4">
        <f t="shared" si="12"/>
        <v>0.13642564802182811</v>
      </c>
    </row>
    <row r="7" spans="1:15" x14ac:dyDescent="0.2">
      <c r="A7" s="4">
        <v>1995</v>
      </c>
      <c r="B7" s="4">
        <v>3.18</v>
      </c>
      <c r="C7" s="4">
        <v>26.3</v>
      </c>
      <c r="D7" s="4">
        <v>8.32</v>
      </c>
      <c r="E7" s="4">
        <v>0.15</v>
      </c>
      <c r="F7" s="4">
        <v>4.68</v>
      </c>
      <c r="G7" s="4">
        <v>6.46</v>
      </c>
      <c r="H7" s="4">
        <f t="shared" si="0"/>
        <v>49.089999999999996</v>
      </c>
      <c r="I7" s="4"/>
      <c r="J7" s="4">
        <f t="shared" si="7"/>
        <v>6.477897738847016E-2</v>
      </c>
      <c r="K7" s="4">
        <f t="shared" si="8"/>
        <v>0.53575066204929722</v>
      </c>
      <c r="L7" s="4">
        <f t="shared" si="9"/>
        <v>0.16948462008555715</v>
      </c>
      <c r="M7" s="4">
        <f t="shared" si="10"/>
        <v>3.0556121409655735E-3</v>
      </c>
      <c r="N7" s="4">
        <f t="shared" si="11"/>
        <v>9.5335098798125892E-2</v>
      </c>
      <c r="O7" s="4">
        <f t="shared" si="12"/>
        <v>0.13159502953758404</v>
      </c>
    </row>
    <row r="8" spans="1:15" x14ac:dyDescent="0.2">
      <c r="A8" s="4">
        <v>1996</v>
      </c>
      <c r="B8" s="4">
        <v>3.24</v>
      </c>
      <c r="C8" s="4">
        <v>22.8</v>
      </c>
      <c r="D8" s="4">
        <v>7.15</v>
      </c>
      <c r="E8" s="4">
        <v>0.15</v>
      </c>
      <c r="F8" s="4">
        <v>5.51</v>
      </c>
      <c r="G8" s="4">
        <v>6.62</v>
      </c>
      <c r="H8" s="4">
        <f t="shared" si="0"/>
        <v>45.469999999999992</v>
      </c>
      <c r="I8" s="4"/>
      <c r="J8" s="4">
        <f t="shared" si="7"/>
        <v>7.1255773037167375E-2</v>
      </c>
      <c r="K8" s="4">
        <f t="shared" si="8"/>
        <v>0.50142951396525193</v>
      </c>
      <c r="L8" s="4">
        <f t="shared" si="9"/>
        <v>0.15724653617769963</v>
      </c>
      <c r="M8" s="4">
        <f t="shared" si="10"/>
        <v>3.2988783813503414E-3</v>
      </c>
      <c r="N8" s="4">
        <f t="shared" si="11"/>
        <v>0.12117879920826921</v>
      </c>
      <c r="O8" s="4">
        <f t="shared" si="12"/>
        <v>0.14559049923026174</v>
      </c>
    </row>
    <row r="9" spans="1:15" x14ac:dyDescent="0.2">
      <c r="A9" s="4">
        <v>1997</v>
      </c>
      <c r="B9" s="4">
        <v>3.48</v>
      </c>
      <c r="C9" s="4">
        <v>22.47</v>
      </c>
      <c r="D9" s="4">
        <v>7.44</v>
      </c>
      <c r="E9" s="4">
        <v>0.16</v>
      </c>
      <c r="F9" s="4">
        <v>5.01</v>
      </c>
      <c r="G9" s="4">
        <v>7.58</v>
      </c>
      <c r="H9" s="4">
        <f t="shared" si="0"/>
        <v>46.139999999999993</v>
      </c>
      <c r="I9" s="4"/>
      <c r="J9" s="4">
        <f t="shared" si="7"/>
        <v>7.542262678803642E-2</v>
      </c>
      <c r="K9" s="4">
        <f t="shared" si="8"/>
        <v>0.48699609882964895</v>
      </c>
      <c r="L9" s="4">
        <f t="shared" si="9"/>
        <v>0.16124837451235374</v>
      </c>
      <c r="M9" s="4">
        <f t="shared" si="10"/>
        <v>3.4677069787602951E-3</v>
      </c>
      <c r="N9" s="4">
        <f t="shared" si="11"/>
        <v>0.10858257477243174</v>
      </c>
      <c r="O9" s="4">
        <f t="shared" si="12"/>
        <v>0.16428261811876899</v>
      </c>
    </row>
    <row r="10" spans="1:15" x14ac:dyDescent="0.2">
      <c r="A10" s="4">
        <v>1998</v>
      </c>
      <c r="B10" s="4">
        <v>4.08</v>
      </c>
      <c r="C10" s="4">
        <v>22.39</v>
      </c>
      <c r="D10" s="4">
        <v>9.9499999999999993</v>
      </c>
      <c r="E10" s="4">
        <v>0.21</v>
      </c>
      <c r="F10" s="4">
        <v>4.6399999999999997</v>
      </c>
      <c r="G10" s="4">
        <v>9.86</v>
      </c>
      <c r="H10" s="4">
        <f>SUM(B10:G10)</f>
        <v>51.13</v>
      </c>
      <c r="I10" s="4"/>
      <c r="J10" s="4">
        <f>B10/H10</f>
        <v>7.9796596909837661E-2</v>
      </c>
      <c r="K10" s="4">
        <f>C10/H10</f>
        <v>0.4379033835321729</v>
      </c>
      <c r="L10" s="4">
        <f>D10/H10</f>
        <v>0.19460199491492272</v>
      </c>
      <c r="M10" s="4">
        <f>E10/H10</f>
        <v>4.1071777821239976E-3</v>
      </c>
      <c r="N10" s="4">
        <f>F10/H10</f>
        <v>9.0749070995501654E-2</v>
      </c>
      <c r="O10" s="4">
        <f>G10/H10</f>
        <v>0.19284177586544102</v>
      </c>
    </row>
    <row r="11" spans="1:15" x14ac:dyDescent="0.2">
      <c r="A11" s="4">
        <v>1999</v>
      </c>
      <c r="B11" s="4">
        <v>3.88</v>
      </c>
      <c r="C11" s="4">
        <v>21.94</v>
      </c>
      <c r="D11" s="4">
        <v>8.8000000000000007</v>
      </c>
      <c r="E11" s="4">
        <v>0.25</v>
      </c>
      <c r="F11" s="4">
        <v>6.18</v>
      </c>
      <c r="G11" s="4">
        <v>9.98</v>
      </c>
      <c r="H11">
        <f t="shared" ref="H11:H37" si="13">SUM(B11:G11)</f>
        <v>51.03</v>
      </c>
      <c r="J11">
        <f t="shared" ref="J11:J37" si="14">B11/H11</f>
        <v>7.6033705663335283E-2</v>
      </c>
      <c r="K11">
        <f t="shared" ref="K11:K37" si="15">C11/H11</f>
        <v>0.42994317068391141</v>
      </c>
      <c r="L11">
        <f t="shared" ref="L11:L37" si="16">D11/H11</f>
        <v>0.17244757985498727</v>
      </c>
      <c r="M11">
        <f t="shared" ref="M11:M37" si="17">E11/H11</f>
        <v>4.8990789731530471E-3</v>
      </c>
      <c r="N11">
        <f t="shared" ref="N11:N37" si="18">F11/H11</f>
        <v>0.12110523221634333</v>
      </c>
      <c r="O11">
        <f t="shared" ref="O11:O37" si="19">G11/H11</f>
        <v>0.19557123260826964</v>
      </c>
    </row>
    <row r="12" spans="1:15" x14ac:dyDescent="0.2">
      <c r="A12" s="4">
        <v>2000</v>
      </c>
      <c r="B12" s="4">
        <v>3.91</v>
      </c>
      <c r="C12" s="4">
        <v>21.72</v>
      </c>
      <c r="D12" s="4">
        <v>8.5</v>
      </c>
      <c r="E12" s="4">
        <v>0.17</v>
      </c>
      <c r="F12" s="4">
        <v>7.5</v>
      </c>
      <c r="G12" s="4">
        <v>9.84</v>
      </c>
      <c r="H12">
        <f t="shared" si="13"/>
        <v>51.64</v>
      </c>
      <c r="J12">
        <f t="shared" si="14"/>
        <v>7.5716498838109991E-2</v>
      </c>
      <c r="K12">
        <f t="shared" si="15"/>
        <v>0.42060418280402784</v>
      </c>
      <c r="L12">
        <f t="shared" si="16"/>
        <v>0.16460108443067389</v>
      </c>
      <c r="M12">
        <f t="shared" si="17"/>
        <v>3.2920216886134783E-3</v>
      </c>
      <c r="N12">
        <f t="shared" si="18"/>
        <v>0.14523625096824166</v>
      </c>
      <c r="O12">
        <f t="shared" si="19"/>
        <v>0.19054996127033308</v>
      </c>
    </row>
    <row r="13" spans="1:15" x14ac:dyDescent="0.2">
      <c r="A13" s="4">
        <v>2001</v>
      </c>
      <c r="B13" s="4">
        <v>4.22</v>
      </c>
      <c r="C13" s="4">
        <v>21.03</v>
      </c>
      <c r="D13" s="4">
        <v>8.32</v>
      </c>
      <c r="E13" s="4">
        <v>0.15</v>
      </c>
      <c r="F13" s="4">
        <v>7.94</v>
      </c>
      <c r="G13" s="4">
        <v>9.9600000000000009</v>
      </c>
      <c r="H13">
        <f t="shared" si="13"/>
        <v>51.62</v>
      </c>
      <c r="J13">
        <f t="shared" si="14"/>
        <v>8.1751259201859744E-2</v>
      </c>
      <c r="K13">
        <f t="shared" si="15"/>
        <v>0.40740023246803569</v>
      </c>
      <c r="L13">
        <f t="shared" si="16"/>
        <v>0.16117783804726851</v>
      </c>
      <c r="M13">
        <f t="shared" si="17"/>
        <v>2.905850445563735E-3</v>
      </c>
      <c r="N13">
        <f t="shared" si="18"/>
        <v>0.1538163502518404</v>
      </c>
      <c r="O13">
        <f t="shared" si="19"/>
        <v>0.19294846958543202</v>
      </c>
    </row>
    <row r="14" spans="1:15" x14ac:dyDescent="0.2">
      <c r="A14" s="4">
        <v>2002</v>
      </c>
      <c r="B14" s="4">
        <v>4.33</v>
      </c>
      <c r="C14" s="4">
        <v>20.48</v>
      </c>
      <c r="D14" s="4">
        <v>8.25</v>
      </c>
      <c r="E14" s="4">
        <v>0.15</v>
      </c>
      <c r="F14" s="4">
        <v>8.57</v>
      </c>
      <c r="G14" s="4">
        <v>9.99</v>
      </c>
      <c r="H14">
        <f t="shared" si="13"/>
        <v>51.77</v>
      </c>
      <c r="J14">
        <f t="shared" si="14"/>
        <v>8.3639173266370478E-2</v>
      </c>
      <c r="K14">
        <f t="shared" si="15"/>
        <v>0.395595904964265</v>
      </c>
      <c r="L14">
        <f t="shared" si="16"/>
        <v>0.15935870195093682</v>
      </c>
      <c r="M14">
        <f t="shared" si="17"/>
        <v>2.8974309445624876E-3</v>
      </c>
      <c r="N14">
        <f t="shared" si="18"/>
        <v>0.16553988796600347</v>
      </c>
      <c r="O14">
        <f t="shared" si="19"/>
        <v>0.1929689009078617</v>
      </c>
    </row>
    <row r="15" spans="1:15" x14ac:dyDescent="0.2">
      <c r="A15" s="4">
        <v>2003</v>
      </c>
      <c r="B15" s="4">
        <v>5.3</v>
      </c>
      <c r="C15" s="4">
        <v>20.37</v>
      </c>
      <c r="D15" s="4">
        <v>8.56</v>
      </c>
      <c r="E15" s="4">
        <v>0.16</v>
      </c>
      <c r="F15" s="4">
        <v>9.91</v>
      </c>
      <c r="G15" s="4">
        <v>9.16</v>
      </c>
      <c r="H15">
        <f t="shared" si="13"/>
        <v>53.459999999999994</v>
      </c>
      <c r="J15">
        <f t="shared" si="14"/>
        <v>9.9139543583988035E-2</v>
      </c>
      <c r="K15">
        <f t="shared" si="15"/>
        <v>0.38103254769921441</v>
      </c>
      <c r="L15">
        <f t="shared" si="16"/>
        <v>0.16011971567527125</v>
      </c>
      <c r="M15">
        <f t="shared" si="17"/>
        <v>2.9928918817807709E-3</v>
      </c>
      <c r="N15">
        <f t="shared" si="18"/>
        <v>0.1853722409277965</v>
      </c>
      <c r="O15">
        <f t="shared" si="19"/>
        <v>0.17134306023194915</v>
      </c>
    </row>
    <row r="16" spans="1:15" x14ac:dyDescent="0.2">
      <c r="A16" s="4">
        <v>2004</v>
      </c>
      <c r="B16" s="4">
        <v>3.69</v>
      </c>
      <c r="C16" s="4">
        <v>20.93</v>
      </c>
      <c r="D16" s="4">
        <v>8.16</v>
      </c>
      <c r="E16" s="4">
        <v>0.13</v>
      </c>
      <c r="F16" s="4">
        <v>12.43</v>
      </c>
      <c r="G16" s="4">
        <v>8.5399999999999991</v>
      </c>
      <c r="H16">
        <f t="shared" si="13"/>
        <v>53.88</v>
      </c>
      <c r="J16">
        <f t="shared" si="14"/>
        <v>6.8485523385300659E-2</v>
      </c>
      <c r="K16">
        <f t="shared" si="15"/>
        <v>0.3884558277654046</v>
      </c>
      <c r="L16">
        <f t="shared" si="16"/>
        <v>0.15144766146993319</v>
      </c>
      <c r="M16">
        <f t="shared" si="17"/>
        <v>2.4127691165553079E-3</v>
      </c>
      <c r="N16">
        <f t="shared" si="18"/>
        <v>0.23069784706755753</v>
      </c>
      <c r="O16">
        <f t="shared" si="19"/>
        <v>0.15850037119524868</v>
      </c>
    </row>
    <row r="17" spans="1:15" x14ac:dyDescent="0.2">
      <c r="A17" s="4">
        <v>2005</v>
      </c>
      <c r="B17" s="4">
        <v>3.61</v>
      </c>
      <c r="C17" s="4">
        <v>21.5</v>
      </c>
      <c r="D17" s="4">
        <v>7.23</v>
      </c>
      <c r="E17" s="4">
        <v>0.12</v>
      </c>
      <c r="F17" s="4">
        <v>14.22</v>
      </c>
      <c r="G17" s="4">
        <v>6.76</v>
      </c>
      <c r="H17">
        <f t="shared" si="13"/>
        <v>53.44</v>
      </c>
      <c r="J17">
        <f t="shared" si="14"/>
        <v>6.755239520958084E-2</v>
      </c>
      <c r="K17">
        <f t="shared" si="15"/>
        <v>0.40232035928143717</v>
      </c>
      <c r="L17">
        <f t="shared" si="16"/>
        <v>0.13529191616766467</v>
      </c>
      <c r="M17">
        <f t="shared" si="17"/>
        <v>2.2455089820359281E-3</v>
      </c>
      <c r="N17">
        <f t="shared" si="18"/>
        <v>0.26609281437125754</v>
      </c>
      <c r="O17">
        <f t="shared" si="19"/>
        <v>0.12649700598802396</v>
      </c>
    </row>
    <row r="18" spans="1:15" x14ac:dyDescent="0.2">
      <c r="A18" s="4">
        <v>2006</v>
      </c>
      <c r="B18" s="4">
        <v>4.58</v>
      </c>
      <c r="C18" s="4">
        <v>20.86</v>
      </c>
      <c r="D18" s="4">
        <v>7.77</v>
      </c>
      <c r="E18" s="4">
        <v>0.11</v>
      </c>
      <c r="F18" s="4">
        <v>14.41</v>
      </c>
      <c r="G18" s="4">
        <v>6.43</v>
      </c>
      <c r="H18">
        <f t="shared" si="13"/>
        <v>54.159999999999989</v>
      </c>
      <c r="J18">
        <f t="shared" si="14"/>
        <v>8.4564254062038421E-2</v>
      </c>
      <c r="K18">
        <f t="shared" si="15"/>
        <v>0.38515509601181691</v>
      </c>
      <c r="L18">
        <f t="shared" si="16"/>
        <v>0.14346381093057609</v>
      </c>
      <c r="M18">
        <f t="shared" si="17"/>
        <v>2.031019202363368E-3</v>
      </c>
      <c r="N18">
        <f t="shared" si="18"/>
        <v>0.26606351550960122</v>
      </c>
      <c r="O18">
        <f t="shared" si="19"/>
        <v>0.11872230428360415</v>
      </c>
    </row>
    <row r="19" spans="1:15" x14ac:dyDescent="0.2">
      <c r="A19" s="4">
        <v>2007</v>
      </c>
      <c r="B19" s="4">
        <v>4.34</v>
      </c>
      <c r="C19" s="4">
        <v>20.190000000000001</v>
      </c>
      <c r="D19" s="4">
        <v>7.69</v>
      </c>
      <c r="E19" s="4">
        <v>0.1</v>
      </c>
      <c r="F19" s="4">
        <v>16.75</v>
      </c>
      <c r="G19" s="4">
        <v>5.83</v>
      </c>
      <c r="H19">
        <f t="shared" si="13"/>
        <v>54.9</v>
      </c>
      <c r="J19">
        <f t="shared" si="14"/>
        <v>7.9052823315118398E-2</v>
      </c>
      <c r="K19">
        <f t="shared" si="15"/>
        <v>0.36775956284153011</v>
      </c>
      <c r="L19">
        <f t="shared" si="16"/>
        <v>0.1400728597449909</v>
      </c>
      <c r="M19">
        <f t="shared" si="17"/>
        <v>1.8214936247723135E-3</v>
      </c>
      <c r="N19">
        <f t="shared" si="18"/>
        <v>0.30510018214936246</v>
      </c>
      <c r="O19">
        <f t="shared" si="19"/>
        <v>0.10619307832422586</v>
      </c>
    </row>
    <row r="20" spans="1:15" x14ac:dyDescent="0.2">
      <c r="A20" s="4">
        <v>2008</v>
      </c>
      <c r="B20" s="4">
        <v>3.92</v>
      </c>
      <c r="C20" s="4">
        <v>23.33</v>
      </c>
      <c r="D20" s="4">
        <v>5.95</v>
      </c>
      <c r="E20" s="4">
        <v>0.11</v>
      </c>
      <c r="F20" s="4">
        <v>17.75</v>
      </c>
      <c r="G20" s="4">
        <v>5.36</v>
      </c>
      <c r="H20">
        <f t="shared" si="13"/>
        <v>56.42</v>
      </c>
      <c r="J20">
        <f t="shared" si="14"/>
        <v>6.9478908188585611E-2</v>
      </c>
      <c r="K20">
        <f t="shared" si="15"/>
        <v>0.41350584898971993</v>
      </c>
      <c r="L20">
        <f t="shared" si="16"/>
        <v>0.10545905707196029</v>
      </c>
      <c r="M20">
        <f t="shared" si="17"/>
        <v>1.9496632399858206E-3</v>
      </c>
      <c r="N20">
        <f t="shared" si="18"/>
        <v>0.31460475008862104</v>
      </c>
      <c r="O20">
        <f t="shared" si="19"/>
        <v>9.5001772421127256E-2</v>
      </c>
    </row>
    <row r="21" spans="1:15" x14ac:dyDescent="0.2">
      <c r="A21" s="4">
        <v>2009</v>
      </c>
      <c r="B21" s="4">
        <v>3.35</v>
      </c>
      <c r="C21" s="4">
        <v>20.59</v>
      </c>
      <c r="D21" s="4">
        <v>4.75</v>
      </c>
      <c r="E21" s="4">
        <v>0.15</v>
      </c>
      <c r="F21" s="4">
        <v>23.27</v>
      </c>
      <c r="G21" s="4">
        <v>4.91</v>
      </c>
      <c r="H21">
        <f t="shared" si="13"/>
        <v>57.019999999999996</v>
      </c>
      <c r="J21">
        <f t="shared" si="14"/>
        <v>5.8751315327955106E-2</v>
      </c>
      <c r="K21">
        <f t="shared" si="15"/>
        <v>0.36110136794107334</v>
      </c>
      <c r="L21">
        <f t="shared" si="16"/>
        <v>8.3304103823219927E-2</v>
      </c>
      <c r="M21">
        <f t="shared" si="17"/>
        <v>2.6306559102069449E-3</v>
      </c>
      <c r="N21">
        <f t="shared" si="18"/>
        <v>0.4081024202034374</v>
      </c>
      <c r="O21">
        <f t="shared" si="19"/>
        <v>8.6110136794107339E-2</v>
      </c>
    </row>
    <row r="22" spans="1:15" x14ac:dyDescent="0.2">
      <c r="A22" s="4">
        <v>2010</v>
      </c>
      <c r="B22" s="4">
        <v>2.99</v>
      </c>
      <c r="C22" s="4">
        <v>20.58</v>
      </c>
      <c r="D22" s="4">
        <v>4.4800000000000004</v>
      </c>
      <c r="E22" s="4">
        <v>0.14000000000000001</v>
      </c>
      <c r="F22" s="4">
        <v>27.18</v>
      </c>
      <c r="G22" s="4">
        <v>4.04</v>
      </c>
      <c r="H22">
        <f t="shared" si="13"/>
        <v>59.410000000000004</v>
      </c>
      <c r="J22">
        <f t="shared" si="14"/>
        <v>5.0328227571115977E-2</v>
      </c>
      <c r="K22">
        <f t="shared" si="15"/>
        <v>0.34640632890085837</v>
      </c>
      <c r="L22">
        <f t="shared" si="16"/>
        <v>7.5408180441003198E-2</v>
      </c>
      <c r="M22">
        <f t="shared" si="17"/>
        <v>2.3565056387813499E-3</v>
      </c>
      <c r="N22">
        <f t="shared" si="18"/>
        <v>0.45749873758626491</v>
      </c>
      <c r="O22">
        <f t="shared" si="19"/>
        <v>6.8002019861976098E-2</v>
      </c>
    </row>
    <row r="23" spans="1:15" x14ac:dyDescent="0.2">
      <c r="A23" s="4">
        <v>2011</v>
      </c>
      <c r="B23" s="4">
        <v>2.85</v>
      </c>
      <c r="C23" s="4">
        <v>20.46</v>
      </c>
      <c r="D23" s="4">
        <v>4.6500000000000004</v>
      </c>
      <c r="E23" s="4">
        <v>0.2</v>
      </c>
      <c r="F23" s="4">
        <v>29.18</v>
      </c>
      <c r="G23" s="4">
        <v>3.69</v>
      </c>
      <c r="H23">
        <f t="shared" si="13"/>
        <v>61.03</v>
      </c>
      <c r="J23">
        <f t="shared" si="14"/>
        <v>4.6698345076192034E-2</v>
      </c>
      <c r="K23">
        <f t="shared" si="15"/>
        <v>0.33524496149434707</v>
      </c>
      <c r="L23">
        <f t="shared" si="16"/>
        <v>7.619203670326069E-2</v>
      </c>
      <c r="M23">
        <f t="shared" si="17"/>
        <v>3.2770768474520728E-3</v>
      </c>
      <c r="N23">
        <f t="shared" si="18"/>
        <v>0.47812551204325743</v>
      </c>
      <c r="O23">
        <f t="shared" si="19"/>
        <v>6.046206783549074E-2</v>
      </c>
    </row>
    <row r="24" spans="1:15" x14ac:dyDescent="0.2">
      <c r="A24" s="4">
        <v>2012</v>
      </c>
      <c r="B24" s="4">
        <v>2.71</v>
      </c>
      <c r="C24" s="4">
        <v>21.11</v>
      </c>
      <c r="D24" s="4">
        <v>4.2699999999999996</v>
      </c>
      <c r="E24" s="4">
        <v>0.31</v>
      </c>
      <c r="F24" s="4">
        <v>29.36</v>
      </c>
      <c r="G24" s="4">
        <v>3.57</v>
      </c>
      <c r="H24">
        <f t="shared" si="13"/>
        <v>61.33</v>
      </c>
      <c r="J24">
        <f t="shared" si="14"/>
        <v>4.4187184086091638E-2</v>
      </c>
      <c r="K24">
        <f t="shared" si="15"/>
        <v>0.34420348932007172</v>
      </c>
      <c r="L24">
        <f t="shared" si="16"/>
        <v>6.9623349095059503E-2</v>
      </c>
      <c r="M24">
        <f t="shared" si="17"/>
        <v>5.0546225338333603E-3</v>
      </c>
      <c r="N24">
        <f t="shared" si="18"/>
        <v>0.47872166965595958</v>
      </c>
      <c r="O24">
        <f t="shared" si="19"/>
        <v>5.8209685308984183E-2</v>
      </c>
    </row>
    <row r="25" spans="1:15" x14ac:dyDescent="0.2">
      <c r="A25" s="4">
        <v>2013</v>
      </c>
      <c r="B25" s="4">
        <v>1.4</v>
      </c>
      <c r="C25" s="4">
        <v>19.53</v>
      </c>
      <c r="D25" s="4">
        <v>3.77</v>
      </c>
      <c r="E25" s="4">
        <v>0.3</v>
      </c>
      <c r="F25" s="4">
        <v>35.08</v>
      </c>
      <c r="G25" s="4">
        <v>3.55</v>
      </c>
      <c r="H25">
        <f t="shared" si="13"/>
        <v>63.629999999999995</v>
      </c>
      <c r="J25">
        <f t="shared" si="14"/>
        <v>2.2002200220022004E-2</v>
      </c>
      <c r="K25">
        <f t="shared" si="15"/>
        <v>0.30693069306930698</v>
      </c>
      <c r="L25">
        <f t="shared" si="16"/>
        <v>5.9248782021059251E-2</v>
      </c>
      <c r="M25">
        <f t="shared" si="17"/>
        <v>4.7147571900047151E-3</v>
      </c>
      <c r="N25">
        <f t="shared" si="18"/>
        <v>0.5513122740845513</v>
      </c>
      <c r="O25">
        <f t="shared" si="19"/>
        <v>5.5791293415055794E-2</v>
      </c>
    </row>
    <row r="26" spans="1:15" x14ac:dyDescent="0.2">
      <c r="A26" s="4">
        <v>2014</v>
      </c>
      <c r="B26" s="4">
        <v>1.29</v>
      </c>
      <c r="C26" s="4">
        <v>18.98</v>
      </c>
      <c r="D26" s="4">
        <v>3.54</v>
      </c>
      <c r="E26" s="4">
        <v>0.24</v>
      </c>
      <c r="F26" s="4">
        <v>35.549999999999997</v>
      </c>
      <c r="G26" s="4">
        <v>4.21</v>
      </c>
      <c r="H26">
        <f t="shared" si="13"/>
        <v>63.809999999999995</v>
      </c>
      <c r="J26">
        <f t="shared" si="14"/>
        <v>2.0216267042783266E-2</v>
      </c>
      <c r="K26">
        <f t="shared" si="15"/>
        <v>0.29744554145118324</v>
      </c>
      <c r="L26">
        <f t="shared" si="16"/>
        <v>5.5477197931358725E-2</v>
      </c>
      <c r="M26">
        <f t="shared" si="17"/>
        <v>3.7611659614480491E-3</v>
      </c>
      <c r="N26">
        <f t="shared" si="18"/>
        <v>0.55712270803949226</v>
      </c>
      <c r="O26">
        <f t="shared" si="19"/>
        <v>6.5977119573734533E-2</v>
      </c>
    </row>
    <row r="27" spans="1:15" x14ac:dyDescent="0.2">
      <c r="A27" s="4">
        <v>2015</v>
      </c>
      <c r="B27" s="4">
        <v>1.51</v>
      </c>
      <c r="C27" s="4">
        <v>17.260000000000002</v>
      </c>
      <c r="D27" s="4">
        <v>3.76</v>
      </c>
      <c r="E27" s="4">
        <v>0.27</v>
      </c>
      <c r="F27" s="4">
        <v>32.299999999999997</v>
      </c>
      <c r="G27" s="4">
        <v>5.39</v>
      </c>
      <c r="H27">
        <f t="shared" si="13"/>
        <v>60.489999999999995</v>
      </c>
      <c r="J27">
        <f t="shared" si="14"/>
        <v>2.4962803769218056E-2</v>
      </c>
      <c r="K27">
        <f t="shared" si="15"/>
        <v>0.28533641924285008</v>
      </c>
      <c r="L27">
        <f t="shared" si="16"/>
        <v>6.2159034551165483E-2</v>
      </c>
      <c r="M27">
        <f t="shared" si="17"/>
        <v>4.4635476938336919E-3</v>
      </c>
      <c r="N27">
        <f t="shared" si="18"/>
        <v>0.53397255744751193</v>
      </c>
      <c r="O27">
        <f t="shared" si="19"/>
        <v>8.9105637295420731E-2</v>
      </c>
    </row>
    <row r="28" spans="1:15" x14ac:dyDescent="0.2">
      <c r="A28" s="4">
        <v>2016</v>
      </c>
      <c r="B28" s="4">
        <v>3.48</v>
      </c>
      <c r="C28" s="4">
        <v>15.01</v>
      </c>
      <c r="D28" s="4">
        <v>3.6</v>
      </c>
      <c r="E28" s="4">
        <v>0.44</v>
      </c>
      <c r="F28" s="4">
        <v>34.619999999999997</v>
      </c>
      <c r="G28" s="4">
        <v>4.71</v>
      </c>
      <c r="H28">
        <f t="shared" si="13"/>
        <v>61.86</v>
      </c>
      <c r="J28">
        <f t="shared" si="14"/>
        <v>5.6256062075654707E-2</v>
      </c>
      <c r="K28">
        <f t="shared" si="15"/>
        <v>0.24264468153895893</v>
      </c>
      <c r="L28">
        <f t="shared" si="16"/>
        <v>5.8195926285160043E-2</v>
      </c>
      <c r="M28">
        <f t="shared" si="17"/>
        <v>7.1128354348528938E-3</v>
      </c>
      <c r="N28">
        <f t="shared" si="18"/>
        <v>0.55965082444228897</v>
      </c>
      <c r="O28">
        <f t="shared" si="19"/>
        <v>7.6139670223084391E-2</v>
      </c>
    </row>
    <row r="29" spans="1:15" x14ac:dyDescent="0.2">
      <c r="A29" s="4">
        <v>2017</v>
      </c>
      <c r="B29" s="4">
        <v>1.9</v>
      </c>
      <c r="C29" s="4">
        <v>15.11</v>
      </c>
      <c r="D29" s="4">
        <v>3.75</v>
      </c>
      <c r="E29" s="4">
        <v>0.5</v>
      </c>
      <c r="F29" s="4">
        <v>35.979999999999997</v>
      </c>
      <c r="G29" s="4">
        <v>3.9</v>
      </c>
      <c r="H29">
        <f t="shared" si="13"/>
        <v>61.139999999999993</v>
      </c>
      <c r="J29">
        <f t="shared" si="14"/>
        <v>3.1076218514883874E-2</v>
      </c>
      <c r="K29">
        <f t="shared" si="15"/>
        <v>0.2471377167157344</v>
      </c>
      <c r="L29">
        <f t="shared" si="16"/>
        <v>6.1334641805691863E-2</v>
      </c>
      <c r="M29">
        <f t="shared" si="17"/>
        <v>8.177952240758915E-3</v>
      </c>
      <c r="N29">
        <f t="shared" si="18"/>
        <v>0.58848544324501151</v>
      </c>
      <c r="O29">
        <f t="shared" si="19"/>
        <v>6.3788027477919534E-2</v>
      </c>
    </row>
    <row r="30" spans="1:15" x14ac:dyDescent="0.2">
      <c r="A30" s="4">
        <v>2018</v>
      </c>
      <c r="B30" s="4">
        <v>1.32</v>
      </c>
      <c r="C30" s="4">
        <v>16.29</v>
      </c>
      <c r="D30" s="4">
        <v>3.52</v>
      </c>
      <c r="E30" s="4">
        <v>0.4</v>
      </c>
      <c r="F30" s="4">
        <v>37.49</v>
      </c>
      <c r="G30" s="4">
        <v>3.59</v>
      </c>
      <c r="H30">
        <f t="shared" si="13"/>
        <v>62.61</v>
      </c>
      <c r="J30">
        <f t="shared" si="14"/>
        <v>2.1082894106372783E-2</v>
      </c>
      <c r="K30">
        <f t="shared" si="15"/>
        <v>0.26018207954000955</v>
      </c>
      <c r="L30">
        <f t="shared" si="16"/>
        <v>5.6221050950327423E-2</v>
      </c>
      <c r="M30">
        <f t="shared" si="17"/>
        <v>6.3887557898099348E-3</v>
      </c>
      <c r="N30">
        <f t="shared" si="18"/>
        <v>0.59878613639993616</v>
      </c>
      <c r="O30">
        <f t="shared" si="19"/>
        <v>5.7339083213544161E-2</v>
      </c>
    </row>
    <row r="31" spans="1:15" x14ac:dyDescent="0.2">
      <c r="A31" s="4">
        <v>2019</v>
      </c>
      <c r="B31" s="4">
        <v>3.65</v>
      </c>
      <c r="C31" s="4">
        <v>15.35</v>
      </c>
      <c r="D31" s="4">
        <v>3.12</v>
      </c>
      <c r="E31" s="4">
        <v>0.45</v>
      </c>
      <c r="F31" s="4">
        <v>40.4</v>
      </c>
      <c r="G31" s="4">
        <v>3.66</v>
      </c>
      <c r="H31">
        <f t="shared" si="13"/>
        <v>66.63</v>
      </c>
      <c r="J31">
        <f t="shared" si="14"/>
        <v>5.4780129070989045E-2</v>
      </c>
      <c r="K31">
        <f t="shared" si="15"/>
        <v>0.23037670718895392</v>
      </c>
      <c r="L31">
        <f t="shared" si="16"/>
        <v>4.6825754164790637E-2</v>
      </c>
      <c r="M31">
        <f t="shared" si="17"/>
        <v>6.7537145429986496E-3</v>
      </c>
      <c r="N31">
        <f t="shared" si="18"/>
        <v>0.60633348341587878</v>
      </c>
      <c r="O31">
        <f t="shared" si="19"/>
        <v>5.4930211616389023E-2</v>
      </c>
    </row>
    <row r="32" spans="1:15" x14ac:dyDescent="0.2">
      <c r="A32" s="4">
        <v>2020</v>
      </c>
      <c r="B32" s="4">
        <v>2.6</v>
      </c>
      <c r="C32" s="4">
        <v>24.87</v>
      </c>
      <c r="D32" s="4">
        <v>5.42</v>
      </c>
      <c r="E32" s="4">
        <v>1.31</v>
      </c>
      <c r="F32" s="4">
        <v>80.11</v>
      </c>
      <c r="G32" s="4">
        <v>10.06</v>
      </c>
      <c r="H32">
        <f t="shared" si="13"/>
        <v>124.37</v>
      </c>
      <c r="J32">
        <f t="shared" si="14"/>
        <v>2.0905363029669534E-2</v>
      </c>
      <c r="K32">
        <f t="shared" si="15"/>
        <v>0.19996783790303127</v>
      </c>
      <c r="L32">
        <f t="shared" si="16"/>
        <v>4.3579641392618794E-2</v>
      </c>
      <c r="M32">
        <f t="shared" si="17"/>
        <v>1.0533086757256574E-2</v>
      </c>
      <c r="N32">
        <f t="shared" si="18"/>
        <v>0.6441263970410871</v>
      </c>
      <c r="O32">
        <f t="shared" si="19"/>
        <v>8.0887673876336733E-2</v>
      </c>
    </row>
    <row r="33" spans="1:15" x14ac:dyDescent="0.2">
      <c r="A33" s="4">
        <v>2021</v>
      </c>
      <c r="B33" s="4">
        <v>0.93</v>
      </c>
      <c r="C33" s="4">
        <v>13.72</v>
      </c>
      <c r="D33" s="4">
        <v>2.91</v>
      </c>
      <c r="E33" s="4">
        <v>0.39</v>
      </c>
      <c r="F33" s="4">
        <v>43.08</v>
      </c>
      <c r="G33" s="4">
        <v>3.31</v>
      </c>
      <c r="H33">
        <f t="shared" si="13"/>
        <v>64.34</v>
      </c>
      <c r="J33">
        <f t="shared" si="14"/>
        <v>1.4454460677649985E-2</v>
      </c>
      <c r="K33">
        <f t="shared" si="15"/>
        <v>0.21324215107242772</v>
      </c>
      <c r="L33">
        <f t="shared" si="16"/>
        <v>4.5228473733291884E-2</v>
      </c>
      <c r="M33">
        <f t="shared" si="17"/>
        <v>6.0615480261112841E-3</v>
      </c>
      <c r="N33">
        <f t="shared" si="18"/>
        <v>0.66956792042275404</v>
      </c>
      <c r="O33">
        <f t="shared" si="19"/>
        <v>5.1445446067764994E-2</v>
      </c>
    </row>
    <row r="34" spans="1:15" x14ac:dyDescent="0.2">
      <c r="A34" s="4">
        <v>2022</v>
      </c>
      <c r="B34" s="4">
        <v>0.56999999999999995</v>
      </c>
      <c r="C34" s="4">
        <v>19.57</v>
      </c>
      <c r="D34" s="4">
        <v>4.1500000000000004</v>
      </c>
      <c r="E34" s="4">
        <v>0.66</v>
      </c>
      <c r="F34" s="4">
        <v>31.44</v>
      </c>
      <c r="G34" s="4">
        <v>3.61</v>
      </c>
      <c r="H34">
        <f t="shared" si="13"/>
        <v>60</v>
      </c>
      <c r="J34">
        <f t="shared" si="14"/>
        <v>9.4999999999999998E-3</v>
      </c>
      <c r="K34">
        <f t="shared" si="15"/>
        <v>0.32616666666666666</v>
      </c>
      <c r="L34">
        <f t="shared" si="16"/>
        <v>6.9166666666666668E-2</v>
      </c>
      <c r="M34">
        <f t="shared" si="17"/>
        <v>1.1000000000000001E-2</v>
      </c>
      <c r="N34">
        <f t="shared" si="18"/>
        <v>0.52400000000000002</v>
      </c>
      <c r="O34">
        <f t="shared" si="19"/>
        <v>6.0166666666666667E-2</v>
      </c>
    </row>
    <row r="35" spans="1:15" x14ac:dyDescent="0.2">
      <c r="A35" s="4">
        <v>2023</v>
      </c>
      <c r="B35" s="4">
        <v>0.61</v>
      </c>
      <c r="C35" s="4">
        <v>15.99</v>
      </c>
      <c r="D35" s="4">
        <v>3.62</v>
      </c>
      <c r="E35" s="4">
        <v>1.31</v>
      </c>
      <c r="F35" s="4">
        <v>37.82</v>
      </c>
      <c r="G35" s="4">
        <v>3.89</v>
      </c>
      <c r="H35">
        <f t="shared" si="13"/>
        <v>63.24</v>
      </c>
      <c r="J35">
        <f t="shared" si="14"/>
        <v>9.645793801391524E-3</v>
      </c>
      <c r="K35">
        <f t="shared" si="15"/>
        <v>0.2528462998102467</v>
      </c>
      <c r="L35">
        <f t="shared" si="16"/>
        <v>5.7242251739405441E-2</v>
      </c>
      <c r="M35">
        <f t="shared" si="17"/>
        <v>2.0714737507906388E-2</v>
      </c>
      <c r="N35">
        <f t="shared" si="18"/>
        <v>0.59803921568627449</v>
      </c>
      <c r="O35">
        <f t="shared" si="19"/>
        <v>6.1511701454775455E-2</v>
      </c>
    </row>
    <row r="36" spans="1:15" x14ac:dyDescent="0.2">
      <c r="A36" s="4">
        <v>2024</v>
      </c>
      <c r="B36" s="4">
        <v>0.83</v>
      </c>
      <c r="C36" s="4">
        <v>13.99</v>
      </c>
      <c r="D36" s="4">
        <v>3.07</v>
      </c>
      <c r="E36" s="4">
        <v>1.22</v>
      </c>
      <c r="F36" s="4">
        <v>37.549999999999997</v>
      </c>
      <c r="G36" s="4">
        <v>4.41</v>
      </c>
      <c r="H36">
        <f t="shared" si="13"/>
        <v>61.069999999999993</v>
      </c>
      <c r="J36">
        <f t="shared" si="14"/>
        <v>1.3590961192074669E-2</v>
      </c>
      <c r="K36">
        <f t="shared" si="15"/>
        <v>0.22908138202063208</v>
      </c>
      <c r="L36">
        <f t="shared" si="16"/>
        <v>5.0270181758637629E-2</v>
      </c>
      <c r="M36">
        <f t="shared" si="17"/>
        <v>1.99770754871459E-2</v>
      </c>
      <c r="N36">
        <f t="shared" si="18"/>
        <v>0.6148681840510889</v>
      </c>
      <c r="O36">
        <f t="shared" si="19"/>
        <v>7.2212215490420839E-2</v>
      </c>
    </row>
    <row r="37" spans="1:15" x14ac:dyDescent="0.2">
      <c r="A37" s="4">
        <v>2025</v>
      </c>
      <c r="B37" s="4">
        <v>1.31</v>
      </c>
      <c r="C37" s="4">
        <v>11.3</v>
      </c>
      <c r="D37" s="4">
        <v>3.3</v>
      </c>
      <c r="E37" s="4">
        <v>2.83</v>
      </c>
      <c r="F37" s="4">
        <v>36.93</v>
      </c>
      <c r="G37" s="4">
        <v>4.82</v>
      </c>
      <c r="H37">
        <f t="shared" si="13"/>
        <v>60.49</v>
      </c>
      <c r="J37">
        <f t="shared" si="14"/>
        <v>2.1656472144156058E-2</v>
      </c>
      <c r="K37">
        <f t="shared" si="15"/>
        <v>0.18680773681600266</v>
      </c>
      <c r="L37">
        <f t="shared" si="16"/>
        <v>5.4554471813522888E-2</v>
      </c>
      <c r="M37">
        <f t="shared" si="17"/>
        <v>4.6784592494627214E-2</v>
      </c>
      <c r="N37">
        <f t="shared" si="18"/>
        <v>0.6105141345676971</v>
      </c>
      <c r="O37">
        <f t="shared" si="19"/>
        <v>7.9682592163994051E-2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A2D6-D147-304E-B6DF-1AF0682E6BD6}">
  <dimension ref="A1:G37"/>
  <sheetViews>
    <sheetView workbookViewId="0">
      <selection activeCell="J19" sqref="J19"/>
    </sheetView>
  </sheetViews>
  <sheetFormatPr baseColWidth="10" defaultRowHeight="16" x14ac:dyDescent="0.2"/>
  <sheetData>
    <row r="1" spans="1:7" x14ac:dyDescent="0.2">
      <c r="A1" s="2" t="s">
        <v>0</v>
      </c>
      <c r="B1" t="s">
        <v>1</v>
      </c>
      <c r="C1" t="s">
        <v>3</v>
      </c>
      <c r="D1" t="s">
        <v>5</v>
      </c>
      <c r="E1" t="s">
        <v>2</v>
      </c>
      <c r="F1" t="s">
        <v>6</v>
      </c>
      <c r="G1" t="s">
        <v>9</v>
      </c>
    </row>
    <row r="2" spans="1:7" x14ac:dyDescent="0.2">
      <c r="A2" s="4">
        <v>1990</v>
      </c>
      <c r="B2">
        <v>6.8788501026694038E-2</v>
      </c>
      <c r="C2">
        <v>0.49777549623545514</v>
      </c>
      <c r="D2">
        <v>0.17847364818617384</v>
      </c>
      <c r="E2">
        <v>2.9089664613278577E-3</v>
      </c>
      <c r="F2">
        <v>5.4757015742642023E-2</v>
      </c>
      <c r="G2">
        <v>0.19729637234770703</v>
      </c>
    </row>
    <row r="3" spans="1:7" x14ac:dyDescent="0.2">
      <c r="A3" s="4">
        <v>1991</v>
      </c>
      <c r="B3">
        <v>6.2444875639442586E-2</v>
      </c>
      <c r="C3">
        <v>0.52848826953607342</v>
      </c>
      <c r="D3">
        <v>0.16634327041806315</v>
      </c>
      <c r="E3">
        <v>3.3515611218909863E-3</v>
      </c>
      <c r="F3">
        <v>6.3503263362144999E-2</v>
      </c>
      <c r="G3">
        <v>0.17586875992238493</v>
      </c>
    </row>
    <row r="4" spans="1:7" x14ac:dyDescent="0.2">
      <c r="A4" s="4">
        <v>1992</v>
      </c>
      <c r="B4">
        <v>7.6254655080688072E-2</v>
      </c>
      <c r="C4">
        <v>0.50062067742507543</v>
      </c>
      <c r="D4">
        <v>0.19099131051604895</v>
      </c>
      <c r="E4">
        <v>4.6107465862741627E-3</v>
      </c>
      <c r="F4">
        <v>6.7387834722468523E-2</v>
      </c>
      <c r="G4">
        <v>0.16013477566944495</v>
      </c>
    </row>
    <row r="5" spans="1:7" x14ac:dyDescent="0.2">
      <c r="A5" s="4">
        <v>1993</v>
      </c>
      <c r="B5">
        <v>6.5902578796561612E-2</v>
      </c>
      <c r="C5">
        <v>0.53925501432664769</v>
      </c>
      <c r="D5">
        <v>0.14995224450811845</v>
      </c>
      <c r="E5">
        <v>3.4383954154727798E-3</v>
      </c>
      <c r="F5">
        <v>8.5577841451766973E-2</v>
      </c>
      <c r="G5">
        <v>0.1558739255014327</v>
      </c>
    </row>
    <row r="6" spans="1:7" x14ac:dyDescent="0.2">
      <c r="A6" s="4">
        <v>1994</v>
      </c>
      <c r="B6">
        <v>6.4509842136035861E-2</v>
      </c>
      <c r="C6">
        <v>0.53712726564022606</v>
      </c>
      <c r="D6">
        <v>0.16156694601442215</v>
      </c>
      <c r="E6">
        <v>3.5080880919898657E-3</v>
      </c>
      <c r="F6">
        <v>9.6862210095497961E-2</v>
      </c>
      <c r="G6">
        <v>0.13642564802182811</v>
      </c>
    </row>
    <row r="7" spans="1:7" x14ac:dyDescent="0.2">
      <c r="A7" s="4">
        <v>1995</v>
      </c>
      <c r="B7">
        <v>6.477897738847016E-2</v>
      </c>
      <c r="C7">
        <v>0.53575066204929722</v>
      </c>
      <c r="D7">
        <v>0.16948462008555715</v>
      </c>
      <c r="E7">
        <v>3.0556121409655735E-3</v>
      </c>
      <c r="F7">
        <v>9.5335098798125892E-2</v>
      </c>
      <c r="G7">
        <v>0.13159502953758404</v>
      </c>
    </row>
    <row r="8" spans="1:7" x14ac:dyDescent="0.2">
      <c r="A8" s="4">
        <v>1996</v>
      </c>
      <c r="B8">
        <v>7.1255773037167375E-2</v>
      </c>
      <c r="C8">
        <v>0.50142951396525193</v>
      </c>
      <c r="D8">
        <v>0.15724653617769963</v>
      </c>
      <c r="E8">
        <v>3.2988783813503414E-3</v>
      </c>
      <c r="F8">
        <v>0.12117879920826921</v>
      </c>
      <c r="G8">
        <v>0.14559049923026174</v>
      </c>
    </row>
    <row r="9" spans="1:7" x14ac:dyDescent="0.2">
      <c r="A9" s="4">
        <v>1997</v>
      </c>
      <c r="B9">
        <v>7.542262678803642E-2</v>
      </c>
      <c r="C9">
        <v>0.48699609882964895</v>
      </c>
      <c r="D9">
        <v>0.16124837451235374</v>
      </c>
      <c r="E9">
        <v>3.4677069787602951E-3</v>
      </c>
      <c r="F9">
        <v>0.10858257477243174</v>
      </c>
      <c r="G9">
        <v>0.16428261811876899</v>
      </c>
    </row>
    <row r="10" spans="1:7" x14ac:dyDescent="0.2">
      <c r="A10" s="4">
        <v>1998</v>
      </c>
      <c r="B10">
        <v>7.9796596909837661E-2</v>
      </c>
      <c r="C10">
        <v>0.4379033835321729</v>
      </c>
      <c r="D10">
        <v>0.19460199491492272</v>
      </c>
      <c r="E10">
        <v>4.1071777821239976E-3</v>
      </c>
      <c r="F10">
        <v>9.0749070995501654E-2</v>
      </c>
      <c r="G10">
        <v>0.19284177586544102</v>
      </c>
    </row>
    <row r="11" spans="1:7" x14ac:dyDescent="0.2">
      <c r="A11" s="4">
        <v>1999</v>
      </c>
      <c r="B11">
        <v>7.6033705663335283E-2</v>
      </c>
      <c r="C11">
        <v>0.42994317068391141</v>
      </c>
      <c r="D11">
        <v>0.17244757985498727</v>
      </c>
      <c r="E11">
        <v>4.8990789731530471E-3</v>
      </c>
      <c r="F11">
        <v>0.12110523221634333</v>
      </c>
      <c r="G11">
        <v>0.19557123260826964</v>
      </c>
    </row>
    <row r="12" spans="1:7" x14ac:dyDescent="0.2">
      <c r="A12" s="4">
        <v>2000</v>
      </c>
      <c r="B12">
        <v>7.5716498838109991E-2</v>
      </c>
      <c r="C12">
        <v>0.42060418280402784</v>
      </c>
      <c r="D12">
        <v>0.16460108443067389</v>
      </c>
      <c r="E12">
        <v>3.2920216886134783E-3</v>
      </c>
      <c r="F12">
        <v>0.14523625096824166</v>
      </c>
      <c r="G12">
        <v>0.19054996127033308</v>
      </c>
    </row>
    <row r="13" spans="1:7" x14ac:dyDescent="0.2">
      <c r="A13" s="4">
        <v>2001</v>
      </c>
      <c r="B13">
        <v>8.1751259201859744E-2</v>
      </c>
      <c r="C13">
        <v>0.40740023246803569</v>
      </c>
      <c r="D13">
        <v>0.16117783804726851</v>
      </c>
      <c r="E13">
        <v>2.905850445563735E-3</v>
      </c>
      <c r="F13">
        <v>0.1538163502518404</v>
      </c>
      <c r="G13">
        <v>0.19294846958543202</v>
      </c>
    </row>
    <row r="14" spans="1:7" x14ac:dyDescent="0.2">
      <c r="A14" s="4">
        <v>2002</v>
      </c>
      <c r="B14">
        <v>8.3639173266370478E-2</v>
      </c>
      <c r="C14">
        <v>0.395595904964265</v>
      </c>
      <c r="D14">
        <v>0.15935870195093682</v>
      </c>
      <c r="E14">
        <v>2.8974309445624876E-3</v>
      </c>
      <c r="F14">
        <v>0.16553988796600347</v>
      </c>
      <c r="G14">
        <v>0.1929689009078617</v>
      </c>
    </row>
    <row r="15" spans="1:7" x14ac:dyDescent="0.2">
      <c r="A15" s="4">
        <v>2003</v>
      </c>
      <c r="B15">
        <v>9.9139543583988035E-2</v>
      </c>
      <c r="C15">
        <v>0.38103254769921441</v>
      </c>
      <c r="D15">
        <v>0.16011971567527125</v>
      </c>
      <c r="E15">
        <v>2.9928918817807709E-3</v>
      </c>
      <c r="F15">
        <v>0.1853722409277965</v>
      </c>
      <c r="G15">
        <v>0.17134306023194915</v>
      </c>
    </row>
    <row r="16" spans="1:7" x14ac:dyDescent="0.2">
      <c r="A16" s="4">
        <v>2004</v>
      </c>
      <c r="B16">
        <v>6.8485523385300659E-2</v>
      </c>
      <c r="C16">
        <v>0.3884558277654046</v>
      </c>
      <c r="D16">
        <v>0.15144766146993319</v>
      </c>
      <c r="E16">
        <v>2.4127691165553079E-3</v>
      </c>
      <c r="F16">
        <v>0.23069784706755753</v>
      </c>
      <c r="G16">
        <v>0.15850037119524868</v>
      </c>
    </row>
    <row r="17" spans="1:7" x14ac:dyDescent="0.2">
      <c r="A17" s="4">
        <v>2005</v>
      </c>
      <c r="B17">
        <v>6.755239520958084E-2</v>
      </c>
      <c r="C17">
        <v>0.40232035928143717</v>
      </c>
      <c r="D17">
        <v>0.13529191616766467</v>
      </c>
      <c r="E17">
        <v>2.2455089820359281E-3</v>
      </c>
      <c r="F17">
        <v>0.26609281437125754</v>
      </c>
      <c r="G17">
        <v>0.12649700598802396</v>
      </c>
    </row>
    <row r="18" spans="1:7" x14ac:dyDescent="0.2">
      <c r="A18" s="4">
        <v>2006</v>
      </c>
      <c r="B18">
        <v>8.4564254062038421E-2</v>
      </c>
      <c r="C18">
        <v>0.38515509601181691</v>
      </c>
      <c r="D18">
        <v>0.14346381093057609</v>
      </c>
      <c r="E18">
        <v>2.031019202363368E-3</v>
      </c>
      <c r="F18">
        <v>0.26606351550960122</v>
      </c>
      <c r="G18">
        <v>0.11872230428360415</v>
      </c>
    </row>
    <row r="19" spans="1:7" x14ac:dyDescent="0.2">
      <c r="A19" s="4">
        <v>2007</v>
      </c>
      <c r="B19">
        <v>7.9052823315118398E-2</v>
      </c>
      <c r="C19">
        <v>0.36775956284153011</v>
      </c>
      <c r="D19">
        <v>0.1400728597449909</v>
      </c>
      <c r="E19">
        <v>1.8214936247723135E-3</v>
      </c>
      <c r="F19">
        <v>0.30510018214936246</v>
      </c>
      <c r="G19">
        <v>0.10619307832422586</v>
      </c>
    </row>
    <row r="20" spans="1:7" x14ac:dyDescent="0.2">
      <c r="A20" s="4">
        <v>2008</v>
      </c>
      <c r="B20">
        <v>6.9478908188585611E-2</v>
      </c>
      <c r="C20">
        <v>0.41350584898971993</v>
      </c>
      <c r="D20">
        <v>0.10545905707196029</v>
      </c>
      <c r="E20">
        <v>1.9496632399858206E-3</v>
      </c>
      <c r="F20">
        <v>0.31460475008862104</v>
      </c>
      <c r="G20">
        <v>9.5001772421127256E-2</v>
      </c>
    </row>
    <row r="21" spans="1:7" x14ac:dyDescent="0.2">
      <c r="A21" s="4">
        <v>2009</v>
      </c>
      <c r="B21">
        <v>5.8751315327955106E-2</v>
      </c>
      <c r="C21">
        <v>0.36110136794107334</v>
      </c>
      <c r="D21">
        <v>8.3304103823219927E-2</v>
      </c>
      <c r="E21">
        <v>2.6306559102069449E-3</v>
      </c>
      <c r="F21">
        <v>0.4081024202034374</v>
      </c>
      <c r="G21">
        <v>8.6110136794107339E-2</v>
      </c>
    </row>
    <row r="22" spans="1:7" x14ac:dyDescent="0.2">
      <c r="A22" s="4">
        <v>2010</v>
      </c>
      <c r="B22">
        <v>5.0328227571115977E-2</v>
      </c>
      <c r="C22">
        <v>0.34640632890085837</v>
      </c>
      <c r="D22">
        <v>7.5408180441003198E-2</v>
      </c>
      <c r="E22">
        <v>2.3565056387813499E-3</v>
      </c>
      <c r="F22">
        <v>0.45749873758626491</v>
      </c>
      <c r="G22">
        <v>6.8002019861976098E-2</v>
      </c>
    </row>
    <row r="23" spans="1:7" x14ac:dyDescent="0.2">
      <c r="A23" s="4">
        <v>2011</v>
      </c>
      <c r="B23">
        <v>4.6698345076192034E-2</v>
      </c>
      <c r="C23">
        <v>0.33524496149434707</v>
      </c>
      <c r="D23">
        <v>7.619203670326069E-2</v>
      </c>
      <c r="E23">
        <v>3.2770768474520728E-3</v>
      </c>
      <c r="F23">
        <v>0.47812551204325743</v>
      </c>
      <c r="G23">
        <v>6.046206783549074E-2</v>
      </c>
    </row>
    <row r="24" spans="1:7" x14ac:dyDescent="0.2">
      <c r="A24" s="4">
        <v>2012</v>
      </c>
      <c r="B24">
        <v>4.4187184086091638E-2</v>
      </c>
      <c r="C24">
        <v>0.34420348932007172</v>
      </c>
      <c r="D24">
        <v>6.9623349095059503E-2</v>
      </c>
      <c r="E24">
        <v>5.0546225338333603E-3</v>
      </c>
      <c r="F24">
        <v>0.47872166965595958</v>
      </c>
      <c r="G24">
        <v>5.8209685308984183E-2</v>
      </c>
    </row>
    <row r="25" spans="1:7" x14ac:dyDescent="0.2">
      <c r="A25" s="4">
        <v>2013</v>
      </c>
      <c r="B25">
        <v>2.2002200220022004E-2</v>
      </c>
      <c r="C25">
        <v>0.30693069306930698</v>
      </c>
      <c r="D25">
        <v>5.9248782021059251E-2</v>
      </c>
      <c r="E25">
        <v>4.7147571900047151E-3</v>
      </c>
      <c r="F25">
        <v>0.5513122740845513</v>
      </c>
      <c r="G25">
        <v>5.5791293415055794E-2</v>
      </c>
    </row>
    <row r="26" spans="1:7" x14ac:dyDescent="0.2">
      <c r="A26" s="4">
        <v>2014</v>
      </c>
      <c r="B26">
        <v>2.0216267042783266E-2</v>
      </c>
      <c r="C26">
        <v>0.29744554145118324</v>
      </c>
      <c r="D26">
        <v>5.5477197931358725E-2</v>
      </c>
      <c r="E26">
        <v>3.7611659614480491E-3</v>
      </c>
      <c r="F26">
        <v>0.55712270803949226</v>
      </c>
      <c r="G26">
        <v>6.5977119573734533E-2</v>
      </c>
    </row>
    <row r="27" spans="1:7" x14ac:dyDescent="0.2">
      <c r="A27" s="4">
        <v>2015</v>
      </c>
      <c r="B27">
        <v>2.4962803769218056E-2</v>
      </c>
      <c r="C27">
        <v>0.28533641924285008</v>
      </c>
      <c r="D27">
        <v>6.2159034551165483E-2</v>
      </c>
      <c r="E27">
        <v>4.4635476938336919E-3</v>
      </c>
      <c r="F27">
        <v>0.53397255744751193</v>
      </c>
      <c r="G27">
        <v>8.9105637295420731E-2</v>
      </c>
    </row>
    <row r="28" spans="1:7" x14ac:dyDescent="0.2">
      <c r="A28" s="4">
        <v>2016</v>
      </c>
      <c r="B28">
        <v>5.6256062075654707E-2</v>
      </c>
      <c r="C28">
        <v>0.24264468153895893</v>
      </c>
      <c r="D28">
        <v>5.8195926285160043E-2</v>
      </c>
      <c r="E28">
        <v>7.1128354348528938E-3</v>
      </c>
      <c r="F28">
        <v>0.55965082444228897</v>
      </c>
      <c r="G28">
        <v>7.6139670223084391E-2</v>
      </c>
    </row>
    <row r="29" spans="1:7" x14ac:dyDescent="0.2">
      <c r="A29" s="4">
        <v>2017</v>
      </c>
      <c r="B29">
        <v>3.1076218514883874E-2</v>
      </c>
      <c r="C29">
        <v>0.2471377167157344</v>
      </c>
      <c r="D29">
        <v>6.1334641805691863E-2</v>
      </c>
      <c r="E29">
        <v>8.177952240758915E-3</v>
      </c>
      <c r="F29">
        <v>0.58848544324501151</v>
      </c>
      <c r="G29">
        <v>6.3788027477919534E-2</v>
      </c>
    </row>
    <row r="30" spans="1:7" x14ac:dyDescent="0.2">
      <c r="A30" s="4">
        <v>2018</v>
      </c>
      <c r="B30">
        <v>2.1082894106372783E-2</v>
      </c>
      <c r="C30">
        <v>0.26018207954000955</v>
      </c>
      <c r="D30">
        <v>5.6221050950327423E-2</v>
      </c>
      <c r="E30">
        <v>6.3887557898099348E-3</v>
      </c>
      <c r="F30">
        <v>0.59878613639993616</v>
      </c>
      <c r="G30">
        <v>5.7339083213544161E-2</v>
      </c>
    </row>
    <row r="31" spans="1:7" x14ac:dyDescent="0.2">
      <c r="A31" s="4">
        <v>2019</v>
      </c>
      <c r="B31">
        <v>5.4780129070989045E-2</v>
      </c>
      <c r="C31">
        <v>0.23037670718895392</v>
      </c>
      <c r="D31">
        <v>4.6825754164790637E-2</v>
      </c>
      <c r="E31">
        <v>6.7537145429986496E-3</v>
      </c>
      <c r="F31">
        <v>0.60633348341587878</v>
      </c>
      <c r="G31">
        <v>5.4930211616389023E-2</v>
      </c>
    </row>
    <row r="32" spans="1:7" x14ac:dyDescent="0.2">
      <c r="A32" s="4">
        <v>2020</v>
      </c>
      <c r="B32">
        <v>2.0905363029669534E-2</v>
      </c>
      <c r="C32">
        <v>0.19996783790303127</v>
      </c>
      <c r="D32">
        <v>4.3579641392618794E-2</v>
      </c>
      <c r="E32">
        <v>1.0533086757256574E-2</v>
      </c>
      <c r="F32">
        <v>0.6441263970410871</v>
      </c>
      <c r="G32">
        <v>8.0887673876336733E-2</v>
      </c>
    </row>
    <row r="33" spans="1:7" x14ac:dyDescent="0.2">
      <c r="A33" s="4">
        <v>2021</v>
      </c>
      <c r="B33">
        <v>1.4454460677649985E-2</v>
      </c>
      <c r="C33">
        <v>0.21324215107242772</v>
      </c>
      <c r="D33">
        <v>4.5228473733291884E-2</v>
      </c>
      <c r="E33">
        <v>6.0615480261112841E-3</v>
      </c>
      <c r="F33">
        <v>0.66956792042275404</v>
      </c>
      <c r="G33">
        <v>5.1445446067764994E-2</v>
      </c>
    </row>
    <row r="34" spans="1:7" x14ac:dyDescent="0.2">
      <c r="A34" s="4">
        <v>2022</v>
      </c>
      <c r="B34">
        <v>9.4999999999999998E-3</v>
      </c>
      <c r="C34">
        <v>0.32616666666666666</v>
      </c>
      <c r="D34">
        <v>6.9166666666666668E-2</v>
      </c>
      <c r="E34">
        <v>1.1000000000000001E-2</v>
      </c>
      <c r="F34">
        <v>0.52400000000000002</v>
      </c>
      <c r="G34">
        <v>6.0166666666666667E-2</v>
      </c>
    </row>
    <row r="35" spans="1:7" x14ac:dyDescent="0.2">
      <c r="A35" s="4">
        <v>2023</v>
      </c>
      <c r="B35">
        <v>9.645793801391524E-3</v>
      </c>
      <c r="C35">
        <v>0.2528462998102467</v>
      </c>
      <c r="D35">
        <v>5.7242251739405441E-2</v>
      </c>
      <c r="E35">
        <v>2.0714737507906388E-2</v>
      </c>
      <c r="F35">
        <v>0.59803921568627449</v>
      </c>
      <c r="G35">
        <v>6.1511701454775455E-2</v>
      </c>
    </row>
    <row r="36" spans="1:7" x14ac:dyDescent="0.2">
      <c r="A36" s="4">
        <v>2024</v>
      </c>
      <c r="B36">
        <v>1.3590961192074669E-2</v>
      </c>
      <c r="C36">
        <v>0.22908138202063208</v>
      </c>
      <c r="D36">
        <v>5.0270181758637629E-2</v>
      </c>
      <c r="E36">
        <v>1.99770754871459E-2</v>
      </c>
      <c r="F36">
        <v>0.6148681840510889</v>
      </c>
      <c r="G36">
        <v>7.2212215490420839E-2</v>
      </c>
    </row>
    <row r="37" spans="1:7" x14ac:dyDescent="0.2">
      <c r="A37" s="4">
        <v>2025</v>
      </c>
      <c r="B37">
        <v>2.1656472144156058E-2</v>
      </c>
      <c r="C37">
        <v>0.18680773681600266</v>
      </c>
      <c r="D37">
        <v>5.4554471813522888E-2</v>
      </c>
      <c r="E37">
        <v>4.6784592494627214E-2</v>
      </c>
      <c r="F37">
        <v>0.6105141345676971</v>
      </c>
      <c r="G37">
        <v>7.9682592163994051E-2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E573-C3EA-224A-847F-7B053764CAEC}">
  <dimension ref="A1:O37"/>
  <sheetViews>
    <sheetView workbookViewId="0">
      <selection activeCell="J2" sqref="J2:O9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1</v>
      </c>
      <c r="C1" s="2" t="s">
        <v>3</v>
      </c>
      <c r="D1" s="2" t="s">
        <v>5</v>
      </c>
      <c r="E1" s="2" t="s">
        <v>2</v>
      </c>
      <c r="F1" s="2" t="s">
        <v>4</v>
      </c>
      <c r="G1" s="2" t="s">
        <v>9</v>
      </c>
      <c r="H1" s="6" t="s">
        <v>7</v>
      </c>
      <c r="J1" s="2" t="s">
        <v>1</v>
      </c>
      <c r="K1" s="2" t="s">
        <v>3</v>
      </c>
      <c r="L1" s="2" t="s">
        <v>5</v>
      </c>
      <c r="M1" s="2" t="s">
        <v>2</v>
      </c>
      <c r="N1" s="2" t="s">
        <v>4</v>
      </c>
      <c r="O1" s="2" t="s">
        <v>9</v>
      </c>
    </row>
    <row r="2" spans="1:15" x14ac:dyDescent="0.2">
      <c r="A2">
        <v>1990</v>
      </c>
      <c r="B2">
        <v>1.18</v>
      </c>
      <c r="C2">
        <v>13.6</v>
      </c>
      <c r="D2">
        <v>13.01</v>
      </c>
      <c r="E2">
        <v>0.34</v>
      </c>
      <c r="F2">
        <v>1.29</v>
      </c>
      <c r="G2">
        <v>18.39</v>
      </c>
      <c r="H2">
        <f t="shared" ref="H2:H9" si="0">SUM(B2:G2)</f>
        <v>47.81</v>
      </c>
      <c r="J2">
        <f t="shared" ref="J2:J9" si="1">B2/H2</f>
        <v>2.46810290734156E-2</v>
      </c>
      <c r="K2">
        <f t="shared" ref="K2:K9" si="2">C2/H2</f>
        <v>0.28445931813428149</v>
      </c>
      <c r="L2">
        <f t="shared" ref="L2:L9" si="3">D2/H2</f>
        <v>0.27211880359757373</v>
      </c>
      <c r="M2">
        <f t="shared" ref="M2:M9" si="4">E2/H2</f>
        <v>7.1114829533570388E-3</v>
      </c>
      <c r="N2">
        <f t="shared" ref="N2:N9" si="5">F2/H2</f>
        <v>2.6981802970089938E-2</v>
      </c>
      <c r="O2">
        <f t="shared" ref="O2:O9" si="6">G2/H2</f>
        <v>0.38464756327128213</v>
      </c>
    </row>
    <row r="3" spans="1:15" x14ac:dyDescent="0.2">
      <c r="A3">
        <v>1991</v>
      </c>
      <c r="B3">
        <v>1.1100000000000001</v>
      </c>
      <c r="C3">
        <v>12.68</v>
      </c>
      <c r="D3">
        <v>14.17</v>
      </c>
      <c r="E3">
        <v>0.44</v>
      </c>
      <c r="F3">
        <v>1.32</v>
      </c>
      <c r="G3">
        <v>18.079999999999998</v>
      </c>
      <c r="H3">
        <f t="shared" si="0"/>
        <v>47.8</v>
      </c>
      <c r="J3">
        <f t="shared" si="1"/>
        <v>2.3221757322175737E-2</v>
      </c>
      <c r="K3">
        <f t="shared" si="2"/>
        <v>0.26527196652719665</v>
      </c>
      <c r="L3">
        <f t="shared" si="3"/>
        <v>0.29644351464435148</v>
      </c>
      <c r="M3">
        <f t="shared" si="4"/>
        <v>9.2050209205020925E-3</v>
      </c>
      <c r="N3">
        <f t="shared" si="5"/>
        <v>2.7615062761506277E-2</v>
      </c>
      <c r="O3">
        <f t="shared" si="6"/>
        <v>0.37824267782426779</v>
      </c>
    </row>
    <row r="4" spans="1:15" x14ac:dyDescent="0.2">
      <c r="A4">
        <v>1992</v>
      </c>
      <c r="B4">
        <v>1.23</v>
      </c>
      <c r="C4">
        <v>12.41</v>
      </c>
      <c r="D4">
        <v>13.24</v>
      </c>
      <c r="E4">
        <v>0.46</v>
      </c>
      <c r="F4">
        <v>1.36</v>
      </c>
      <c r="G4">
        <v>20.04</v>
      </c>
      <c r="H4">
        <f t="shared" si="0"/>
        <v>48.74</v>
      </c>
      <c r="J4">
        <f t="shared" si="1"/>
        <v>2.5235945835043086E-2</v>
      </c>
      <c r="K4">
        <f t="shared" si="2"/>
        <v>0.25461633155519081</v>
      </c>
      <c r="L4">
        <f t="shared" si="3"/>
        <v>0.27164546573656134</v>
      </c>
      <c r="M4">
        <f t="shared" si="4"/>
        <v>9.4378334017234302E-3</v>
      </c>
      <c r="N4">
        <f t="shared" si="5"/>
        <v>2.7903159622486663E-2</v>
      </c>
      <c r="O4">
        <f t="shared" si="6"/>
        <v>0.41116126384899465</v>
      </c>
    </row>
    <row r="5" spans="1:15" x14ac:dyDescent="0.2">
      <c r="A5">
        <v>1993</v>
      </c>
      <c r="B5">
        <v>1.25</v>
      </c>
      <c r="C5">
        <v>12.98</v>
      </c>
      <c r="D5">
        <v>12.88</v>
      </c>
      <c r="E5">
        <v>0.46</v>
      </c>
      <c r="F5">
        <v>1.37</v>
      </c>
      <c r="G5">
        <v>21.06</v>
      </c>
      <c r="H5">
        <f t="shared" si="0"/>
        <v>50</v>
      </c>
      <c r="J5">
        <f t="shared" si="1"/>
        <v>2.5000000000000001E-2</v>
      </c>
      <c r="K5">
        <f t="shared" si="2"/>
        <v>0.2596</v>
      </c>
      <c r="L5">
        <f t="shared" si="3"/>
        <v>0.2576</v>
      </c>
      <c r="M5">
        <f t="shared" si="4"/>
        <v>9.1999999999999998E-3</v>
      </c>
      <c r="N5">
        <f t="shared" si="5"/>
        <v>2.7400000000000001E-2</v>
      </c>
      <c r="O5">
        <f t="shared" si="6"/>
        <v>0.42119999999999996</v>
      </c>
    </row>
    <row r="6" spans="1:15" x14ac:dyDescent="0.2">
      <c r="A6">
        <v>1994</v>
      </c>
      <c r="B6">
        <v>1.32</v>
      </c>
      <c r="C6">
        <v>14.38</v>
      </c>
      <c r="D6">
        <v>12.27</v>
      </c>
      <c r="E6">
        <v>0.44</v>
      </c>
      <c r="F6">
        <v>1.42</v>
      </c>
      <c r="G6">
        <v>21.57</v>
      </c>
      <c r="H6">
        <f t="shared" si="0"/>
        <v>51.4</v>
      </c>
      <c r="J6">
        <f t="shared" si="1"/>
        <v>2.568093385214008E-2</v>
      </c>
      <c r="K6">
        <f t="shared" si="2"/>
        <v>0.27976653696498055</v>
      </c>
      <c r="L6">
        <f t="shared" si="3"/>
        <v>0.23871595330739298</v>
      </c>
      <c r="M6">
        <f t="shared" si="4"/>
        <v>8.5603112840466934E-3</v>
      </c>
      <c r="N6">
        <f t="shared" si="5"/>
        <v>2.7626459143968871E-2</v>
      </c>
      <c r="O6">
        <f t="shared" si="6"/>
        <v>0.41964980544747083</v>
      </c>
    </row>
    <row r="7" spans="1:15" x14ac:dyDescent="0.2">
      <c r="A7">
        <v>1995</v>
      </c>
      <c r="B7">
        <v>1.32</v>
      </c>
      <c r="C7">
        <v>15.45</v>
      </c>
      <c r="D7">
        <v>12.19</v>
      </c>
      <c r="E7">
        <v>0.39</v>
      </c>
      <c r="F7">
        <v>1.36</v>
      </c>
      <c r="G7">
        <v>20.88</v>
      </c>
      <c r="H7">
        <f t="shared" si="0"/>
        <v>51.59</v>
      </c>
      <c r="J7">
        <f t="shared" si="1"/>
        <v>2.5586353944562899E-2</v>
      </c>
      <c r="K7">
        <f t="shared" si="2"/>
        <v>0.29947664276022484</v>
      </c>
      <c r="L7">
        <f t="shared" si="3"/>
        <v>0.23628610195774372</v>
      </c>
      <c r="M7">
        <f t="shared" si="4"/>
        <v>7.5596045745299472E-3</v>
      </c>
      <c r="N7">
        <f t="shared" si="5"/>
        <v>2.6361698003489049E-2</v>
      </c>
      <c r="O7">
        <f t="shared" si="6"/>
        <v>0.40472959875944947</v>
      </c>
    </row>
    <row r="8" spans="1:15" x14ac:dyDescent="0.2">
      <c r="A8">
        <v>1996</v>
      </c>
      <c r="B8">
        <v>1.35</v>
      </c>
      <c r="C8">
        <v>15.88</v>
      </c>
      <c r="D8">
        <v>12.18</v>
      </c>
      <c r="E8">
        <v>0.38</v>
      </c>
      <c r="F8">
        <v>1.4</v>
      </c>
      <c r="G8">
        <v>21.38</v>
      </c>
      <c r="H8">
        <f t="shared" si="0"/>
        <v>52.569999999999993</v>
      </c>
      <c r="J8">
        <f t="shared" si="1"/>
        <v>2.5680045653414502E-2</v>
      </c>
      <c r="K8">
        <f t="shared" si="2"/>
        <v>0.30207342590831276</v>
      </c>
      <c r="L8">
        <f t="shared" si="3"/>
        <v>0.23169107856191748</v>
      </c>
      <c r="M8">
        <f t="shared" si="4"/>
        <v>7.2284572950351922E-3</v>
      </c>
      <c r="N8">
        <f t="shared" si="5"/>
        <v>2.6631158455392812E-2</v>
      </c>
      <c r="O8">
        <f t="shared" si="6"/>
        <v>0.40669583412592736</v>
      </c>
    </row>
    <row r="9" spans="1:15" x14ac:dyDescent="0.2">
      <c r="A9">
        <v>1997</v>
      </c>
      <c r="B9">
        <v>1.43</v>
      </c>
      <c r="C9">
        <v>14.6</v>
      </c>
      <c r="D9">
        <v>12.16</v>
      </c>
      <c r="E9">
        <v>0.38</v>
      </c>
      <c r="F9">
        <v>1.34</v>
      </c>
      <c r="G9">
        <v>22.98</v>
      </c>
      <c r="H9">
        <f t="shared" si="0"/>
        <v>52.89</v>
      </c>
      <c r="J9">
        <f t="shared" si="1"/>
        <v>2.7037247116657212E-2</v>
      </c>
      <c r="K9">
        <f t="shared" si="2"/>
        <v>0.27604462091132537</v>
      </c>
      <c r="L9">
        <f t="shared" si="3"/>
        <v>0.22991113632066554</v>
      </c>
      <c r="M9">
        <f t="shared" si="4"/>
        <v>7.1847230100207981E-3</v>
      </c>
      <c r="N9">
        <f t="shared" si="5"/>
        <v>2.5335602193231235E-2</v>
      </c>
      <c r="O9">
        <f t="shared" si="6"/>
        <v>0.43448667044809985</v>
      </c>
    </row>
    <row r="10" spans="1:15" x14ac:dyDescent="0.2">
      <c r="A10">
        <v>1998</v>
      </c>
      <c r="B10">
        <v>1.69</v>
      </c>
      <c r="C10">
        <v>12.8</v>
      </c>
      <c r="D10">
        <v>14.52</v>
      </c>
      <c r="E10">
        <v>0.4</v>
      </c>
      <c r="F10">
        <v>1.39</v>
      </c>
      <c r="G10">
        <v>25.94</v>
      </c>
      <c r="H10">
        <f>SUM(B10:G10)</f>
        <v>56.739999999999995</v>
      </c>
      <c r="J10">
        <f>B10/H10</f>
        <v>2.9784984138174129E-2</v>
      </c>
      <c r="K10">
        <f>C10/H10</f>
        <v>0.22559041240747271</v>
      </c>
      <c r="L10">
        <f>D10/H10</f>
        <v>0.25590412407472685</v>
      </c>
      <c r="M10">
        <f>E10/H10</f>
        <v>7.0497003877335223E-3</v>
      </c>
      <c r="N10">
        <f>F10/H10</f>
        <v>2.4497708847373987E-2</v>
      </c>
      <c r="O10">
        <f>G10/H10</f>
        <v>0.45717307014451891</v>
      </c>
    </row>
    <row r="11" spans="1:15" x14ac:dyDescent="0.2">
      <c r="A11">
        <v>1999</v>
      </c>
      <c r="B11">
        <v>1.77</v>
      </c>
      <c r="C11">
        <v>13.37</v>
      </c>
      <c r="D11">
        <v>14.34</v>
      </c>
      <c r="E11">
        <v>0.37</v>
      </c>
      <c r="F11">
        <v>1.45</v>
      </c>
      <c r="G11">
        <v>26.85</v>
      </c>
      <c r="H11">
        <f t="shared" ref="H11:H37" si="7">SUM(B11:G11)</f>
        <v>58.15</v>
      </c>
      <c r="J11">
        <f t="shared" ref="J11:J36" si="8">B11/H11</f>
        <v>3.0438521066208084E-2</v>
      </c>
      <c r="K11">
        <f t="shared" ref="K11:K36" si="9">C11/H11</f>
        <v>0.22992261392949268</v>
      </c>
      <c r="L11">
        <f t="shared" ref="L11:L36" si="10">D11/H11</f>
        <v>0.24660361134995701</v>
      </c>
      <c r="M11">
        <f t="shared" ref="M11:M36" si="11">E11/H11</f>
        <v>6.3628546861564921E-3</v>
      </c>
      <c r="N11">
        <f t="shared" ref="N11:N36" si="12">F11/H11</f>
        <v>2.4935511607910577E-2</v>
      </c>
      <c r="O11">
        <f t="shared" ref="O11:O36" si="13">G11/H11</f>
        <v>0.46173688736027518</v>
      </c>
    </row>
    <row r="12" spans="1:15" x14ac:dyDescent="0.2">
      <c r="A12">
        <v>2000</v>
      </c>
      <c r="B12">
        <v>3.18</v>
      </c>
      <c r="C12">
        <v>13.62</v>
      </c>
      <c r="D12">
        <v>13.73</v>
      </c>
      <c r="E12">
        <v>0.34</v>
      </c>
      <c r="F12">
        <v>1.38</v>
      </c>
      <c r="G12">
        <v>26.22</v>
      </c>
      <c r="H12">
        <f t="shared" si="7"/>
        <v>58.47</v>
      </c>
      <c r="J12">
        <f t="shared" si="8"/>
        <v>5.438686505900462E-2</v>
      </c>
      <c r="K12">
        <f t="shared" si="9"/>
        <v>0.23293996921498203</v>
      </c>
      <c r="L12">
        <f t="shared" si="10"/>
        <v>0.2348212758679665</v>
      </c>
      <c r="M12">
        <f t="shared" si="11"/>
        <v>5.8149478364973497E-3</v>
      </c>
      <c r="N12">
        <f t="shared" si="12"/>
        <v>2.3601847101077475E-2</v>
      </c>
      <c r="O12">
        <f t="shared" si="13"/>
        <v>0.44843509492047201</v>
      </c>
    </row>
    <row r="13" spans="1:15" x14ac:dyDescent="0.2">
      <c r="A13">
        <v>2001</v>
      </c>
      <c r="B13">
        <v>3.33</v>
      </c>
      <c r="C13">
        <v>13.82</v>
      </c>
      <c r="D13">
        <v>14.28</v>
      </c>
      <c r="E13">
        <v>0.32</v>
      </c>
      <c r="F13">
        <v>1.35</v>
      </c>
      <c r="G13">
        <v>26.17</v>
      </c>
      <c r="H13">
        <f t="shared" si="7"/>
        <v>59.27</v>
      </c>
      <c r="J13">
        <f t="shared" si="8"/>
        <v>5.6183566728530455E-2</v>
      </c>
      <c r="K13">
        <f t="shared" si="9"/>
        <v>0.23317023789438163</v>
      </c>
      <c r="L13">
        <f t="shared" si="10"/>
        <v>0.24093133119622065</v>
      </c>
      <c r="M13">
        <f t="shared" si="11"/>
        <v>5.3990214273662894E-3</v>
      </c>
      <c r="N13">
        <f t="shared" si="12"/>
        <v>2.2777121646701537E-2</v>
      </c>
      <c r="O13">
        <f t="shared" si="13"/>
        <v>0.44153872110679943</v>
      </c>
    </row>
    <row r="14" spans="1:15" x14ac:dyDescent="0.2">
      <c r="A14">
        <v>2002</v>
      </c>
      <c r="B14">
        <v>3.27</v>
      </c>
      <c r="C14">
        <v>12.68</v>
      </c>
      <c r="D14">
        <v>14.32</v>
      </c>
      <c r="E14">
        <v>0.28999999999999998</v>
      </c>
      <c r="F14">
        <v>1.52</v>
      </c>
      <c r="G14">
        <v>27.39</v>
      </c>
      <c r="H14">
        <f t="shared" si="7"/>
        <v>59.47</v>
      </c>
      <c r="J14">
        <f t="shared" si="8"/>
        <v>5.49857070791996E-2</v>
      </c>
      <c r="K14">
        <f t="shared" si="9"/>
        <v>0.2132167479401379</v>
      </c>
      <c r="L14">
        <f t="shared" si="10"/>
        <v>0.24079367748444594</v>
      </c>
      <c r="M14">
        <f t="shared" si="11"/>
        <v>4.876408273078863E-3</v>
      </c>
      <c r="N14">
        <f t="shared" si="12"/>
        <v>2.5559105431309907E-2</v>
      </c>
      <c r="O14">
        <f t="shared" si="13"/>
        <v>0.46056835379182781</v>
      </c>
    </row>
    <row r="15" spans="1:15" x14ac:dyDescent="0.2">
      <c r="A15">
        <v>2003</v>
      </c>
      <c r="B15">
        <v>3.2</v>
      </c>
      <c r="C15">
        <v>12.34</v>
      </c>
      <c r="D15">
        <v>16.53</v>
      </c>
      <c r="E15">
        <v>0.28999999999999998</v>
      </c>
      <c r="F15">
        <v>1.62</v>
      </c>
      <c r="G15">
        <v>26.65</v>
      </c>
      <c r="H15">
        <f t="shared" si="7"/>
        <v>60.629999999999995</v>
      </c>
      <c r="J15">
        <f t="shared" si="8"/>
        <v>5.2779152234867233E-2</v>
      </c>
      <c r="K15">
        <f t="shared" si="9"/>
        <v>0.20352960580570675</v>
      </c>
      <c r="L15">
        <f t="shared" si="10"/>
        <v>0.27263730826323607</v>
      </c>
      <c r="M15">
        <f t="shared" si="11"/>
        <v>4.7831106712848421E-3</v>
      </c>
      <c r="N15">
        <f t="shared" si="12"/>
        <v>2.6719445818901538E-2</v>
      </c>
      <c r="O15">
        <f t="shared" si="13"/>
        <v>0.43955137720600362</v>
      </c>
    </row>
    <row r="16" spans="1:15" x14ac:dyDescent="0.2">
      <c r="A16">
        <v>2004</v>
      </c>
      <c r="B16">
        <v>3.2</v>
      </c>
      <c r="C16">
        <v>11.79</v>
      </c>
      <c r="D16">
        <v>16.899999999999999</v>
      </c>
      <c r="E16">
        <v>0.28999999999999998</v>
      </c>
      <c r="F16">
        <v>1.75</v>
      </c>
      <c r="G16">
        <v>26.3</v>
      </c>
      <c r="H16">
        <f t="shared" si="7"/>
        <v>60.230000000000004</v>
      </c>
      <c r="J16">
        <f t="shared" si="8"/>
        <v>5.3129669599867174E-2</v>
      </c>
      <c r="K16">
        <f t="shared" si="9"/>
        <v>0.1957496264320106</v>
      </c>
      <c r="L16">
        <f t="shared" si="10"/>
        <v>0.28059106757429847</v>
      </c>
      <c r="M16">
        <f t="shared" si="11"/>
        <v>4.8148763074879622E-3</v>
      </c>
      <c r="N16">
        <f t="shared" si="12"/>
        <v>2.905528806242736E-2</v>
      </c>
      <c r="O16">
        <f t="shared" si="13"/>
        <v>0.43665947202390831</v>
      </c>
    </row>
    <row r="17" spans="1:15" x14ac:dyDescent="0.2">
      <c r="A17">
        <v>2005</v>
      </c>
      <c r="B17">
        <v>3.09</v>
      </c>
      <c r="C17">
        <v>10.97</v>
      </c>
      <c r="D17">
        <v>17.100000000000001</v>
      </c>
      <c r="E17">
        <v>0.27</v>
      </c>
      <c r="F17">
        <v>1.75</v>
      </c>
      <c r="G17">
        <v>26.29</v>
      </c>
      <c r="H17">
        <f t="shared" si="7"/>
        <v>59.470000000000006</v>
      </c>
      <c r="J17">
        <f t="shared" si="8"/>
        <v>5.1958970909702362E-2</v>
      </c>
      <c r="K17">
        <f t="shared" si="9"/>
        <v>0.18446275432991424</v>
      </c>
      <c r="L17">
        <f t="shared" si="10"/>
        <v>0.28753993610223644</v>
      </c>
      <c r="M17">
        <f t="shared" si="11"/>
        <v>4.5401042542458385E-3</v>
      </c>
      <c r="N17">
        <f t="shared" si="12"/>
        <v>2.942660164788969E-2</v>
      </c>
      <c r="O17">
        <f t="shared" si="13"/>
        <v>0.44207163275601136</v>
      </c>
    </row>
    <row r="18" spans="1:15" x14ac:dyDescent="0.2">
      <c r="A18">
        <v>2006</v>
      </c>
      <c r="B18">
        <v>3.02</v>
      </c>
      <c r="C18">
        <v>9.91</v>
      </c>
      <c r="D18">
        <v>17.59</v>
      </c>
      <c r="E18">
        <v>0.26</v>
      </c>
      <c r="F18">
        <v>1.7</v>
      </c>
      <c r="G18">
        <v>25.58</v>
      </c>
      <c r="H18">
        <f t="shared" si="7"/>
        <v>58.06</v>
      </c>
      <c r="J18">
        <f t="shared" si="8"/>
        <v>5.2015156734412676E-2</v>
      </c>
      <c r="K18">
        <f t="shared" si="9"/>
        <v>0.17068549776093694</v>
      </c>
      <c r="L18">
        <f t="shared" si="10"/>
        <v>0.30296245263520494</v>
      </c>
      <c r="M18">
        <f t="shared" si="11"/>
        <v>4.4781260764726145E-3</v>
      </c>
      <c r="N18">
        <f t="shared" si="12"/>
        <v>2.9280055115397861E-2</v>
      </c>
      <c r="O18">
        <f t="shared" si="13"/>
        <v>0.4405787116775749</v>
      </c>
    </row>
    <row r="19" spans="1:15" x14ac:dyDescent="0.2">
      <c r="A19">
        <v>2007</v>
      </c>
      <c r="B19">
        <v>3.13</v>
      </c>
      <c r="C19">
        <v>8.77</v>
      </c>
      <c r="D19">
        <v>18.93</v>
      </c>
      <c r="E19">
        <v>0.27</v>
      </c>
      <c r="F19">
        <v>1.78</v>
      </c>
      <c r="G19">
        <v>23.36</v>
      </c>
      <c r="H19">
        <f t="shared" si="7"/>
        <v>56.239999999999995</v>
      </c>
      <c r="J19">
        <f t="shared" si="8"/>
        <v>5.5654338549075394E-2</v>
      </c>
      <c r="K19">
        <f t="shared" si="9"/>
        <v>0.15593883357041252</v>
      </c>
      <c r="L19">
        <f t="shared" si="10"/>
        <v>0.33659317211948792</v>
      </c>
      <c r="M19">
        <f t="shared" si="11"/>
        <v>4.8008534850640123E-3</v>
      </c>
      <c r="N19">
        <f t="shared" si="12"/>
        <v>3.1650071123755334E-2</v>
      </c>
      <c r="O19">
        <f t="shared" si="13"/>
        <v>0.41536273115220484</v>
      </c>
    </row>
    <row r="20" spans="1:15" x14ac:dyDescent="0.2">
      <c r="A20">
        <v>2008</v>
      </c>
      <c r="B20">
        <v>2.84</v>
      </c>
      <c r="C20">
        <v>8.58</v>
      </c>
      <c r="D20">
        <v>18.91</v>
      </c>
      <c r="E20">
        <v>0.28000000000000003</v>
      </c>
      <c r="F20">
        <v>1.87</v>
      </c>
      <c r="G20">
        <v>21.27</v>
      </c>
      <c r="H20">
        <f t="shared" si="7"/>
        <v>53.75</v>
      </c>
      <c r="J20">
        <f t="shared" si="8"/>
        <v>5.2837209302325577E-2</v>
      </c>
      <c r="K20">
        <f t="shared" si="9"/>
        <v>0.1596279069767442</v>
      </c>
      <c r="L20">
        <f t="shared" si="10"/>
        <v>0.35181395348837208</v>
      </c>
      <c r="M20">
        <f t="shared" si="11"/>
        <v>5.2093023255813959E-3</v>
      </c>
      <c r="N20">
        <f t="shared" si="12"/>
        <v>3.4790697674418607E-2</v>
      </c>
      <c r="O20">
        <f t="shared" si="13"/>
        <v>0.39572093023255811</v>
      </c>
    </row>
    <row r="21" spans="1:15" x14ac:dyDescent="0.2">
      <c r="A21">
        <v>2009</v>
      </c>
      <c r="B21">
        <v>3</v>
      </c>
      <c r="C21">
        <v>8.6300000000000008</v>
      </c>
      <c r="D21">
        <v>18.16</v>
      </c>
      <c r="E21">
        <v>0.34</v>
      </c>
      <c r="F21">
        <v>2.13</v>
      </c>
      <c r="G21">
        <v>21.8</v>
      </c>
      <c r="H21">
        <f t="shared" si="7"/>
        <v>54.06</v>
      </c>
      <c r="J21">
        <f t="shared" si="8"/>
        <v>5.5493895671476133E-2</v>
      </c>
      <c r="K21">
        <f t="shared" si="9"/>
        <v>0.15963743988161302</v>
      </c>
      <c r="L21">
        <f t="shared" si="10"/>
        <v>0.33592304846466886</v>
      </c>
      <c r="M21">
        <f t="shared" si="11"/>
        <v>6.2893081761006293E-3</v>
      </c>
      <c r="N21">
        <f t="shared" si="12"/>
        <v>3.9400665926748055E-2</v>
      </c>
      <c r="O21">
        <f t="shared" si="13"/>
        <v>0.40325564187939328</v>
      </c>
    </row>
    <row r="22" spans="1:15" x14ac:dyDescent="0.2">
      <c r="A22">
        <v>2010</v>
      </c>
      <c r="B22">
        <v>2.77</v>
      </c>
      <c r="C22">
        <v>8.4600000000000009</v>
      </c>
      <c r="D22">
        <v>17.940000000000001</v>
      </c>
      <c r="E22">
        <v>0.32</v>
      </c>
      <c r="F22">
        <v>2.12</v>
      </c>
      <c r="G22">
        <v>21.14</v>
      </c>
      <c r="H22">
        <f t="shared" si="7"/>
        <v>52.75</v>
      </c>
      <c r="J22">
        <f t="shared" si="8"/>
        <v>5.251184834123223E-2</v>
      </c>
      <c r="K22">
        <f t="shared" si="9"/>
        <v>0.16037914691943131</v>
      </c>
      <c r="L22">
        <f t="shared" si="10"/>
        <v>0.34009478672985782</v>
      </c>
      <c r="M22">
        <f t="shared" si="11"/>
        <v>6.0663507109004738E-3</v>
      </c>
      <c r="N22">
        <f t="shared" si="12"/>
        <v>4.018957345971564E-2</v>
      </c>
      <c r="O22">
        <f t="shared" si="13"/>
        <v>0.40075829383886258</v>
      </c>
    </row>
    <row r="23" spans="1:15" x14ac:dyDescent="0.2">
      <c r="A23">
        <v>2011</v>
      </c>
      <c r="B23">
        <v>2.61</v>
      </c>
      <c r="C23">
        <v>8.9</v>
      </c>
      <c r="D23">
        <v>17.25</v>
      </c>
      <c r="E23">
        <v>0.34</v>
      </c>
      <c r="F23">
        <v>2.23</v>
      </c>
      <c r="G23">
        <v>19.34</v>
      </c>
      <c r="H23">
        <f t="shared" si="7"/>
        <v>50.67</v>
      </c>
      <c r="J23">
        <f t="shared" si="8"/>
        <v>5.1509769094138541E-2</v>
      </c>
      <c r="K23">
        <f t="shared" si="9"/>
        <v>0.17564633905664101</v>
      </c>
      <c r="L23">
        <f t="shared" si="10"/>
        <v>0.3404381290704559</v>
      </c>
      <c r="M23">
        <f t="shared" si="11"/>
        <v>6.7100848628379711E-3</v>
      </c>
      <c r="N23">
        <f t="shared" si="12"/>
        <v>4.4010262482731398E-2</v>
      </c>
      <c r="O23">
        <f t="shared" si="13"/>
        <v>0.38168541543319517</v>
      </c>
    </row>
    <row r="24" spans="1:15" x14ac:dyDescent="0.2">
      <c r="A24">
        <v>2012</v>
      </c>
      <c r="B24">
        <v>2.4900000000000002</v>
      </c>
      <c r="C24">
        <v>8.75</v>
      </c>
      <c r="D24">
        <v>14.91</v>
      </c>
      <c r="E24">
        <v>0.51</v>
      </c>
      <c r="F24">
        <v>2.2599999999999998</v>
      </c>
      <c r="G24">
        <v>19.760000000000002</v>
      </c>
      <c r="H24">
        <f t="shared" si="7"/>
        <v>48.680000000000007</v>
      </c>
      <c r="J24">
        <f t="shared" si="8"/>
        <v>5.115036976170912E-2</v>
      </c>
      <c r="K24">
        <f t="shared" si="9"/>
        <v>0.17974527526705009</v>
      </c>
      <c r="L24">
        <f t="shared" si="10"/>
        <v>0.30628594905505335</v>
      </c>
      <c r="M24">
        <f t="shared" si="11"/>
        <v>1.0476581758422348E-2</v>
      </c>
      <c r="N24">
        <f t="shared" si="12"/>
        <v>4.6425636811832365E-2</v>
      </c>
      <c r="O24">
        <f t="shared" si="13"/>
        <v>0.4059161873459326</v>
      </c>
    </row>
    <row r="25" spans="1:15" x14ac:dyDescent="0.2">
      <c r="A25">
        <v>2013</v>
      </c>
      <c r="B25">
        <v>2.46</v>
      </c>
      <c r="C25">
        <v>8.14</v>
      </c>
      <c r="D25">
        <v>14.3</v>
      </c>
      <c r="E25">
        <v>0.56000000000000005</v>
      </c>
      <c r="F25">
        <v>2.17</v>
      </c>
      <c r="G25">
        <v>19.84</v>
      </c>
      <c r="H25">
        <f t="shared" si="7"/>
        <v>47.47</v>
      </c>
      <c r="J25">
        <f t="shared" si="8"/>
        <v>5.182220349694544E-2</v>
      </c>
      <c r="K25">
        <f t="shared" si="9"/>
        <v>0.17147672214029916</v>
      </c>
      <c r="L25">
        <f t="shared" si="10"/>
        <v>0.3012428902464715</v>
      </c>
      <c r="M25">
        <f t="shared" si="11"/>
        <v>1.1796924373288394E-2</v>
      </c>
      <c r="N25">
        <f t="shared" si="12"/>
        <v>4.5713081946492519E-2</v>
      </c>
      <c r="O25">
        <f t="shared" si="13"/>
        <v>0.41794817779650306</v>
      </c>
    </row>
    <row r="26" spans="1:15" x14ac:dyDescent="0.2">
      <c r="A26">
        <v>2014</v>
      </c>
      <c r="B26">
        <v>2.58</v>
      </c>
      <c r="C26">
        <v>7.7</v>
      </c>
      <c r="D26">
        <v>14.48</v>
      </c>
      <c r="E26">
        <v>0.56000000000000005</v>
      </c>
      <c r="F26">
        <v>2.11</v>
      </c>
      <c r="G26">
        <v>19.88</v>
      </c>
      <c r="H26">
        <f t="shared" si="7"/>
        <v>47.31</v>
      </c>
      <c r="J26">
        <f t="shared" si="8"/>
        <v>5.4533925174381735E-2</v>
      </c>
      <c r="K26">
        <f t="shared" si="9"/>
        <v>0.16275628831113928</v>
      </c>
      <c r="L26">
        <f t="shared" si="10"/>
        <v>0.30606637074614246</v>
      </c>
      <c r="M26">
        <f t="shared" si="11"/>
        <v>1.1836820968082858E-2</v>
      </c>
      <c r="N26">
        <f t="shared" si="12"/>
        <v>4.4599450433312191E-2</v>
      </c>
      <c r="O26">
        <f t="shared" si="13"/>
        <v>0.4202071443669414</v>
      </c>
    </row>
    <row r="27" spans="1:15" x14ac:dyDescent="0.2">
      <c r="A27">
        <v>2015</v>
      </c>
      <c r="B27">
        <v>2.64</v>
      </c>
      <c r="C27">
        <v>6.93</v>
      </c>
      <c r="D27">
        <v>14.17</v>
      </c>
      <c r="E27">
        <v>0.55000000000000004</v>
      </c>
      <c r="F27">
        <v>2.11</v>
      </c>
      <c r="G27">
        <v>20.78</v>
      </c>
      <c r="H27">
        <f t="shared" si="7"/>
        <v>47.180000000000007</v>
      </c>
      <c r="J27">
        <f t="shared" si="8"/>
        <v>5.5955913522679097E-2</v>
      </c>
      <c r="K27">
        <f t="shared" si="9"/>
        <v>0.14688427299703261</v>
      </c>
      <c r="L27">
        <f t="shared" si="10"/>
        <v>0.30033912674862223</v>
      </c>
      <c r="M27">
        <f t="shared" si="11"/>
        <v>1.1657481983891479E-2</v>
      </c>
      <c r="N27">
        <f t="shared" si="12"/>
        <v>4.4722339974565484E-2</v>
      </c>
      <c r="O27">
        <f t="shared" si="13"/>
        <v>0.44044086477320893</v>
      </c>
    </row>
    <row r="28" spans="1:15" x14ac:dyDescent="0.2">
      <c r="A28">
        <v>2016</v>
      </c>
      <c r="B28">
        <v>2.65</v>
      </c>
      <c r="C28">
        <v>6.96</v>
      </c>
      <c r="D28">
        <v>14.7</v>
      </c>
      <c r="E28">
        <v>0.56000000000000005</v>
      </c>
      <c r="F28">
        <v>2.08</v>
      </c>
      <c r="G28">
        <v>20.58</v>
      </c>
      <c r="H28">
        <f t="shared" si="7"/>
        <v>47.529999999999994</v>
      </c>
      <c r="J28">
        <f t="shared" si="8"/>
        <v>5.5754260467073435E-2</v>
      </c>
      <c r="K28">
        <f t="shared" si="9"/>
        <v>0.14643383126446458</v>
      </c>
      <c r="L28">
        <f t="shared" si="10"/>
        <v>0.30927835051546393</v>
      </c>
      <c r="M28">
        <f t="shared" si="11"/>
        <v>1.1782032400589105E-2</v>
      </c>
      <c r="N28">
        <f t="shared" si="12"/>
        <v>4.3761834630759527E-2</v>
      </c>
      <c r="O28">
        <f t="shared" si="13"/>
        <v>0.4329896907216495</v>
      </c>
    </row>
    <row r="29" spans="1:15" x14ac:dyDescent="0.2">
      <c r="A29">
        <v>2017</v>
      </c>
      <c r="B29">
        <v>2.41</v>
      </c>
      <c r="C29">
        <v>6.6</v>
      </c>
      <c r="D29">
        <v>14.67</v>
      </c>
      <c r="E29">
        <v>0.53</v>
      </c>
      <c r="F29">
        <v>2.09</v>
      </c>
      <c r="G29">
        <v>20.3</v>
      </c>
      <c r="H29">
        <f t="shared" si="7"/>
        <v>46.6</v>
      </c>
      <c r="J29">
        <f t="shared" si="8"/>
        <v>5.1716738197424894E-2</v>
      </c>
      <c r="K29">
        <f t="shared" si="9"/>
        <v>0.14163090128755362</v>
      </c>
      <c r="L29">
        <f t="shared" si="10"/>
        <v>0.3148068669527897</v>
      </c>
      <c r="M29">
        <f t="shared" si="11"/>
        <v>1.1373390557939914E-2</v>
      </c>
      <c r="N29">
        <f t="shared" si="12"/>
        <v>4.4849785407725315E-2</v>
      </c>
      <c r="O29">
        <f t="shared" si="13"/>
        <v>0.4356223175965665</v>
      </c>
    </row>
    <row r="30" spans="1:15" x14ac:dyDescent="0.2">
      <c r="A30">
        <v>2018</v>
      </c>
      <c r="B30">
        <v>2.35</v>
      </c>
      <c r="C30">
        <v>6.44</v>
      </c>
      <c r="D30">
        <v>15</v>
      </c>
      <c r="E30">
        <v>0.55000000000000004</v>
      </c>
      <c r="F30">
        <v>2.1800000000000002</v>
      </c>
      <c r="G30">
        <v>19.989999999999998</v>
      </c>
      <c r="H30">
        <f t="shared" si="7"/>
        <v>46.51</v>
      </c>
      <c r="J30">
        <f t="shared" si="8"/>
        <v>5.0526768436895297E-2</v>
      </c>
      <c r="K30">
        <f t="shared" si="9"/>
        <v>0.13846484626961944</v>
      </c>
      <c r="L30">
        <f t="shared" si="10"/>
        <v>0.32251128789507633</v>
      </c>
      <c r="M30">
        <f t="shared" si="11"/>
        <v>1.1825413889486134E-2</v>
      </c>
      <c r="N30">
        <f t="shared" si="12"/>
        <v>4.6871640507417767E-2</v>
      </c>
      <c r="O30">
        <f t="shared" si="13"/>
        <v>0.42980004300150504</v>
      </c>
    </row>
    <row r="31" spans="1:15" x14ac:dyDescent="0.2">
      <c r="A31">
        <v>2019</v>
      </c>
      <c r="B31">
        <v>2.5</v>
      </c>
      <c r="C31">
        <v>6.46</v>
      </c>
      <c r="D31">
        <v>15.54</v>
      </c>
      <c r="E31">
        <v>0.57999999999999996</v>
      </c>
      <c r="F31">
        <v>2.23</v>
      </c>
      <c r="G31">
        <v>17.16</v>
      </c>
      <c r="H31">
        <f t="shared" si="7"/>
        <v>44.47</v>
      </c>
      <c r="J31">
        <f t="shared" si="8"/>
        <v>5.6217674836968747E-2</v>
      </c>
      <c r="K31">
        <f t="shared" si="9"/>
        <v>0.14526647177872723</v>
      </c>
      <c r="L31">
        <f t="shared" si="10"/>
        <v>0.34944906678659771</v>
      </c>
      <c r="M31">
        <f t="shared" si="11"/>
        <v>1.3042500562176748E-2</v>
      </c>
      <c r="N31">
        <f t="shared" si="12"/>
        <v>5.0146165954576119E-2</v>
      </c>
      <c r="O31">
        <f t="shared" si="13"/>
        <v>0.38587812008095346</v>
      </c>
    </row>
    <row r="32" spans="1:15" x14ac:dyDescent="0.2">
      <c r="A32">
        <v>2020</v>
      </c>
      <c r="B32">
        <v>2.77</v>
      </c>
      <c r="C32">
        <v>6.36</v>
      </c>
      <c r="D32">
        <v>17.09</v>
      </c>
      <c r="E32">
        <v>0.69</v>
      </c>
      <c r="F32">
        <v>2.41</v>
      </c>
      <c r="G32">
        <v>16.79</v>
      </c>
      <c r="H32">
        <f t="shared" si="7"/>
        <v>46.11</v>
      </c>
      <c r="J32">
        <f t="shared" si="8"/>
        <v>6.0073736716547387E-2</v>
      </c>
      <c r="K32">
        <f t="shared" si="9"/>
        <v>0.13793103448275862</v>
      </c>
      <c r="L32">
        <f t="shared" si="10"/>
        <v>0.37063543699848189</v>
      </c>
      <c r="M32">
        <f t="shared" si="11"/>
        <v>1.4964216005204943E-2</v>
      </c>
      <c r="N32">
        <f t="shared" si="12"/>
        <v>5.2266319670353507E-2</v>
      </c>
      <c r="O32">
        <f t="shared" si="13"/>
        <v>0.36412925612665364</v>
      </c>
    </row>
    <row r="33" spans="1:15" x14ac:dyDescent="0.2">
      <c r="A33">
        <v>2021</v>
      </c>
      <c r="B33">
        <v>2.72</v>
      </c>
      <c r="C33">
        <v>5.7</v>
      </c>
      <c r="D33">
        <v>17.16</v>
      </c>
      <c r="E33">
        <v>0.61</v>
      </c>
      <c r="F33">
        <v>2.23</v>
      </c>
      <c r="G33">
        <v>15.52</v>
      </c>
      <c r="H33">
        <f t="shared" si="7"/>
        <v>43.94</v>
      </c>
      <c r="J33">
        <f t="shared" si="8"/>
        <v>6.1902594446973151E-2</v>
      </c>
      <c r="K33">
        <f t="shared" si="9"/>
        <v>0.1297223486572599</v>
      </c>
      <c r="L33">
        <f t="shared" si="10"/>
        <v>0.39053254437869822</v>
      </c>
      <c r="M33">
        <f t="shared" si="11"/>
        <v>1.3882567137005006E-2</v>
      </c>
      <c r="N33">
        <f t="shared" si="12"/>
        <v>5.0751024123805194E-2</v>
      </c>
      <c r="O33">
        <f t="shared" si="13"/>
        <v>0.35320892125625852</v>
      </c>
    </row>
    <row r="34" spans="1:15" x14ac:dyDescent="0.2">
      <c r="A34">
        <v>2022</v>
      </c>
      <c r="B34">
        <v>2.46</v>
      </c>
      <c r="C34">
        <v>5.31</v>
      </c>
      <c r="D34">
        <v>18.55</v>
      </c>
      <c r="E34">
        <v>0.61</v>
      </c>
      <c r="F34">
        <v>2.2999999999999998</v>
      </c>
      <c r="G34">
        <v>15.08</v>
      </c>
      <c r="H34">
        <f t="shared" si="7"/>
        <v>44.31</v>
      </c>
      <c r="J34">
        <f t="shared" si="8"/>
        <v>5.5517941773865938E-2</v>
      </c>
      <c r="K34">
        <f t="shared" si="9"/>
        <v>0.11983750846310086</v>
      </c>
      <c r="L34">
        <f t="shared" si="10"/>
        <v>0.41864139020537122</v>
      </c>
      <c r="M34">
        <f t="shared" si="11"/>
        <v>1.3766644098397653E-2</v>
      </c>
      <c r="N34">
        <f t="shared" si="12"/>
        <v>5.1907018731663278E-2</v>
      </c>
      <c r="O34">
        <f t="shared" si="13"/>
        <v>0.34032949672760099</v>
      </c>
    </row>
    <row r="35" spans="1:15" x14ac:dyDescent="0.2">
      <c r="A35">
        <v>2023</v>
      </c>
      <c r="B35">
        <v>2.1</v>
      </c>
      <c r="C35">
        <v>5.25</v>
      </c>
      <c r="D35">
        <v>17</v>
      </c>
      <c r="E35">
        <v>0.62</v>
      </c>
      <c r="F35">
        <v>2.2200000000000002</v>
      </c>
      <c r="G35">
        <v>12.9</v>
      </c>
      <c r="H35">
        <f t="shared" si="7"/>
        <v>40.090000000000003</v>
      </c>
      <c r="J35">
        <f t="shared" si="8"/>
        <v>5.2382140184584682E-2</v>
      </c>
      <c r="K35">
        <f t="shared" si="9"/>
        <v>0.1309553504614617</v>
      </c>
      <c r="L35">
        <f t="shared" si="10"/>
        <v>0.42404589673235216</v>
      </c>
      <c r="M35">
        <f t="shared" si="11"/>
        <v>1.5465203292591666E-2</v>
      </c>
      <c r="N35">
        <f t="shared" si="12"/>
        <v>5.5375405337989521E-2</v>
      </c>
      <c r="O35">
        <f t="shared" si="13"/>
        <v>0.32177600399102019</v>
      </c>
    </row>
    <row r="36" spans="1:15" x14ac:dyDescent="0.2">
      <c r="A36">
        <v>2024</v>
      </c>
      <c r="B36">
        <v>2.11</v>
      </c>
      <c r="C36">
        <v>4.78</v>
      </c>
      <c r="D36">
        <v>16.079999999999998</v>
      </c>
      <c r="E36">
        <v>0.57999999999999996</v>
      </c>
      <c r="F36">
        <v>2.21</v>
      </c>
      <c r="G36">
        <v>12.55</v>
      </c>
      <c r="H36">
        <f t="shared" si="7"/>
        <v>38.31</v>
      </c>
      <c r="J36">
        <f t="shared" si="8"/>
        <v>5.5077003393369871E-2</v>
      </c>
      <c r="K36">
        <f t="shared" si="9"/>
        <v>0.12477160010441138</v>
      </c>
      <c r="L36">
        <f t="shared" si="10"/>
        <v>0.41973375097885662</v>
      </c>
      <c r="M36">
        <f t="shared" si="11"/>
        <v>1.5139650221874182E-2</v>
      </c>
      <c r="N36">
        <f t="shared" si="12"/>
        <v>5.7687287914382664E-2</v>
      </c>
      <c r="O36">
        <f t="shared" si="13"/>
        <v>0.32759070738710522</v>
      </c>
    </row>
    <row r="37" spans="1:15" x14ac:dyDescent="0.2">
      <c r="A37">
        <v>2025</v>
      </c>
      <c r="B37">
        <v>2.36</v>
      </c>
      <c r="C37">
        <v>4.87</v>
      </c>
      <c r="D37">
        <v>16.87</v>
      </c>
      <c r="E37">
        <v>0.66</v>
      </c>
      <c r="F37">
        <v>2.2200000000000002</v>
      </c>
      <c r="G37">
        <v>7.14</v>
      </c>
      <c r="H37">
        <f t="shared" si="7"/>
        <v>34.119999999999997</v>
      </c>
      <c r="J37">
        <f>B37/H37</f>
        <v>6.9167643610785465E-2</v>
      </c>
      <c r="K37">
        <f>C37/H37</f>
        <v>0.14273153575615477</v>
      </c>
      <c r="L37">
        <f>D37/H37</f>
        <v>0.49443141852286054</v>
      </c>
      <c r="M37">
        <f>E37/H37</f>
        <v>1.9343493552168817E-2</v>
      </c>
      <c r="N37">
        <f>F37/H37</f>
        <v>6.5064478311840576E-2</v>
      </c>
      <c r="O37">
        <f>G37/H37</f>
        <v>0.20926143024618993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8A37-0C3D-A44F-8D6C-BDC4F008A176}">
  <dimension ref="A1:G37"/>
  <sheetViews>
    <sheetView workbookViewId="0">
      <selection activeCell="O31" sqref="O31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3</v>
      </c>
      <c r="D1" s="2" t="s">
        <v>5</v>
      </c>
      <c r="E1" s="2" t="s">
        <v>2</v>
      </c>
      <c r="F1" s="2" t="s">
        <v>4</v>
      </c>
      <c r="G1" s="2" t="s">
        <v>9</v>
      </c>
    </row>
    <row r="2" spans="1:7" x14ac:dyDescent="0.2">
      <c r="A2">
        <v>1990</v>
      </c>
      <c r="B2">
        <v>2.46810290734156E-2</v>
      </c>
      <c r="C2">
        <v>0.28445931813428149</v>
      </c>
      <c r="D2">
        <v>0.27211880359757373</v>
      </c>
      <c r="E2">
        <v>7.1114829533570388E-3</v>
      </c>
      <c r="F2">
        <v>2.6981802970089938E-2</v>
      </c>
      <c r="G2">
        <v>0.38464756327128213</v>
      </c>
    </row>
    <row r="3" spans="1:7" x14ac:dyDescent="0.2">
      <c r="A3">
        <v>1991</v>
      </c>
      <c r="B3">
        <v>2.3221757322175737E-2</v>
      </c>
      <c r="C3">
        <v>0.26527196652719665</v>
      </c>
      <c r="D3">
        <v>0.29644351464435148</v>
      </c>
      <c r="E3">
        <v>9.2050209205020925E-3</v>
      </c>
      <c r="F3">
        <v>2.7615062761506277E-2</v>
      </c>
      <c r="G3">
        <v>0.37824267782426779</v>
      </c>
    </row>
    <row r="4" spans="1:7" x14ac:dyDescent="0.2">
      <c r="A4">
        <v>1992</v>
      </c>
      <c r="B4">
        <v>2.5235945835043086E-2</v>
      </c>
      <c r="C4">
        <v>0.25461633155519081</v>
      </c>
      <c r="D4">
        <v>0.27164546573656134</v>
      </c>
      <c r="E4">
        <v>9.4378334017234302E-3</v>
      </c>
      <c r="F4">
        <v>2.7903159622486663E-2</v>
      </c>
      <c r="G4">
        <v>0.41116126384899465</v>
      </c>
    </row>
    <row r="5" spans="1:7" x14ac:dyDescent="0.2">
      <c r="A5">
        <v>1993</v>
      </c>
      <c r="B5">
        <v>2.5000000000000001E-2</v>
      </c>
      <c r="C5">
        <v>0.2596</v>
      </c>
      <c r="D5">
        <v>0.2576</v>
      </c>
      <c r="E5">
        <v>9.1999999999999998E-3</v>
      </c>
      <c r="F5">
        <v>2.7400000000000001E-2</v>
      </c>
      <c r="G5">
        <v>0.42119999999999996</v>
      </c>
    </row>
    <row r="6" spans="1:7" x14ac:dyDescent="0.2">
      <c r="A6">
        <v>1994</v>
      </c>
      <c r="B6">
        <v>2.568093385214008E-2</v>
      </c>
      <c r="C6">
        <v>0.27976653696498055</v>
      </c>
      <c r="D6">
        <v>0.23871595330739298</v>
      </c>
      <c r="E6">
        <v>8.5603112840466934E-3</v>
      </c>
      <c r="F6">
        <v>2.7626459143968871E-2</v>
      </c>
      <c r="G6">
        <v>0.41964980544747083</v>
      </c>
    </row>
    <row r="7" spans="1:7" x14ac:dyDescent="0.2">
      <c r="A7">
        <v>1995</v>
      </c>
      <c r="B7">
        <v>2.5586353944562899E-2</v>
      </c>
      <c r="C7">
        <v>0.29947664276022484</v>
      </c>
      <c r="D7">
        <v>0.23628610195774372</v>
      </c>
      <c r="E7">
        <v>7.5596045745299472E-3</v>
      </c>
      <c r="F7">
        <v>2.6361698003489049E-2</v>
      </c>
      <c r="G7">
        <v>0.40472959875944947</v>
      </c>
    </row>
    <row r="8" spans="1:7" x14ac:dyDescent="0.2">
      <c r="A8">
        <v>1996</v>
      </c>
      <c r="B8">
        <v>2.5680045653414502E-2</v>
      </c>
      <c r="C8">
        <v>0.30207342590831276</v>
      </c>
      <c r="D8">
        <v>0.23169107856191748</v>
      </c>
      <c r="E8">
        <v>7.2284572950351922E-3</v>
      </c>
      <c r="F8">
        <v>2.6631158455392812E-2</v>
      </c>
      <c r="G8">
        <v>0.40669583412592736</v>
      </c>
    </row>
    <row r="9" spans="1:7" x14ac:dyDescent="0.2">
      <c r="A9">
        <v>1997</v>
      </c>
      <c r="B9">
        <v>2.7037247116657212E-2</v>
      </c>
      <c r="C9">
        <v>0.27604462091132537</v>
      </c>
      <c r="D9">
        <v>0.22991113632066554</v>
      </c>
      <c r="E9">
        <v>7.1847230100207981E-3</v>
      </c>
      <c r="F9">
        <v>2.5335602193231235E-2</v>
      </c>
      <c r="G9">
        <v>0.43448667044809985</v>
      </c>
    </row>
    <row r="10" spans="1:7" x14ac:dyDescent="0.2">
      <c r="A10">
        <v>1998</v>
      </c>
      <c r="B10">
        <v>2.9784984138174129E-2</v>
      </c>
      <c r="C10">
        <v>0.22559041240747271</v>
      </c>
      <c r="D10">
        <v>0.25590412407472685</v>
      </c>
      <c r="E10">
        <v>7.0497003877335223E-3</v>
      </c>
      <c r="F10">
        <v>2.4497708847373987E-2</v>
      </c>
      <c r="G10">
        <v>0.45717307014451891</v>
      </c>
    </row>
    <row r="11" spans="1:7" x14ac:dyDescent="0.2">
      <c r="A11">
        <v>1999</v>
      </c>
      <c r="B11">
        <v>3.0438521066208084E-2</v>
      </c>
      <c r="C11">
        <v>0.22992261392949268</v>
      </c>
      <c r="D11">
        <v>0.24660361134995701</v>
      </c>
      <c r="E11">
        <v>6.3628546861564921E-3</v>
      </c>
      <c r="F11">
        <v>2.4935511607910577E-2</v>
      </c>
      <c r="G11">
        <v>0.46173688736027518</v>
      </c>
    </row>
    <row r="12" spans="1:7" x14ac:dyDescent="0.2">
      <c r="A12">
        <v>2000</v>
      </c>
      <c r="B12">
        <v>5.438686505900462E-2</v>
      </c>
      <c r="C12">
        <v>0.23293996921498203</v>
      </c>
      <c r="D12">
        <v>0.2348212758679665</v>
      </c>
      <c r="E12">
        <v>5.8149478364973497E-3</v>
      </c>
      <c r="F12">
        <v>2.3601847101077475E-2</v>
      </c>
      <c r="G12">
        <v>0.44843509492047201</v>
      </c>
    </row>
    <row r="13" spans="1:7" x14ac:dyDescent="0.2">
      <c r="A13">
        <v>2001</v>
      </c>
      <c r="B13">
        <v>5.6183566728530455E-2</v>
      </c>
      <c r="C13">
        <v>0.23317023789438163</v>
      </c>
      <c r="D13">
        <v>0.24093133119622065</v>
      </c>
      <c r="E13">
        <v>5.3990214273662894E-3</v>
      </c>
      <c r="F13">
        <v>2.2777121646701537E-2</v>
      </c>
      <c r="G13">
        <v>0.44153872110679943</v>
      </c>
    </row>
    <row r="14" spans="1:7" x14ac:dyDescent="0.2">
      <c r="A14">
        <v>2002</v>
      </c>
      <c r="B14">
        <v>5.49857070791996E-2</v>
      </c>
      <c r="C14">
        <v>0.2132167479401379</v>
      </c>
      <c r="D14">
        <v>0.24079367748444594</v>
      </c>
      <c r="E14">
        <v>4.876408273078863E-3</v>
      </c>
      <c r="F14">
        <v>2.5559105431309907E-2</v>
      </c>
      <c r="G14">
        <v>0.46056835379182781</v>
      </c>
    </row>
    <row r="15" spans="1:7" x14ac:dyDescent="0.2">
      <c r="A15">
        <v>2003</v>
      </c>
      <c r="B15">
        <v>5.2779152234867233E-2</v>
      </c>
      <c r="C15">
        <v>0.20352960580570675</v>
      </c>
      <c r="D15">
        <v>0.27263730826323607</v>
      </c>
      <c r="E15">
        <v>4.7831106712848421E-3</v>
      </c>
      <c r="F15">
        <v>2.6719445818901538E-2</v>
      </c>
      <c r="G15">
        <v>0.43955137720600362</v>
      </c>
    </row>
    <row r="16" spans="1:7" x14ac:dyDescent="0.2">
      <c r="A16">
        <v>2004</v>
      </c>
      <c r="B16">
        <v>5.3129669599867174E-2</v>
      </c>
      <c r="C16">
        <v>0.1957496264320106</v>
      </c>
      <c r="D16">
        <v>0.28059106757429847</v>
      </c>
      <c r="E16">
        <v>4.8148763074879622E-3</v>
      </c>
      <c r="F16">
        <v>2.905528806242736E-2</v>
      </c>
      <c r="G16">
        <v>0.43665947202390831</v>
      </c>
    </row>
    <row r="17" spans="1:7" x14ac:dyDescent="0.2">
      <c r="A17">
        <v>2005</v>
      </c>
      <c r="B17">
        <v>5.1958970909702362E-2</v>
      </c>
      <c r="C17">
        <v>0.18446275432991424</v>
      </c>
      <c r="D17">
        <v>0.28753993610223644</v>
      </c>
      <c r="E17">
        <v>4.5401042542458385E-3</v>
      </c>
      <c r="F17">
        <v>2.942660164788969E-2</v>
      </c>
      <c r="G17">
        <v>0.44207163275601136</v>
      </c>
    </row>
    <row r="18" spans="1:7" x14ac:dyDescent="0.2">
      <c r="A18">
        <v>2006</v>
      </c>
      <c r="B18">
        <v>5.2015156734412676E-2</v>
      </c>
      <c r="C18">
        <v>0.17068549776093694</v>
      </c>
      <c r="D18">
        <v>0.30296245263520494</v>
      </c>
      <c r="E18">
        <v>4.4781260764726145E-3</v>
      </c>
      <c r="F18">
        <v>2.9280055115397861E-2</v>
      </c>
      <c r="G18">
        <v>0.4405787116775749</v>
      </c>
    </row>
    <row r="19" spans="1:7" x14ac:dyDescent="0.2">
      <c r="A19">
        <v>2007</v>
      </c>
      <c r="B19">
        <v>5.5654338549075394E-2</v>
      </c>
      <c r="C19">
        <v>0.15593883357041252</v>
      </c>
      <c r="D19">
        <v>0.33659317211948792</v>
      </c>
      <c r="E19">
        <v>4.8008534850640123E-3</v>
      </c>
      <c r="F19">
        <v>3.1650071123755334E-2</v>
      </c>
      <c r="G19">
        <v>0.41536273115220484</v>
      </c>
    </row>
    <row r="20" spans="1:7" x14ac:dyDescent="0.2">
      <c r="A20">
        <v>2008</v>
      </c>
      <c r="B20">
        <v>5.2837209302325577E-2</v>
      </c>
      <c r="C20">
        <v>0.1596279069767442</v>
      </c>
      <c r="D20">
        <v>0.35181395348837208</v>
      </c>
      <c r="E20">
        <v>5.2093023255813959E-3</v>
      </c>
      <c r="F20">
        <v>3.4790697674418607E-2</v>
      </c>
      <c r="G20">
        <v>0.39572093023255811</v>
      </c>
    </row>
    <row r="21" spans="1:7" x14ac:dyDescent="0.2">
      <c r="A21">
        <v>2009</v>
      </c>
      <c r="B21">
        <v>5.5493895671476133E-2</v>
      </c>
      <c r="C21">
        <v>0.15963743988161302</v>
      </c>
      <c r="D21">
        <v>0.33592304846466886</v>
      </c>
      <c r="E21">
        <v>6.2893081761006293E-3</v>
      </c>
      <c r="F21">
        <v>3.9400665926748055E-2</v>
      </c>
      <c r="G21">
        <v>0.40325564187939328</v>
      </c>
    </row>
    <row r="22" spans="1:7" x14ac:dyDescent="0.2">
      <c r="A22">
        <v>2010</v>
      </c>
      <c r="B22">
        <v>5.251184834123223E-2</v>
      </c>
      <c r="C22">
        <v>0.16037914691943131</v>
      </c>
      <c r="D22">
        <v>0.34009478672985782</v>
      </c>
      <c r="E22">
        <v>6.0663507109004738E-3</v>
      </c>
      <c r="F22">
        <v>4.018957345971564E-2</v>
      </c>
      <c r="G22">
        <v>0.40075829383886258</v>
      </c>
    </row>
    <row r="23" spans="1:7" x14ac:dyDescent="0.2">
      <c r="A23">
        <v>2011</v>
      </c>
      <c r="B23">
        <v>5.1509769094138541E-2</v>
      </c>
      <c r="C23">
        <v>0.17564633905664101</v>
      </c>
      <c r="D23">
        <v>0.3404381290704559</v>
      </c>
      <c r="E23">
        <v>6.7100848628379711E-3</v>
      </c>
      <c r="F23">
        <v>4.4010262482731398E-2</v>
      </c>
      <c r="G23">
        <v>0.38168541543319517</v>
      </c>
    </row>
    <row r="24" spans="1:7" x14ac:dyDescent="0.2">
      <c r="A24">
        <v>2012</v>
      </c>
      <c r="B24">
        <v>5.115036976170912E-2</v>
      </c>
      <c r="C24">
        <v>0.17974527526705009</v>
      </c>
      <c r="D24">
        <v>0.30628594905505335</v>
      </c>
      <c r="E24">
        <v>1.0476581758422348E-2</v>
      </c>
      <c r="F24">
        <v>4.6425636811832365E-2</v>
      </c>
      <c r="G24">
        <v>0.4059161873459326</v>
      </c>
    </row>
    <row r="25" spans="1:7" x14ac:dyDescent="0.2">
      <c r="A25">
        <v>2013</v>
      </c>
      <c r="B25">
        <v>5.182220349694544E-2</v>
      </c>
      <c r="C25">
        <v>0.17147672214029916</v>
      </c>
      <c r="D25">
        <v>0.3012428902464715</v>
      </c>
      <c r="E25">
        <v>1.1796924373288394E-2</v>
      </c>
      <c r="F25">
        <v>4.5713081946492519E-2</v>
      </c>
      <c r="G25">
        <v>0.41794817779650306</v>
      </c>
    </row>
    <row r="26" spans="1:7" x14ac:dyDescent="0.2">
      <c r="A26">
        <v>2014</v>
      </c>
      <c r="B26">
        <v>5.4533925174381735E-2</v>
      </c>
      <c r="C26">
        <v>0.16275628831113928</v>
      </c>
      <c r="D26">
        <v>0.30606637074614246</v>
      </c>
      <c r="E26">
        <v>1.1836820968082858E-2</v>
      </c>
      <c r="F26">
        <v>4.4599450433312191E-2</v>
      </c>
      <c r="G26">
        <v>0.4202071443669414</v>
      </c>
    </row>
    <row r="27" spans="1:7" x14ac:dyDescent="0.2">
      <c r="A27">
        <v>2015</v>
      </c>
      <c r="B27">
        <v>5.5955913522679097E-2</v>
      </c>
      <c r="C27">
        <v>0.14688427299703261</v>
      </c>
      <c r="D27">
        <v>0.30033912674862223</v>
      </c>
      <c r="E27">
        <v>1.1657481983891479E-2</v>
      </c>
      <c r="F27">
        <v>4.4722339974565484E-2</v>
      </c>
      <c r="G27">
        <v>0.44044086477320893</v>
      </c>
    </row>
    <row r="28" spans="1:7" x14ac:dyDescent="0.2">
      <c r="A28">
        <v>2016</v>
      </c>
      <c r="B28">
        <v>5.5754260467073435E-2</v>
      </c>
      <c r="C28">
        <v>0.14643383126446458</v>
      </c>
      <c r="D28">
        <v>0.30927835051546393</v>
      </c>
      <c r="E28">
        <v>1.1782032400589105E-2</v>
      </c>
      <c r="F28">
        <v>4.3761834630759527E-2</v>
      </c>
      <c r="G28">
        <v>0.4329896907216495</v>
      </c>
    </row>
    <row r="29" spans="1:7" x14ac:dyDescent="0.2">
      <c r="A29">
        <v>2017</v>
      </c>
      <c r="B29">
        <v>5.1716738197424894E-2</v>
      </c>
      <c r="C29">
        <v>0.14163090128755362</v>
      </c>
      <c r="D29">
        <v>0.3148068669527897</v>
      </c>
      <c r="E29">
        <v>1.1373390557939914E-2</v>
      </c>
      <c r="F29">
        <v>4.4849785407725315E-2</v>
      </c>
      <c r="G29">
        <v>0.4356223175965665</v>
      </c>
    </row>
    <row r="30" spans="1:7" x14ac:dyDescent="0.2">
      <c r="A30">
        <v>2018</v>
      </c>
      <c r="B30">
        <v>5.0526768436895297E-2</v>
      </c>
      <c r="C30">
        <v>0.13846484626961944</v>
      </c>
      <c r="D30">
        <v>0.32251128789507633</v>
      </c>
      <c r="E30">
        <v>1.1825413889486134E-2</v>
      </c>
      <c r="F30">
        <v>4.6871640507417767E-2</v>
      </c>
      <c r="G30">
        <v>0.42980004300150504</v>
      </c>
    </row>
    <row r="31" spans="1:7" x14ac:dyDescent="0.2">
      <c r="A31">
        <v>2019</v>
      </c>
      <c r="B31">
        <v>5.6217674836968747E-2</v>
      </c>
      <c r="C31">
        <v>0.14526647177872723</v>
      </c>
      <c r="D31">
        <v>0.34944906678659771</v>
      </c>
      <c r="E31">
        <v>1.3042500562176748E-2</v>
      </c>
      <c r="F31">
        <v>5.0146165954576119E-2</v>
      </c>
      <c r="G31">
        <v>0.38587812008095346</v>
      </c>
    </row>
    <row r="32" spans="1:7" x14ac:dyDescent="0.2">
      <c r="A32">
        <v>2020</v>
      </c>
      <c r="B32">
        <v>6.0073736716547387E-2</v>
      </c>
      <c r="C32">
        <v>0.13793103448275862</v>
      </c>
      <c r="D32">
        <v>0.37063543699848189</v>
      </c>
      <c r="E32">
        <v>1.4964216005204943E-2</v>
      </c>
      <c r="F32">
        <v>5.2266319670353507E-2</v>
      </c>
      <c r="G32">
        <v>0.36412925612665364</v>
      </c>
    </row>
    <row r="33" spans="1:7" x14ac:dyDescent="0.2">
      <c r="A33">
        <v>2021</v>
      </c>
      <c r="B33">
        <v>6.1902594446973151E-2</v>
      </c>
      <c r="C33">
        <v>0.1297223486572599</v>
      </c>
      <c r="D33">
        <v>0.39053254437869822</v>
      </c>
      <c r="E33">
        <v>1.3882567137005006E-2</v>
      </c>
      <c r="F33">
        <v>5.0751024123805194E-2</v>
      </c>
      <c r="G33">
        <v>0.35320892125625852</v>
      </c>
    </row>
    <row r="34" spans="1:7" x14ac:dyDescent="0.2">
      <c r="A34">
        <v>2022</v>
      </c>
      <c r="B34">
        <v>5.5517941773865938E-2</v>
      </c>
      <c r="C34">
        <v>0.11983750846310086</v>
      </c>
      <c r="D34">
        <v>0.41864139020537122</v>
      </c>
      <c r="E34">
        <v>1.3766644098397653E-2</v>
      </c>
      <c r="F34">
        <v>5.1907018731663278E-2</v>
      </c>
      <c r="G34">
        <v>0.34032949672760099</v>
      </c>
    </row>
    <row r="35" spans="1:7" x14ac:dyDescent="0.2">
      <c r="A35">
        <v>2023</v>
      </c>
      <c r="B35">
        <v>5.2382140184584682E-2</v>
      </c>
      <c r="C35">
        <v>0.1309553504614617</v>
      </c>
      <c r="D35">
        <v>0.42404589673235216</v>
      </c>
      <c r="E35">
        <v>1.5465203292591666E-2</v>
      </c>
      <c r="F35">
        <v>5.5375405337989521E-2</v>
      </c>
      <c r="G35">
        <v>0.32177600399102019</v>
      </c>
    </row>
    <row r="36" spans="1:7" x14ac:dyDescent="0.2">
      <c r="A36">
        <v>2024</v>
      </c>
      <c r="B36">
        <v>5.5077003393369871E-2</v>
      </c>
      <c r="C36">
        <v>0.12477160010441138</v>
      </c>
      <c r="D36">
        <v>0.41973375097885662</v>
      </c>
      <c r="E36">
        <v>1.5139650221874182E-2</v>
      </c>
      <c r="F36">
        <v>5.7687287914382664E-2</v>
      </c>
      <c r="G36">
        <v>0.32759070738710522</v>
      </c>
    </row>
    <row r="37" spans="1:7" x14ac:dyDescent="0.2">
      <c r="A37">
        <v>2025</v>
      </c>
      <c r="B37">
        <v>6.9167643610785465E-2</v>
      </c>
      <c r="C37">
        <v>0.14273153575615477</v>
      </c>
      <c r="D37">
        <v>0.49443141852286054</v>
      </c>
      <c r="E37">
        <v>1.9343493552168817E-2</v>
      </c>
      <c r="F37">
        <v>6.5064478311840576E-2</v>
      </c>
      <c r="G37">
        <v>0.20926143024618993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74CD-2C25-3A4A-B225-8925FEBCB704}">
  <dimension ref="A1:O37"/>
  <sheetViews>
    <sheetView workbookViewId="0">
      <selection activeCell="J10" sqref="J2:O10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6</v>
      </c>
      <c r="G1" s="2" t="s">
        <v>9</v>
      </c>
      <c r="H1" s="6" t="s">
        <v>7</v>
      </c>
      <c r="J1" s="2" t="s">
        <v>1</v>
      </c>
      <c r="K1" s="2" t="s">
        <v>3</v>
      </c>
      <c r="L1" s="2" t="s">
        <v>4</v>
      </c>
      <c r="M1" s="2" t="s">
        <v>2</v>
      </c>
      <c r="N1" s="2" t="s">
        <v>6</v>
      </c>
      <c r="O1" s="2" t="s">
        <v>9</v>
      </c>
    </row>
    <row r="2" spans="1:15" x14ac:dyDescent="0.2">
      <c r="A2">
        <v>1990</v>
      </c>
      <c r="B2">
        <v>9.76</v>
      </c>
      <c r="C2">
        <v>2.48</v>
      </c>
      <c r="D2">
        <v>0.6</v>
      </c>
      <c r="E2">
        <v>3.84</v>
      </c>
      <c r="F2">
        <v>0.63</v>
      </c>
      <c r="G2">
        <v>6.28</v>
      </c>
      <c r="H2">
        <f t="shared" ref="H2:H9" si="0">SUM(B2:G2)</f>
        <v>23.59</v>
      </c>
      <c r="J2">
        <f t="shared" ref="J2:J9" si="1">B2/H2</f>
        <v>0.41373463331920307</v>
      </c>
      <c r="K2">
        <f t="shared" ref="K2:K9" si="2">C2/H2</f>
        <v>0.10512929207291224</v>
      </c>
      <c r="L2">
        <f t="shared" ref="L2:L9" si="3">D2/H2</f>
        <v>2.5434506146672319E-2</v>
      </c>
      <c r="M2">
        <f t="shared" ref="M2:M9" si="4">E2/H2</f>
        <v>0.16278083933870283</v>
      </c>
      <c r="N2">
        <f t="shared" ref="N2:N9" si="5">F2/H2</f>
        <v>2.6706231454005934E-2</v>
      </c>
      <c r="O2">
        <f t="shared" ref="O2:O9" si="6">G2/H2</f>
        <v>0.26621449766850364</v>
      </c>
    </row>
    <row r="3" spans="1:15" x14ac:dyDescent="0.2">
      <c r="A3">
        <v>1991</v>
      </c>
      <c r="B3">
        <v>8.94</v>
      </c>
      <c r="C3">
        <v>2.23</v>
      </c>
      <c r="D3">
        <v>0.55000000000000004</v>
      </c>
      <c r="E3">
        <v>3.54</v>
      </c>
      <c r="F3">
        <v>0.66</v>
      </c>
      <c r="G3">
        <v>5.87</v>
      </c>
      <c r="H3">
        <f t="shared" si="0"/>
        <v>21.790000000000003</v>
      </c>
      <c r="J3">
        <f t="shared" si="1"/>
        <v>0.41027994492886638</v>
      </c>
      <c r="K3">
        <f t="shared" si="2"/>
        <v>0.10234052317576869</v>
      </c>
      <c r="L3">
        <f t="shared" si="3"/>
        <v>2.5240936209270308E-2</v>
      </c>
      <c r="M3">
        <f t="shared" si="4"/>
        <v>0.16245984396512159</v>
      </c>
      <c r="N3">
        <f t="shared" si="5"/>
        <v>3.0289123451124368E-2</v>
      </c>
      <c r="O3">
        <f t="shared" si="6"/>
        <v>0.26938962826984852</v>
      </c>
    </row>
    <row r="4" spans="1:15" x14ac:dyDescent="0.2">
      <c r="A4">
        <v>1992</v>
      </c>
      <c r="B4">
        <v>8.9600000000000009</v>
      </c>
      <c r="C4">
        <v>2.0499999999999998</v>
      </c>
      <c r="D4">
        <v>0.54</v>
      </c>
      <c r="E4">
        <v>3.38</v>
      </c>
      <c r="F4">
        <v>0.72</v>
      </c>
      <c r="G4">
        <v>5.97</v>
      </c>
      <c r="H4">
        <f t="shared" si="0"/>
        <v>21.62</v>
      </c>
      <c r="J4">
        <f t="shared" si="1"/>
        <v>0.41443108233117487</v>
      </c>
      <c r="K4">
        <f t="shared" si="2"/>
        <v>9.4819611470860307E-2</v>
      </c>
      <c r="L4">
        <f t="shared" si="3"/>
        <v>2.4976873265494911E-2</v>
      </c>
      <c r="M4">
        <f t="shared" si="4"/>
        <v>0.15633672525439407</v>
      </c>
      <c r="N4">
        <f t="shared" si="5"/>
        <v>3.330249768732655E-2</v>
      </c>
      <c r="O4">
        <f t="shared" si="6"/>
        <v>0.27613320999074931</v>
      </c>
    </row>
    <row r="5" spans="1:15" x14ac:dyDescent="0.2">
      <c r="A5">
        <v>1993</v>
      </c>
      <c r="B5">
        <v>8.3699999999999992</v>
      </c>
      <c r="C5">
        <v>2.27</v>
      </c>
      <c r="D5">
        <v>0.62</v>
      </c>
      <c r="E5">
        <v>3.49</v>
      </c>
      <c r="F5">
        <v>1.19</v>
      </c>
      <c r="G5">
        <v>7.08</v>
      </c>
      <c r="H5">
        <f t="shared" si="0"/>
        <v>23.019999999999996</v>
      </c>
      <c r="J5">
        <f t="shared" si="1"/>
        <v>0.36359687228496962</v>
      </c>
      <c r="K5">
        <f t="shared" si="2"/>
        <v>9.8609904430929637E-2</v>
      </c>
      <c r="L5">
        <f t="shared" si="3"/>
        <v>2.6933101650738492E-2</v>
      </c>
      <c r="M5">
        <f t="shared" si="4"/>
        <v>0.15160729800173767</v>
      </c>
      <c r="N5">
        <f t="shared" si="5"/>
        <v>5.1694178974804522E-2</v>
      </c>
      <c r="O5">
        <f t="shared" si="6"/>
        <v>0.3075586446568202</v>
      </c>
    </row>
    <row r="6" spans="1:15" x14ac:dyDescent="0.2">
      <c r="A6">
        <v>1994</v>
      </c>
      <c r="B6">
        <v>8.39</v>
      </c>
      <c r="C6">
        <v>2.3199999999999998</v>
      </c>
      <c r="D6">
        <v>0.68</v>
      </c>
      <c r="E6">
        <v>3.49</v>
      </c>
      <c r="F6">
        <v>1.22</v>
      </c>
      <c r="G6">
        <v>7.02</v>
      </c>
      <c r="H6">
        <f t="shared" si="0"/>
        <v>23.12</v>
      </c>
      <c r="J6">
        <f t="shared" si="1"/>
        <v>0.36288927335640142</v>
      </c>
      <c r="K6">
        <f t="shared" si="2"/>
        <v>0.10034602076124566</v>
      </c>
      <c r="L6">
        <f t="shared" si="3"/>
        <v>2.9411764705882353E-2</v>
      </c>
      <c r="M6">
        <f t="shared" si="4"/>
        <v>0.15095155709342561</v>
      </c>
      <c r="N6">
        <f t="shared" si="5"/>
        <v>5.2768166089965395E-2</v>
      </c>
      <c r="O6">
        <f t="shared" si="6"/>
        <v>0.30363321799307957</v>
      </c>
    </row>
    <row r="7" spans="1:15" x14ac:dyDescent="0.2">
      <c r="A7">
        <v>1995</v>
      </c>
      <c r="B7">
        <v>7.88</v>
      </c>
      <c r="C7">
        <v>2.4</v>
      </c>
      <c r="D7">
        <v>0.71</v>
      </c>
      <c r="E7">
        <v>3.42</v>
      </c>
      <c r="F7">
        <v>1.1299999999999999</v>
      </c>
      <c r="G7">
        <v>6.38</v>
      </c>
      <c r="H7">
        <f t="shared" si="0"/>
        <v>21.919999999999998</v>
      </c>
      <c r="J7">
        <f t="shared" si="1"/>
        <v>0.35948905109489054</v>
      </c>
      <c r="K7">
        <f t="shared" si="2"/>
        <v>0.10948905109489052</v>
      </c>
      <c r="L7">
        <f t="shared" si="3"/>
        <v>3.2390510948905112E-2</v>
      </c>
      <c r="M7">
        <f t="shared" si="4"/>
        <v>0.156021897810219</v>
      </c>
      <c r="N7">
        <f t="shared" si="5"/>
        <v>5.1551094890510948E-2</v>
      </c>
      <c r="O7">
        <f t="shared" si="6"/>
        <v>0.29105839416058399</v>
      </c>
    </row>
    <row r="8" spans="1:15" x14ac:dyDescent="0.2">
      <c r="A8">
        <v>1996</v>
      </c>
      <c r="B8">
        <v>8.08</v>
      </c>
      <c r="C8">
        <v>2.38</v>
      </c>
      <c r="D8">
        <v>0.7</v>
      </c>
      <c r="E8">
        <v>3.2</v>
      </c>
      <c r="F8">
        <v>1.02</v>
      </c>
      <c r="G8">
        <v>6.72</v>
      </c>
      <c r="H8">
        <f t="shared" si="0"/>
        <v>22.099999999999998</v>
      </c>
      <c r="J8">
        <f t="shared" si="1"/>
        <v>0.36561085972850682</v>
      </c>
      <c r="K8">
        <f t="shared" si="2"/>
        <v>0.1076923076923077</v>
      </c>
      <c r="L8">
        <f t="shared" si="3"/>
        <v>3.1674208144796379E-2</v>
      </c>
      <c r="M8">
        <f t="shared" si="4"/>
        <v>0.14479638009049775</v>
      </c>
      <c r="N8">
        <f t="shared" si="5"/>
        <v>4.6153846153846156E-2</v>
      </c>
      <c r="O8">
        <f t="shared" si="6"/>
        <v>0.30407239819004528</v>
      </c>
    </row>
    <row r="9" spans="1:15" x14ac:dyDescent="0.2">
      <c r="A9">
        <v>1997</v>
      </c>
      <c r="B9">
        <v>8.33</v>
      </c>
      <c r="C9">
        <v>2.13</v>
      </c>
      <c r="D9">
        <v>0.68</v>
      </c>
      <c r="E9">
        <v>3</v>
      </c>
      <c r="F9">
        <v>0.96</v>
      </c>
      <c r="G9">
        <v>7.37</v>
      </c>
      <c r="H9">
        <f t="shared" si="0"/>
        <v>22.470000000000002</v>
      </c>
      <c r="J9">
        <f t="shared" si="1"/>
        <v>0.37071651090342678</v>
      </c>
      <c r="K9">
        <f t="shared" si="2"/>
        <v>9.4793057409879825E-2</v>
      </c>
      <c r="L9">
        <f t="shared" si="3"/>
        <v>3.0262572318647082E-2</v>
      </c>
      <c r="M9">
        <f t="shared" si="4"/>
        <v>0.13351134846461948</v>
      </c>
      <c r="N9">
        <f t="shared" si="5"/>
        <v>4.272363150867823E-2</v>
      </c>
      <c r="O9">
        <f t="shared" si="6"/>
        <v>0.32799287939474853</v>
      </c>
    </row>
    <row r="10" spans="1:15" x14ac:dyDescent="0.2">
      <c r="A10">
        <v>1998</v>
      </c>
      <c r="B10">
        <v>8.19</v>
      </c>
      <c r="C10">
        <v>1.8</v>
      </c>
      <c r="D10">
        <v>0.63</v>
      </c>
      <c r="E10">
        <v>3.03</v>
      </c>
      <c r="F10">
        <v>1</v>
      </c>
      <c r="G10">
        <v>7.98</v>
      </c>
      <c r="H10">
        <f>SUM(B10:G10)</f>
        <v>22.630000000000003</v>
      </c>
      <c r="J10">
        <f>B10/H10</f>
        <v>0.36190897039328318</v>
      </c>
      <c r="K10">
        <f>C10/H10</f>
        <v>7.9540433053468834E-2</v>
      </c>
      <c r="L10">
        <f>D10/H10</f>
        <v>2.7839151568714093E-2</v>
      </c>
      <c r="M10">
        <f>E10/H10</f>
        <v>0.13389306230667253</v>
      </c>
      <c r="N10">
        <f>F10/H10</f>
        <v>4.4189129474149352E-2</v>
      </c>
      <c r="O10">
        <f>G10/H10</f>
        <v>0.35262925320371186</v>
      </c>
    </row>
    <row r="11" spans="1:15" x14ac:dyDescent="0.2">
      <c r="A11">
        <v>1999</v>
      </c>
      <c r="B11">
        <v>8.91</v>
      </c>
      <c r="C11">
        <v>1.9</v>
      </c>
      <c r="D11">
        <v>0.65</v>
      </c>
      <c r="E11">
        <v>2.97</v>
      </c>
      <c r="F11">
        <v>1.1599999999999999</v>
      </c>
      <c r="G11">
        <v>8.3699999999999992</v>
      </c>
      <c r="H11">
        <f t="shared" ref="H11:H37" si="7">SUM(B11:G11)</f>
        <v>23.96</v>
      </c>
      <c r="J11">
        <f t="shared" ref="J11:J37" si="8">B11/H11</f>
        <v>0.37186978297161938</v>
      </c>
      <c r="K11">
        <f t="shared" ref="K11:K37" si="9">C11/H11</f>
        <v>7.9298831385642726E-2</v>
      </c>
      <c r="L11">
        <f t="shared" ref="L11:L37" si="10">D11/H11</f>
        <v>2.7128547579298831E-2</v>
      </c>
      <c r="M11">
        <f t="shared" ref="M11:M37" si="11">E11/H11</f>
        <v>0.12395659432387313</v>
      </c>
      <c r="N11">
        <f t="shared" ref="N11:N37" si="12">F11/H11</f>
        <v>4.8414023372287139E-2</v>
      </c>
      <c r="O11">
        <f t="shared" ref="O11:O37" si="13">G11/H11</f>
        <v>0.34933222036727873</v>
      </c>
    </row>
    <row r="12" spans="1:15" x14ac:dyDescent="0.2">
      <c r="A12">
        <v>2000</v>
      </c>
      <c r="B12">
        <v>8.33</v>
      </c>
      <c r="C12">
        <v>1.99</v>
      </c>
      <c r="D12">
        <v>0.56000000000000005</v>
      </c>
      <c r="E12">
        <v>2.8</v>
      </c>
      <c r="F12">
        <v>1.32</v>
      </c>
      <c r="G12">
        <v>9.0399999999999991</v>
      </c>
      <c r="H12">
        <f t="shared" si="7"/>
        <v>24.04</v>
      </c>
      <c r="J12">
        <f t="shared" si="8"/>
        <v>0.34650582362728788</v>
      </c>
      <c r="K12">
        <f t="shared" si="9"/>
        <v>8.277870216306156E-2</v>
      </c>
      <c r="L12">
        <f t="shared" si="10"/>
        <v>2.3294509151414313E-2</v>
      </c>
      <c r="M12">
        <f t="shared" si="11"/>
        <v>0.11647254575707154</v>
      </c>
      <c r="N12">
        <f t="shared" si="12"/>
        <v>5.4908485856905165E-2</v>
      </c>
      <c r="O12">
        <f t="shared" si="13"/>
        <v>0.37603993344425957</v>
      </c>
    </row>
    <row r="13" spans="1:15" x14ac:dyDescent="0.2">
      <c r="A13">
        <v>2001</v>
      </c>
      <c r="B13">
        <v>8.11</v>
      </c>
      <c r="C13">
        <v>1.88</v>
      </c>
      <c r="D13">
        <v>0.54</v>
      </c>
      <c r="E13">
        <v>2.89</v>
      </c>
      <c r="F13">
        <v>1.57</v>
      </c>
      <c r="G13">
        <v>9.1199999999999992</v>
      </c>
      <c r="H13">
        <f t="shared" si="7"/>
        <v>24.11</v>
      </c>
      <c r="J13">
        <f t="shared" si="8"/>
        <v>0.33637494815429281</v>
      </c>
      <c r="K13">
        <f t="shared" si="9"/>
        <v>7.7975943591870586E-2</v>
      </c>
      <c r="L13">
        <f t="shared" si="10"/>
        <v>2.239734549979262E-2</v>
      </c>
      <c r="M13">
        <f t="shared" si="11"/>
        <v>0.11986727498963087</v>
      </c>
      <c r="N13">
        <f t="shared" si="12"/>
        <v>6.5118208212360015E-2</v>
      </c>
      <c r="O13">
        <f t="shared" si="13"/>
        <v>0.37826627955205305</v>
      </c>
    </row>
    <row r="14" spans="1:15" x14ac:dyDescent="0.2">
      <c r="A14">
        <v>2002</v>
      </c>
      <c r="B14">
        <v>8.4600000000000009</v>
      </c>
      <c r="C14">
        <v>1.76</v>
      </c>
      <c r="D14">
        <v>0.62</v>
      </c>
      <c r="E14">
        <v>2.9</v>
      </c>
      <c r="F14">
        <v>1.63</v>
      </c>
      <c r="G14">
        <v>8.85</v>
      </c>
      <c r="H14">
        <f t="shared" si="7"/>
        <v>24.22</v>
      </c>
      <c r="J14">
        <f t="shared" si="8"/>
        <v>0.34929810074318751</v>
      </c>
      <c r="K14">
        <f t="shared" si="9"/>
        <v>7.2667217175887699E-2</v>
      </c>
      <c r="L14">
        <f t="shared" si="10"/>
        <v>2.5598678777869529E-2</v>
      </c>
      <c r="M14">
        <f t="shared" si="11"/>
        <v>0.11973575557390587</v>
      </c>
      <c r="N14">
        <f t="shared" si="12"/>
        <v>6.7299752270850541E-2</v>
      </c>
      <c r="O14">
        <f t="shared" si="13"/>
        <v>0.36540049545829895</v>
      </c>
    </row>
    <row r="15" spans="1:15" x14ac:dyDescent="0.2">
      <c r="A15">
        <v>2003</v>
      </c>
      <c r="B15">
        <v>8.0500000000000007</v>
      </c>
      <c r="C15">
        <v>1.64</v>
      </c>
      <c r="D15">
        <v>0.66</v>
      </c>
      <c r="E15">
        <v>2.84</v>
      </c>
      <c r="F15">
        <v>1.9</v>
      </c>
      <c r="G15">
        <v>8.0399999999999991</v>
      </c>
      <c r="H15">
        <f t="shared" si="7"/>
        <v>23.130000000000003</v>
      </c>
      <c r="J15">
        <f t="shared" si="8"/>
        <v>0.3480328577604842</v>
      </c>
      <c r="K15">
        <f t="shared" si="9"/>
        <v>7.0903588413316024E-2</v>
      </c>
      <c r="L15">
        <f t="shared" si="10"/>
        <v>2.8534370946822308E-2</v>
      </c>
      <c r="M15">
        <f t="shared" si="11"/>
        <v>0.12278426286208385</v>
      </c>
      <c r="N15">
        <f t="shared" si="12"/>
        <v>8.2144401210549056E-2</v>
      </c>
      <c r="O15">
        <f t="shared" si="13"/>
        <v>0.34760051880674442</v>
      </c>
    </row>
    <row r="16" spans="1:15" x14ac:dyDescent="0.2">
      <c r="A16">
        <v>2004</v>
      </c>
      <c r="B16">
        <v>7.89</v>
      </c>
      <c r="C16">
        <v>1.58</v>
      </c>
      <c r="D16">
        <v>0.66</v>
      </c>
      <c r="E16">
        <v>2.73</v>
      </c>
      <c r="F16">
        <v>2.0099999999999998</v>
      </c>
      <c r="G16">
        <v>7.51</v>
      </c>
      <c r="H16">
        <f t="shared" si="7"/>
        <v>22.38</v>
      </c>
      <c r="J16">
        <f t="shared" si="8"/>
        <v>0.35254691689008044</v>
      </c>
      <c r="K16">
        <f t="shared" si="9"/>
        <v>7.0598748882931189E-2</v>
      </c>
      <c r="L16">
        <f t="shared" si="10"/>
        <v>2.9490616621983917E-2</v>
      </c>
      <c r="M16">
        <f t="shared" si="11"/>
        <v>0.12198391420911528</v>
      </c>
      <c r="N16">
        <f t="shared" si="12"/>
        <v>8.9812332439678275E-2</v>
      </c>
      <c r="O16">
        <f t="shared" si="13"/>
        <v>0.33556747095621092</v>
      </c>
    </row>
    <row r="17" spans="1:15" x14ac:dyDescent="0.2">
      <c r="A17">
        <v>2005</v>
      </c>
      <c r="B17">
        <v>7.51</v>
      </c>
      <c r="C17">
        <v>1.48</v>
      </c>
      <c r="D17">
        <v>0.69</v>
      </c>
      <c r="E17">
        <v>2.72</v>
      </c>
      <c r="F17">
        <v>1.94</v>
      </c>
      <c r="G17">
        <v>7.6</v>
      </c>
      <c r="H17">
        <f t="shared" si="7"/>
        <v>21.939999999999998</v>
      </c>
      <c r="J17">
        <f t="shared" si="8"/>
        <v>0.34229717411121241</v>
      </c>
      <c r="K17">
        <f t="shared" si="9"/>
        <v>6.7456700091157715E-2</v>
      </c>
      <c r="L17">
        <f t="shared" si="10"/>
        <v>3.1449407474931634E-2</v>
      </c>
      <c r="M17">
        <f t="shared" si="11"/>
        <v>0.12397447584320877</v>
      </c>
      <c r="N17">
        <f t="shared" si="12"/>
        <v>8.8422971741112133E-2</v>
      </c>
      <c r="O17">
        <f t="shared" si="13"/>
        <v>0.3463992707383774</v>
      </c>
    </row>
    <row r="18" spans="1:15" x14ac:dyDescent="0.2">
      <c r="A18">
        <v>2006</v>
      </c>
      <c r="B18">
        <v>7.42</v>
      </c>
      <c r="C18">
        <v>1.33</v>
      </c>
      <c r="D18">
        <v>0.61</v>
      </c>
      <c r="E18">
        <v>2.65</v>
      </c>
      <c r="F18">
        <v>2.11</v>
      </c>
      <c r="G18">
        <v>7.21</v>
      </c>
      <c r="H18">
        <f t="shared" si="7"/>
        <v>21.33</v>
      </c>
      <c r="J18">
        <f t="shared" si="8"/>
        <v>0.34786685419596813</v>
      </c>
      <c r="K18">
        <f t="shared" si="9"/>
        <v>6.2353492733239577E-2</v>
      </c>
      <c r="L18">
        <f t="shared" si="10"/>
        <v>2.8598218471636194E-2</v>
      </c>
      <c r="M18">
        <f t="shared" si="11"/>
        <v>0.12423816221284577</v>
      </c>
      <c r="N18">
        <f t="shared" si="12"/>
        <v>9.8921706516643226E-2</v>
      </c>
      <c r="O18">
        <f t="shared" si="13"/>
        <v>0.33802156586966714</v>
      </c>
    </row>
    <row r="19" spans="1:15" x14ac:dyDescent="0.2">
      <c r="A19">
        <v>2007</v>
      </c>
      <c r="B19">
        <v>6.99</v>
      </c>
      <c r="C19">
        <v>1.21</v>
      </c>
      <c r="D19">
        <v>0.62</v>
      </c>
      <c r="E19">
        <v>2.5499999999999998</v>
      </c>
      <c r="F19">
        <v>2.17</v>
      </c>
      <c r="G19">
        <v>6.44</v>
      </c>
      <c r="H19">
        <f t="shared" si="7"/>
        <v>19.979999999999997</v>
      </c>
      <c r="J19">
        <f t="shared" si="8"/>
        <v>0.3498498498498499</v>
      </c>
      <c r="K19">
        <f t="shared" si="9"/>
        <v>6.056056056056057E-2</v>
      </c>
      <c r="L19">
        <f t="shared" si="10"/>
        <v>3.1031031031031036E-2</v>
      </c>
      <c r="M19">
        <f t="shared" si="11"/>
        <v>0.12762762762762764</v>
      </c>
      <c r="N19">
        <f t="shared" si="12"/>
        <v>0.10860860860860862</v>
      </c>
      <c r="O19">
        <f t="shared" si="13"/>
        <v>0.32232232232232239</v>
      </c>
    </row>
    <row r="20" spans="1:15" x14ac:dyDescent="0.2">
      <c r="A20">
        <v>2008</v>
      </c>
      <c r="B20">
        <v>6.21</v>
      </c>
      <c r="C20">
        <v>1.19</v>
      </c>
      <c r="D20">
        <v>0.64</v>
      </c>
      <c r="E20">
        <v>2.6</v>
      </c>
      <c r="F20">
        <v>2.33</v>
      </c>
      <c r="G20">
        <v>5.98</v>
      </c>
      <c r="H20">
        <f t="shared" si="7"/>
        <v>18.950000000000003</v>
      </c>
      <c r="J20">
        <f t="shared" si="8"/>
        <v>0.32770448548812658</v>
      </c>
      <c r="K20">
        <f t="shared" si="9"/>
        <v>6.2796833773087063E-2</v>
      </c>
      <c r="L20">
        <f t="shared" si="10"/>
        <v>3.3773087071240104E-2</v>
      </c>
      <c r="M20">
        <f t="shared" si="11"/>
        <v>0.13720316622691292</v>
      </c>
      <c r="N20">
        <f t="shared" si="12"/>
        <v>0.1229551451187335</v>
      </c>
      <c r="O20">
        <f t="shared" si="13"/>
        <v>0.31556728232189973</v>
      </c>
    </row>
    <row r="21" spans="1:15" x14ac:dyDescent="0.2">
      <c r="A21">
        <v>2009</v>
      </c>
      <c r="B21">
        <v>6.11</v>
      </c>
      <c r="C21">
        <v>1.3</v>
      </c>
      <c r="D21">
        <v>0.68</v>
      </c>
      <c r="E21">
        <v>2.81</v>
      </c>
      <c r="F21">
        <v>2.91</v>
      </c>
      <c r="G21">
        <v>5.81</v>
      </c>
      <c r="H21">
        <f t="shared" si="7"/>
        <v>19.62</v>
      </c>
      <c r="J21">
        <f t="shared" si="8"/>
        <v>0.31141692150866462</v>
      </c>
      <c r="K21">
        <f t="shared" si="9"/>
        <v>6.6258919469928637E-2</v>
      </c>
      <c r="L21">
        <f t="shared" si="10"/>
        <v>3.4658511722731905E-2</v>
      </c>
      <c r="M21">
        <f t="shared" si="11"/>
        <v>0.14322120285423037</v>
      </c>
      <c r="N21">
        <f t="shared" si="12"/>
        <v>0.14831804281345565</v>
      </c>
      <c r="O21">
        <f t="shared" si="13"/>
        <v>0.29612640163098874</v>
      </c>
    </row>
    <row r="22" spans="1:15" x14ac:dyDescent="0.2">
      <c r="A22">
        <v>2010</v>
      </c>
      <c r="B22">
        <v>6.11</v>
      </c>
      <c r="C22">
        <v>1.3</v>
      </c>
      <c r="D22">
        <v>0.69</v>
      </c>
      <c r="E22">
        <v>2.8</v>
      </c>
      <c r="F22">
        <v>3.39</v>
      </c>
      <c r="G22">
        <v>5.96</v>
      </c>
      <c r="H22">
        <f t="shared" si="7"/>
        <v>20.25</v>
      </c>
      <c r="J22">
        <f t="shared" si="8"/>
        <v>0.30172839506172844</v>
      </c>
      <c r="K22">
        <f t="shared" si="9"/>
        <v>6.4197530864197536E-2</v>
      </c>
      <c r="L22">
        <f t="shared" si="10"/>
        <v>3.4074074074074069E-2</v>
      </c>
      <c r="M22">
        <f t="shared" si="11"/>
        <v>0.13827160493827159</v>
      </c>
      <c r="N22">
        <f t="shared" si="12"/>
        <v>0.16740740740740742</v>
      </c>
      <c r="O22">
        <f t="shared" si="13"/>
        <v>0.29432098765432096</v>
      </c>
    </row>
    <row r="23" spans="1:15" x14ac:dyDescent="0.2">
      <c r="A23">
        <v>2011</v>
      </c>
      <c r="B23">
        <v>5.93</v>
      </c>
      <c r="C23">
        <v>1.36</v>
      </c>
      <c r="D23">
        <v>0.68</v>
      </c>
      <c r="E23">
        <v>2.87</v>
      </c>
      <c r="F23">
        <v>3.64</v>
      </c>
      <c r="G23">
        <v>5.88</v>
      </c>
      <c r="H23">
        <f t="shared" si="7"/>
        <v>20.36</v>
      </c>
      <c r="J23">
        <f t="shared" si="8"/>
        <v>0.29125736738703339</v>
      </c>
      <c r="K23">
        <f t="shared" si="9"/>
        <v>6.6797642436149315E-2</v>
      </c>
      <c r="L23">
        <f t="shared" si="10"/>
        <v>3.3398821218074658E-2</v>
      </c>
      <c r="M23">
        <f t="shared" si="11"/>
        <v>0.14096267190569745</v>
      </c>
      <c r="N23">
        <f t="shared" si="12"/>
        <v>0.1787819253438114</v>
      </c>
      <c r="O23">
        <f t="shared" si="13"/>
        <v>0.28880157170923382</v>
      </c>
    </row>
    <row r="24" spans="1:15" x14ac:dyDescent="0.2">
      <c r="A24">
        <v>2012</v>
      </c>
      <c r="B24">
        <v>6.17</v>
      </c>
      <c r="C24">
        <v>1.45</v>
      </c>
      <c r="D24">
        <v>0.75</v>
      </c>
      <c r="E24">
        <v>3.19</v>
      </c>
      <c r="F24">
        <v>3.74</v>
      </c>
      <c r="G24">
        <v>6.25</v>
      </c>
      <c r="H24">
        <f t="shared" si="7"/>
        <v>21.55</v>
      </c>
      <c r="J24">
        <f t="shared" si="8"/>
        <v>0.2863109048723898</v>
      </c>
      <c r="K24">
        <f t="shared" si="9"/>
        <v>6.7285382830626447E-2</v>
      </c>
      <c r="L24">
        <f t="shared" si="10"/>
        <v>3.4802784222737818E-2</v>
      </c>
      <c r="M24">
        <f t="shared" si="11"/>
        <v>0.14802784222737819</v>
      </c>
      <c r="N24">
        <f t="shared" si="12"/>
        <v>0.17354988399071927</v>
      </c>
      <c r="O24">
        <f t="shared" si="13"/>
        <v>0.29002320185614849</v>
      </c>
    </row>
    <row r="25" spans="1:15" x14ac:dyDescent="0.2">
      <c r="A25">
        <v>2013</v>
      </c>
      <c r="B25">
        <v>6.21</v>
      </c>
      <c r="C25">
        <v>1.33</v>
      </c>
      <c r="D25">
        <v>0.69</v>
      </c>
      <c r="E25">
        <v>2.88</v>
      </c>
      <c r="F25">
        <v>3.72</v>
      </c>
      <c r="G25">
        <v>6.21</v>
      </c>
      <c r="H25">
        <f t="shared" si="7"/>
        <v>21.04</v>
      </c>
      <c r="J25">
        <f t="shared" si="8"/>
        <v>0.29515209125475284</v>
      </c>
      <c r="K25">
        <f t="shared" si="9"/>
        <v>6.3212927756653992E-2</v>
      </c>
      <c r="L25">
        <f t="shared" si="10"/>
        <v>3.2794676806083646E-2</v>
      </c>
      <c r="M25">
        <f t="shared" si="11"/>
        <v>0.13688212927756654</v>
      </c>
      <c r="N25">
        <f t="shared" si="12"/>
        <v>0.17680608365019013</v>
      </c>
      <c r="O25">
        <f t="shared" si="13"/>
        <v>0.29515209125475284</v>
      </c>
    </row>
    <row r="26" spans="1:15" x14ac:dyDescent="0.2">
      <c r="A26">
        <v>2014</v>
      </c>
      <c r="B26">
        <v>6.53</v>
      </c>
      <c r="C26">
        <v>1.28</v>
      </c>
      <c r="D26">
        <v>0.67</v>
      </c>
      <c r="E26">
        <v>2.69</v>
      </c>
      <c r="F26">
        <v>3.99</v>
      </c>
      <c r="G26">
        <v>6.59</v>
      </c>
      <c r="H26">
        <f t="shared" si="7"/>
        <v>21.75</v>
      </c>
      <c r="J26">
        <f t="shared" si="8"/>
        <v>0.30022988505747128</v>
      </c>
      <c r="K26">
        <f t="shared" si="9"/>
        <v>5.8850574712643676E-2</v>
      </c>
      <c r="L26">
        <f t="shared" si="10"/>
        <v>3.0804597701149426E-2</v>
      </c>
      <c r="M26">
        <f t="shared" si="11"/>
        <v>0.12367816091954023</v>
      </c>
      <c r="N26">
        <f t="shared" si="12"/>
        <v>0.18344827586206897</v>
      </c>
      <c r="O26">
        <f t="shared" si="13"/>
        <v>0.30298850574712644</v>
      </c>
    </row>
    <row r="27" spans="1:15" x14ac:dyDescent="0.2">
      <c r="A27">
        <v>2015</v>
      </c>
      <c r="B27">
        <v>6.83</v>
      </c>
      <c r="C27">
        <v>1.33</v>
      </c>
      <c r="D27">
        <v>0.63</v>
      </c>
      <c r="E27">
        <v>2.67</v>
      </c>
      <c r="F27">
        <v>3.9</v>
      </c>
      <c r="G27">
        <v>7.55</v>
      </c>
      <c r="H27">
        <f t="shared" si="7"/>
        <v>22.91</v>
      </c>
      <c r="J27">
        <f t="shared" si="8"/>
        <v>0.29812309035355739</v>
      </c>
      <c r="K27">
        <f t="shared" si="9"/>
        <v>5.8053251855085121E-2</v>
      </c>
      <c r="L27">
        <f t="shared" si="10"/>
        <v>2.749890877346137E-2</v>
      </c>
      <c r="M27">
        <f t="shared" si="11"/>
        <v>0.116542994325622</v>
      </c>
      <c r="N27">
        <f t="shared" si="12"/>
        <v>0.17023134002618942</v>
      </c>
      <c r="O27">
        <f t="shared" si="13"/>
        <v>0.32955041466608465</v>
      </c>
    </row>
    <row r="28" spans="1:15" x14ac:dyDescent="0.2">
      <c r="A28">
        <v>2016</v>
      </c>
      <c r="B28">
        <v>6.66</v>
      </c>
      <c r="C28">
        <v>1.4</v>
      </c>
      <c r="D28">
        <v>0.68</v>
      </c>
      <c r="E28">
        <v>2.68</v>
      </c>
      <c r="F28">
        <v>3.88</v>
      </c>
      <c r="G28">
        <v>7.4</v>
      </c>
      <c r="H28">
        <f t="shared" si="7"/>
        <v>22.700000000000003</v>
      </c>
      <c r="J28">
        <f t="shared" si="8"/>
        <v>0.29339207048458149</v>
      </c>
      <c r="K28">
        <f t="shared" si="9"/>
        <v>6.1674008810572674E-2</v>
      </c>
      <c r="L28">
        <f t="shared" si="10"/>
        <v>2.9955947136563875E-2</v>
      </c>
      <c r="M28">
        <f t="shared" si="11"/>
        <v>0.11806167400881057</v>
      </c>
      <c r="N28">
        <f t="shared" si="12"/>
        <v>0.17092511013215855</v>
      </c>
      <c r="O28">
        <f t="shared" si="13"/>
        <v>0.32599118942731276</v>
      </c>
    </row>
    <row r="29" spans="1:15" x14ac:dyDescent="0.2">
      <c r="A29">
        <v>2017</v>
      </c>
      <c r="B29">
        <v>6.25</v>
      </c>
      <c r="C29">
        <v>1.32</v>
      </c>
      <c r="D29">
        <v>0.65</v>
      </c>
      <c r="E29">
        <v>2.57</v>
      </c>
      <c r="F29">
        <v>4.1500000000000004</v>
      </c>
      <c r="G29">
        <v>7.1</v>
      </c>
      <c r="H29">
        <f t="shared" si="7"/>
        <v>22.04</v>
      </c>
      <c r="J29">
        <f t="shared" si="8"/>
        <v>0.28357531760435573</v>
      </c>
      <c r="K29">
        <f t="shared" si="9"/>
        <v>5.9891107078039935E-2</v>
      </c>
      <c r="L29">
        <f t="shared" si="10"/>
        <v>2.9491833030852996E-2</v>
      </c>
      <c r="M29">
        <f t="shared" si="11"/>
        <v>0.11660617059891107</v>
      </c>
      <c r="N29">
        <f t="shared" si="12"/>
        <v>0.18829401088929221</v>
      </c>
      <c r="O29">
        <f t="shared" si="13"/>
        <v>0.32214156079854811</v>
      </c>
    </row>
    <row r="30" spans="1:15" x14ac:dyDescent="0.2">
      <c r="A30">
        <v>2018</v>
      </c>
      <c r="B30">
        <v>6.05</v>
      </c>
      <c r="C30">
        <v>1.35</v>
      </c>
      <c r="D30">
        <v>0.65</v>
      </c>
      <c r="E30">
        <v>2.5</v>
      </c>
      <c r="F30">
        <v>4.24</v>
      </c>
      <c r="G30">
        <v>7.24</v>
      </c>
      <c r="H30">
        <f t="shared" si="7"/>
        <v>22.03</v>
      </c>
      <c r="J30">
        <f t="shared" si="8"/>
        <v>0.27462551066727187</v>
      </c>
      <c r="K30">
        <f t="shared" si="9"/>
        <v>6.1280072628234226E-2</v>
      </c>
      <c r="L30">
        <f t="shared" si="10"/>
        <v>2.9505220154334998E-2</v>
      </c>
      <c r="M30">
        <f t="shared" si="11"/>
        <v>0.11348161597821152</v>
      </c>
      <c r="N30">
        <f t="shared" si="12"/>
        <v>0.19246482069904675</v>
      </c>
      <c r="O30">
        <f t="shared" si="13"/>
        <v>0.32864275987290059</v>
      </c>
    </row>
    <row r="31" spans="1:15" x14ac:dyDescent="0.2">
      <c r="A31">
        <v>2019</v>
      </c>
      <c r="B31">
        <v>5.96</v>
      </c>
      <c r="C31">
        <v>1.41</v>
      </c>
      <c r="D31">
        <v>0.62</v>
      </c>
      <c r="E31">
        <v>2.56</v>
      </c>
      <c r="F31">
        <v>4.4000000000000004</v>
      </c>
      <c r="G31">
        <v>7.86</v>
      </c>
      <c r="H31">
        <f t="shared" si="7"/>
        <v>22.810000000000002</v>
      </c>
      <c r="J31">
        <f t="shared" si="8"/>
        <v>0.26128890837352037</v>
      </c>
      <c r="K31">
        <f t="shared" si="9"/>
        <v>6.1814993423936863E-2</v>
      </c>
      <c r="L31">
        <f t="shared" si="10"/>
        <v>2.7181060938185005E-2</v>
      </c>
      <c r="M31">
        <f t="shared" si="11"/>
        <v>0.11223147742218324</v>
      </c>
      <c r="N31">
        <f t="shared" si="12"/>
        <v>0.19289785181937746</v>
      </c>
      <c r="O31">
        <f t="shared" si="13"/>
        <v>0.34458570802279698</v>
      </c>
    </row>
    <row r="32" spans="1:15" x14ac:dyDescent="0.2">
      <c r="A32">
        <v>2020</v>
      </c>
      <c r="B32">
        <v>5.88</v>
      </c>
      <c r="C32">
        <v>1.41</v>
      </c>
      <c r="D32">
        <v>0.67</v>
      </c>
      <c r="E32">
        <v>2.83</v>
      </c>
      <c r="F32">
        <v>5.08</v>
      </c>
      <c r="G32">
        <v>8.14</v>
      </c>
      <c r="H32">
        <f t="shared" si="7"/>
        <v>24.009999999999998</v>
      </c>
      <c r="J32">
        <f t="shared" si="8"/>
        <v>0.24489795918367349</v>
      </c>
      <c r="K32">
        <f t="shared" si="9"/>
        <v>5.872553102873803E-2</v>
      </c>
      <c r="L32">
        <f t="shared" si="10"/>
        <v>2.7905039566847152E-2</v>
      </c>
      <c r="M32">
        <f t="shared" si="11"/>
        <v>0.11786755518533945</v>
      </c>
      <c r="N32">
        <f t="shared" si="12"/>
        <v>0.21157850895460226</v>
      </c>
      <c r="O32">
        <f t="shared" si="13"/>
        <v>0.33902540608079973</v>
      </c>
    </row>
    <row r="33" spans="1:15" x14ac:dyDescent="0.2">
      <c r="A33">
        <v>2021</v>
      </c>
      <c r="B33">
        <v>4.9800000000000004</v>
      </c>
      <c r="C33">
        <v>1.31</v>
      </c>
      <c r="D33">
        <v>0.65</v>
      </c>
      <c r="E33">
        <v>2.4</v>
      </c>
      <c r="F33">
        <v>4.7300000000000004</v>
      </c>
      <c r="G33">
        <v>7.48</v>
      </c>
      <c r="H33">
        <f t="shared" si="7"/>
        <v>21.550000000000004</v>
      </c>
      <c r="J33">
        <f t="shared" si="8"/>
        <v>0.2310904872389791</v>
      </c>
      <c r="K33">
        <f t="shared" si="9"/>
        <v>6.0788863109048713E-2</v>
      </c>
      <c r="L33">
        <f t="shared" si="10"/>
        <v>3.0162412993039438E-2</v>
      </c>
      <c r="M33">
        <f t="shared" si="11"/>
        <v>0.11136890951276099</v>
      </c>
      <c r="N33">
        <f t="shared" si="12"/>
        <v>0.21948955916473314</v>
      </c>
      <c r="O33">
        <f t="shared" si="13"/>
        <v>0.34709976798143849</v>
      </c>
    </row>
    <row r="34" spans="1:15" x14ac:dyDescent="0.2">
      <c r="A34">
        <v>2022</v>
      </c>
      <c r="B34">
        <v>5.37</v>
      </c>
      <c r="C34">
        <v>1.23</v>
      </c>
      <c r="D34">
        <v>0.61</v>
      </c>
      <c r="E34">
        <v>2.5299999999999998</v>
      </c>
      <c r="F34">
        <v>4.04</v>
      </c>
      <c r="G34">
        <v>7.83</v>
      </c>
      <c r="H34">
        <f t="shared" si="7"/>
        <v>21.61</v>
      </c>
      <c r="J34">
        <f t="shared" si="8"/>
        <v>0.24849606663581678</v>
      </c>
      <c r="K34">
        <f t="shared" si="9"/>
        <v>5.6918093475242945E-2</v>
      </c>
      <c r="L34">
        <f t="shared" si="10"/>
        <v>2.8227672373900971E-2</v>
      </c>
      <c r="M34">
        <f t="shared" si="11"/>
        <v>0.11707542804257287</v>
      </c>
      <c r="N34">
        <f t="shared" si="12"/>
        <v>0.18695048588616381</v>
      </c>
      <c r="O34">
        <f t="shared" si="13"/>
        <v>0.36233225358630267</v>
      </c>
    </row>
    <row r="35" spans="1:15" x14ac:dyDescent="0.2">
      <c r="A35">
        <v>2023</v>
      </c>
      <c r="B35">
        <v>5.53</v>
      </c>
      <c r="C35">
        <v>1.1200000000000001</v>
      </c>
      <c r="D35">
        <v>0.62</v>
      </c>
      <c r="E35">
        <v>2.62</v>
      </c>
      <c r="F35">
        <v>3.95</v>
      </c>
      <c r="G35">
        <v>8.0500000000000007</v>
      </c>
      <c r="H35">
        <f t="shared" si="7"/>
        <v>21.89</v>
      </c>
      <c r="J35">
        <f t="shared" si="8"/>
        <v>0.25262677021470992</v>
      </c>
      <c r="K35">
        <f t="shared" si="9"/>
        <v>5.1164915486523528E-2</v>
      </c>
      <c r="L35">
        <f t="shared" si="10"/>
        <v>2.8323435358611235E-2</v>
      </c>
      <c r="M35">
        <f t="shared" si="11"/>
        <v>0.11968935587026039</v>
      </c>
      <c r="N35">
        <f t="shared" si="12"/>
        <v>0.18044769301050709</v>
      </c>
      <c r="O35">
        <f t="shared" si="13"/>
        <v>0.36774783005938788</v>
      </c>
    </row>
    <row r="36" spans="1:15" x14ac:dyDescent="0.2">
      <c r="A36">
        <v>2024</v>
      </c>
      <c r="B36">
        <v>5.59</v>
      </c>
      <c r="C36">
        <v>1.1000000000000001</v>
      </c>
      <c r="D36">
        <v>0.62</v>
      </c>
      <c r="E36">
        <v>2.74</v>
      </c>
      <c r="F36">
        <v>3.79</v>
      </c>
      <c r="G36">
        <v>8.5299999999999994</v>
      </c>
      <c r="H36">
        <f t="shared" si="7"/>
        <v>22.369999999999997</v>
      </c>
      <c r="J36">
        <f t="shared" si="8"/>
        <v>0.24988824318283417</v>
      </c>
      <c r="K36">
        <f t="shared" si="9"/>
        <v>4.9172999552972739E-2</v>
      </c>
      <c r="L36">
        <f t="shared" si="10"/>
        <v>2.7715690657130088E-2</v>
      </c>
      <c r="M36">
        <f t="shared" si="11"/>
        <v>0.12248547161376847</v>
      </c>
      <c r="N36">
        <f t="shared" si="12"/>
        <v>0.16942333482342425</v>
      </c>
      <c r="O36">
        <f t="shared" si="13"/>
        <v>0.38131426016987036</v>
      </c>
    </row>
    <row r="37" spans="1:15" x14ac:dyDescent="0.2">
      <c r="A37">
        <v>2025</v>
      </c>
      <c r="B37">
        <v>5.62</v>
      </c>
      <c r="C37">
        <v>1.1599999999999999</v>
      </c>
      <c r="D37">
        <v>0.56000000000000005</v>
      </c>
      <c r="E37">
        <v>2.89</v>
      </c>
      <c r="F37">
        <v>3.49</v>
      </c>
      <c r="G37">
        <v>8.26</v>
      </c>
      <c r="H37">
        <f t="shared" si="7"/>
        <v>21.98</v>
      </c>
      <c r="J37">
        <f t="shared" si="8"/>
        <v>0.25568698817106461</v>
      </c>
      <c r="K37">
        <f t="shared" si="9"/>
        <v>5.2775250227479524E-2</v>
      </c>
      <c r="L37">
        <f t="shared" si="10"/>
        <v>2.5477707006369428E-2</v>
      </c>
      <c r="M37">
        <f t="shared" si="11"/>
        <v>0.13148316651501366</v>
      </c>
      <c r="N37">
        <f t="shared" si="12"/>
        <v>0.15878070973612377</v>
      </c>
      <c r="O37">
        <f t="shared" si="13"/>
        <v>0.37579617834394902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F261-53F3-D042-B7F4-439F7A1ABB00}">
  <dimension ref="A1:G37"/>
  <sheetViews>
    <sheetView workbookViewId="0">
      <selection activeCell="M21" sqref="M21"/>
    </sheetView>
  </sheetViews>
  <sheetFormatPr baseColWidth="10" defaultRowHeight="16" x14ac:dyDescent="0.2"/>
  <sheetData>
    <row r="1" spans="1:7" x14ac:dyDescent="0.2">
      <c r="A1" s="2" t="s">
        <v>0</v>
      </c>
      <c r="B1" t="s">
        <v>1</v>
      </c>
      <c r="C1" t="s">
        <v>3</v>
      </c>
      <c r="D1" t="s">
        <v>4</v>
      </c>
      <c r="E1" t="s">
        <v>2</v>
      </c>
      <c r="F1" t="s">
        <v>6</v>
      </c>
      <c r="G1" t="s">
        <v>9</v>
      </c>
    </row>
    <row r="2" spans="1:7" x14ac:dyDescent="0.2">
      <c r="A2">
        <v>1990</v>
      </c>
      <c r="B2">
        <v>0.41373463331920307</v>
      </c>
      <c r="C2">
        <v>0.10512929207291224</v>
      </c>
      <c r="D2">
        <v>2.5434506146672319E-2</v>
      </c>
      <c r="E2">
        <v>0.16278083933870283</v>
      </c>
      <c r="F2">
        <v>2.6706231454005934E-2</v>
      </c>
      <c r="G2">
        <v>0.26621449766850364</v>
      </c>
    </row>
    <row r="3" spans="1:7" x14ac:dyDescent="0.2">
      <c r="A3">
        <v>1991</v>
      </c>
      <c r="B3">
        <v>0.41027994492886638</v>
      </c>
      <c r="C3">
        <v>0.10234052317576869</v>
      </c>
      <c r="D3">
        <v>2.5240936209270308E-2</v>
      </c>
      <c r="E3">
        <v>0.16245984396512159</v>
      </c>
      <c r="F3">
        <v>3.0289123451124368E-2</v>
      </c>
      <c r="G3">
        <v>0.26938962826984852</v>
      </c>
    </row>
    <row r="4" spans="1:7" x14ac:dyDescent="0.2">
      <c r="A4">
        <v>1992</v>
      </c>
      <c r="B4">
        <v>0.41443108233117487</v>
      </c>
      <c r="C4">
        <v>9.4819611470860307E-2</v>
      </c>
      <c r="D4">
        <v>2.4976873265494911E-2</v>
      </c>
      <c r="E4">
        <v>0.15633672525439407</v>
      </c>
      <c r="F4">
        <v>3.330249768732655E-2</v>
      </c>
      <c r="G4">
        <v>0.27613320999074931</v>
      </c>
    </row>
    <row r="5" spans="1:7" x14ac:dyDescent="0.2">
      <c r="A5">
        <v>1993</v>
      </c>
      <c r="B5">
        <v>0.36359687228496962</v>
      </c>
      <c r="C5">
        <v>9.8609904430929637E-2</v>
      </c>
      <c r="D5">
        <v>2.6933101650738492E-2</v>
      </c>
      <c r="E5">
        <v>0.15160729800173767</v>
      </c>
      <c r="F5">
        <v>5.1694178974804522E-2</v>
      </c>
      <c r="G5">
        <v>0.3075586446568202</v>
      </c>
    </row>
    <row r="6" spans="1:7" x14ac:dyDescent="0.2">
      <c r="A6">
        <v>1994</v>
      </c>
      <c r="B6">
        <v>0.36288927335640142</v>
      </c>
      <c r="C6">
        <v>0.10034602076124566</v>
      </c>
      <c r="D6">
        <v>2.9411764705882353E-2</v>
      </c>
      <c r="E6">
        <v>0.15095155709342561</v>
      </c>
      <c r="F6">
        <v>5.2768166089965395E-2</v>
      </c>
      <c r="G6">
        <v>0.30363321799307957</v>
      </c>
    </row>
    <row r="7" spans="1:7" x14ac:dyDescent="0.2">
      <c r="A7">
        <v>1995</v>
      </c>
      <c r="B7">
        <v>0.35948905109489054</v>
      </c>
      <c r="C7">
        <v>0.10948905109489052</v>
      </c>
      <c r="D7">
        <v>3.2390510948905112E-2</v>
      </c>
      <c r="E7">
        <v>0.156021897810219</v>
      </c>
      <c r="F7">
        <v>5.1551094890510948E-2</v>
      </c>
      <c r="G7">
        <v>0.29105839416058399</v>
      </c>
    </row>
    <row r="8" spans="1:7" x14ac:dyDescent="0.2">
      <c r="A8">
        <v>1996</v>
      </c>
      <c r="B8">
        <v>0.36561085972850682</v>
      </c>
      <c r="C8">
        <v>0.1076923076923077</v>
      </c>
      <c r="D8">
        <v>3.1674208144796379E-2</v>
      </c>
      <c r="E8">
        <v>0.14479638009049775</v>
      </c>
      <c r="F8">
        <v>4.6153846153846156E-2</v>
      </c>
      <c r="G8">
        <v>0.30407239819004528</v>
      </c>
    </row>
    <row r="9" spans="1:7" x14ac:dyDescent="0.2">
      <c r="A9">
        <v>1997</v>
      </c>
      <c r="B9">
        <v>0.37071651090342678</v>
      </c>
      <c r="C9">
        <v>9.4793057409879825E-2</v>
      </c>
      <c r="D9">
        <v>3.0262572318647082E-2</v>
      </c>
      <c r="E9">
        <v>0.13351134846461948</v>
      </c>
      <c r="F9">
        <v>4.272363150867823E-2</v>
      </c>
      <c r="G9">
        <v>0.32799287939474853</v>
      </c>
    </row>
    <row r="10" spans="1:7" x14ac:dyDescent="0.2">
      <c r="A10">
        <v>1998</v>
      </c>
      <c r="B10">
        <v>0.36190897039328318</v>
      </c>
      <c r="C10">
        <v>7.9540433053468834E-2</v>
      </c>
      <c r="D10">
        <v>2.7839151568714093E-2</v>
      </c>
      <c r="E10">
        <v>0.13389306230667253</v>
      </c>
      <c r="F10">
        <v>4.4189129474149352E-2</v>
      </c>
      <c r="G10">
        <v>0.35262925320371186</v>
      </c>
    </row>
    <row r="11" spans="1:7" x14ac:dyDescent="0.2">
      <c r="A11">
        <v>1999</v>
      </c>
      <c r="B11">
        <v>0.37186978297161938</v>
      </c>
      <c r="C11">
        <v>7.9298831385642726E-2</v>
      </c>
      <c r="D11">
        <v>2.7128547579298831E-2</v>
      </c>
      <c r="E11">
        <v>0.12395659432387313</v>
      </c>
      <c r="F11">
        <v>4.8414023372287139E-2</v>
      </c>
      <c r="G11">
        <v>0.34933222036727873</v>
      </c>
    </row>
    <row r="12" spans="1:7" x14ac:dyDescent="0.2">
      <c r="A12">
        <v>2000</v>
      </c>
      <c r="B12">
        <v>0.34650582362728788</v>
      </c>
      <c r="C12">
        <v>8.277870216306156E-2</v>
      </c>
      <c r="D12">
        <v>2.3294509151414313E-2</v>
      </c>
      <c r="E12">
        <v>0.11647254575707154</v>
      </c>
      <c r="F12">
        <v>5.4908485856905165E-2</v>
      </c>
      <c r="G12">
        <v>0.37603993344425957</v>
      </c>
    </row>
    <row r="13" spans="1:7" x14ac:dyDescent="0.2">
      <c r="A13">
        <v>2001</v>
      </c>
      <c r="B13">
        <v>0.33637494815429281</v>
      </c>
      <c r="C13">
        <v>7.7975943591870586E-2</v>
      </c>
      <c r="D13">
        <v>2.239734549979262E-2</v>
      </c>
      <c r="E13">
        <v>0.11986727498963087</v>
      </c>
      <c r="F13">
        <v>6.5118208212360015E-2</v>
      </c>
      <c r="G13">
        <v>0.37826627955205305</v>
      </c>
    </row>
    <row r="14" spans="1:7" x14ac:dyDescent="0.2">
      <c r="A14">
        <v>2002</v>
      </c>
      <c r="B14">
        <v>0.34929810074318751</v>
      </c>
      <c r="C14">
        <v>7.2667217175887699E-2</v>
      </c>
      <c r="D14">
        <v>2.5598678777869529E-2</v>
      </c>
      <c r="E14">
        <v>0.11973575557390587</v>
      </c>
      <c r="F14">
        <v>6.7299752270850541E-2</v>
      </c>
      <c r="G14">
        <v>0.36540049545829895</v>
      </c>
    </row>
    <row r="15" spans="1:7" x14ac:dyDescent="0.2">
      <c r="A15">
        <v>2003</v>
      </c>
      <c r="B15">
        <v>0.3480328577604842</v>
      </c>
      <c r="C15">
        <v>7.0903588413316024E-2</v>
      </c>
      <c r="D15">
        <v>2.8534370946822308E-2</v>
      </c>
      <c r="E15">
        <v>0.12278426286208385</v>
      </c>
      <c r="F15">
        <v>8.2144401210549056E-2</v>
      </c>
      <c r="G15">
        <v>0.34760051880674442</v>
      </c>
    </row>
    <row r="16" spans="1:7" x14ac:dyDescent="0.2">
      <c r="A16">
        <v>2004</v>
      </c>
      <c r="B16">
        <v>0.35254691689008044</v>
      </c>
      <c r="C16">
        <v>7.0598748882931189E-2</v>
      </c>
      <c r="D16">
        <v>2.9490616621983917E-2</v>
      </c>
      <c r="E16">
        <v>0.12198391420911528</v>
      </c>
      <c r="F16">
        <v>8.9812332439678275E-2</v>
      </c>
      <c r="G16">
        <v>0.33556747095621092</v>
      </c>
    </row>
    <row r="17" spans="1:7" x14ac:dyDescent="0.2">
      <c r="A17">
        <v>2005</v>
      </c>
      <c r="B17">
        <v>0.34229717411121241</v>
      </c>
      <c r="C17">
        <v>6.7456700091157715E-2</v>
      </c>
      <c r="D17">
        <v>3.1449407474931634E-2</v>
      </c>
      <c r="E17">
        <v>0.12397447584320877</v>
      </c>
      <c r="F17">
        <v>8.8422971741112133E-2</v>
      </c>
      <c r="G17">
        <v>0.3463992707383774</v>
      </c>
    </row>
    <row r="18" spans="1:7" x14ac:dyDescent="0.2">
      <c r="A18">
        <v>2006</v>
      </c>
      <c r="B18">
        <v>0.34786685419596813</v>
      </c>
      <c r="C18">
        <v>6.2353492733239577E-2</v>
      </c>
      <c r="D18">
        <v>2.8598218471636194E-2</v>
      </c>
      <c r="E18">
        <v>0.12423816221284577</v>
      </c>
      <c r="F18">
        <v>9.8921706516643226E-2</v>
      </c>
      <c r="G18">
        <v>0.33802156586966714</v>
      </c>
    </row>
    <row r="19" spans="1:7" x14ac:dyDescent="0.2">
      <c r="A19">
        <v>2007</v>
      </c>
      <c r="B19">
        <v>0.3498498498498499</v>
      </c>
      <c r="C19">
        <v>6.056056056056057E-2</v>
      </c>
      <c r="D19">
        <v>3.1031031031031036E-2</v>
      </c>
      <c r="E19">
        <v>0.12762762762762764</v>
      </c>
      <c r="F19">
        <v>0.10860860860860862</v>
      </c>
      <c r="G19">
        <v>0.32232232232232239</v>
      </c>
    </row>
    <row r="20" spans="1:7" x14ac:dyDescent="0.2">
      <c r="A20">
        <v>2008</v>
      </c>
      <c r="B20">
        <v>0.32770448548812658</v>
      </c>
      <c r="C20">
        <v>6.2796833773087063E-2</v>
      </c>
      <c r="D20">
        <v>3.3773087071240104E-2</v>
      </c>
      <c r="E20">
        <v>0.13720316622691292</v>
      </c>
      <c r="F20">
        <v>0.1229551451187335</v>
      </c>
      <c r="G20">
        <v>0.31556728232189973</v>
      </c>
    </row>
    <row r="21" spans="1:7" x14ac:dyDescent="0.2">
      <c r="A21">
        <v>2009</v>
      </c>
      <c r="B21">
        <v>0.31141692150866462</v>
      </c>
      <c r="C21">
        <v>6.6258919469928637E-2</v>
      </c>
      <c r="D21">
        <v>3.4658511722731905E-2</v>
      </c>
      <c r="E21">
        <v>0.14322120285423037</v>
      </c>
      <c r="F21">
        <v>0.14831804281345565</v>
      </c>
      <c r="G21">
        <v>0.29612640163098874</v>
      </c>
    </row>
    <row r="22" spans="1:7" x14ac:dyDescent="0.2">
      <c r="A22">
        <v>2010</v>
      </c>
      <c r="B22">
        <v>0.30172839506172844</v>
      </c>
      <c r="C22">
        <v>6.4197530864197536E-2</v>
      </c>
      <c r="D22">
        <v>3.4074074074074069E-2</v>
      </c>
      <c r="E22">
        <v>0.13827160493827159</v>
      </c>
      <c r="F22">
        <v>0.16740740740740742</v>
      </c>
      <c r="G22">
        <v>0.29432098765432096</v>
      </c>
    </row>
    <row r="23" spans="1:7" x14ac:dyDescent="0.2">
      <c r="A23">
        <v>2011</v>
      </c>
      <c r="B23">
        <v>0.29125736738703339</v>
      </c>
      <c r="C23">
        <v>6.6797642436149315E-2</v>
      </c>
      <c r="D23">
        <v>3.3398821218074658E-2</v>
      </c>
      <c r="E23">
        <v>0.14096267190569745</v>
      </c>
      <c r="F23">
        <v>0.1787819253438114</v>
      </c>
      <c r="G23">
        <v>0.28880157170923382</v>
      </c>
    </row>
    <row r="24" spans="1:7" x14ac:dyDescent="0.2">
      <c r="A24">
        <v>2012</v>
      </c>
      <c r="B24">
        <v>0.2863109048723898</v>
      </c>
      <c r="C24">
        <v>6.7285382830626447E-2</v>
      </c>
      <c r="D24">
        <v>3.4802784222737818E-2</v>
      </c>
      <c r="E24">
        <v>0.14802784222737819</v>
      </c>
      <c r="F24">
        <v>0.17354988399071927</v>
      </c>
      <c r="G24">
        <v>0.29002320185614849</v>
      </c>
    </row>
    <row r="25" spans="1:7" x14ac:dyDescent="0.2">
      <c r="A25">
        <v>2013</v>
      </c>
      <c r="B25">
        <v>0.29515209125475284</v>
      </c>
      <c r="C25">
        <v>6.3212927756653992E-2</v>
      </c>
      <c r="D25">
        <v>3.2794676806083646E-2</v>
      </c>
      <c r="E25">
        <v>0.13688212927756654</v>
      </c>
      <c r="F25">
        <v>0.17680608365019013</v>
      </c>
      <c r="G25">
        <v>0.29515209125475284</v>
      </c>
    </row>
    <row r="26" spans="1:7" x14ac:dyDescent="0.2">
      <c r="A26">
        <v>2014</v>
      </c>
      <c r="B26">
        <v>0.30022988505747128</v>
      </c>
      <c r="C26">
        <v>5.8850574712643676E-2</v>
      </c>
      <c r="D26">
        <v>3.0804597701149426E-2</v>
      </c>
      <c r="E26">
        <v>0.12367816091954023</v>
      </c>
      <c r="F26">
        <v>0.18344827586206897</v>
      </c>
      <c r="G26">
        <v>0.30298850574712644</v>
      </c>
    </row>
    <row r="27" spans="1:7" x14ac:dyDescent="0.2">
      <c r="A27">
        <v>2015</v>
      </c>
      <c r="B27">
        <v>0.29812309035355739</v>
      </c>
      <c r="C27">
        <v>5.8053251855085121E-2</v>
      </c>
      <c r="D27">
        <v>2.749890877346137E-2</v>
      </c>
      <c r="E27">
        <v>0.116542994325622</v>
      </c>
      <c r="F27">
        <v>0.17023134002618942</v>
      </c>
      <c r="G27">
        <v>0.32955041466608465</v>
      </c>
    </row>
    <row r="28" spans="1:7" x14ac:dyDescent="0.2">
      <c r="A28">
        <v>2016</v>
      </c>
      <c r="B28">
        <v>0.29339207048458149</v>
      </c>
      <c r="C28">
        <v>6.1674008810572674E-2</v>
      </c>
      <c r="D28">
        <v>2.9955947136563875E-2</v>
      </c>
      <c r="E28">
        <v>0.11806167400881057</v>
      </c>
      <c r="F28">
        <v>0.17092511013215855</v>
      </c>
      <c r="G28">
        <v>0.32599118942731276</v>
      </c>
    </row>
    <row r="29" spans="1:7" x14ac:dyDescent="0.2">
      <c r="A29">
        <v>2017</v>
      </c>
      <c r="B29">
        <v>0.28357531760435573</v>
      </c>
      <c r="C29">
        <v>5.9891107078039935E-2</v>
      </c>
      <c r="D29">
        <v>2.9491833030852996E-2</v>
      </c>
      <c r="E29">
        <v>0.11660617059891107</v>
      </c>
      <c r="F29">
        <v>0.18829401088929221</v>
      </c>
      <c r="G29">
        <v>0.32214156079854811</v>
      </c>
    </row>
    <row r="30" spans="1:7" x14ac:dyDescent="0.2">
      <c r="A30">
        <v>2018</v>
      </c>
      <c r="B30">
        <v>0.27462551066727187</v>
      </c>
      <c r="C30">
        <v>6.1280072628234226E-2</v>
      </c>
      <c r="D30">
        <v>2.9505220154334998E-2</v>
      </c>
      <c r="E30">
        <v>0.11348161597821152</v>
      </c>
      <c r="F30">
        <v>0.19246482069904675</v>
      </c>
      <c r="G30">
        <v>0.32864275987290059</v>
      </c>
    </row>
    <row r="31" spans="1:7" x14ac:dyDescent="0.2">
      <c r="A31">
        <v>2019</v>
      </c>
      <c r="B31">
        <v>0.26128890837352037</v>
      </c>
      <c r="C31">
        <v>6.1814993423936863E-2</v>
      </c>
      <c r="D31">
        <v>2.7181060938185005E-2</v>
      </c>
      <c r="E31">
        <v>0.11223147742218324</v>
      </c>
      <c r="F31">
        <v>0.19289785181937746</v>
      </c>
      <c r="G31">
        <v>0.34458570802279698</v>
      </c>
    </row>
    <row r="32" spans="1:7" x14ac:dyDescent="0.2">
      <c r="A32">
        <v>2020</v>
      </c>
      <c r="B32">
        <v>0.24489795918367349</v>
      </c>
      <c r="C32">
        <v>5.872553102873803E-2</v>
      </c>
      <c r="D32">
        <v>2.7905039566847152E-2</v>
      </c>
      <c r="E32">
        <v>0.11786755518533945</v>
      </c>
      <c r="F32">
        <v>0.21157850895460226</v>
      </c>
      <c r="G32">
        <v>0.33902540608079973</v>
      </c>
    </row>
    <row r="33" spans="1:7" x14ac:dyDescent="0.2">
      <c r="A33">
        <v>2021</v>
      </c>
      <c r="B33">
        <v>0.2310904872389791</v>
      </c>
      <c r="C33">
        <v>6.0788863109048713E-2</v>
      </c>
      <c r="D33">
        <v>3.0162412993039438E-2</v>
      </c>
      <c r="E33">
        <v>0.11136890951276099</v>
      </c>
      <c r="F33">
        <v>0.21948955916473314</v>
      </c>
      <c r="G33">
        <v>0.34709976798143849</v>
      </c>
    </row>
    <row r="34" spans="1:7" x14ac:dyDescent="0.2">
      <c r="A34">
        <v>2022</v>
      </c>
      <c r="B34">
        <v>0.24849606663581678</v>
      </c>
      <c r="C34">
        <v>5.6918093475242945E-2</v>
      </c>
      <c r="D34">
        <v>2.8227672373900971E-2</v>
      </c>
      <c r="E34">
        <v>0.11707542804257287</v>
      </c>
      <c r="F34">
        <v>0.18695048588616381</v>
      </c>
      <c r="G34">
        <v>0.36233225358630267</v>
      </c>
    </row>
    <row r="35" spans="1:7" x14ac:dyDescent="0.2">
      <c r="A35">
        <v>2023</v>
      </c>
      <c r="B35">
        <v>0.25262677021470992</v>
      </c>
      <c r="C35">
        <v>5.1164915486523528E-2</v>
      </c>
      <c r="D35">
        <v>2.8323435358611235E-2</v>
      </c>
      <c r="E35">
        <v>0.11968935587026039</v>
      </c>
      <c r="F35">
        <v>0.18044769301050709</v>
      </c>
      <c r="G35">
        <v>0.36774783005938788</v>
      </c>
    </row>
    <row r="36" spans="1:7" x14ac:dyDescent="0.2">
      <c r="A36">
        <v>2024</v>
      </c>
      <c r="B36">
        <v>0.24988824318283417</v>
      </c>
      <c r="C36">
        <v>4.9172999552972739E-2</v>
      </c>
      <c r="D36">
        <v>2.7715690657130088E-2</v>
      </c>
      <c r="E36">
        <v>0.12248547161376847</v>
      </c>
      <c r="F36">
        <v>0.16942333482342425</v>
      </c>
      <c r="G36">
        <v>0.38131426016987036</v>
      </c>
    </row>
    <row r="37" spans="1:7" x14ac:dyDescent="0.2">
      <c r="A37">
        <v>2025</v>
      </c>
      <c r="B37">
        <v>0.25568698817106461</v>
      </c>
      <c r="C37">
        <v>5.2775250227479524E-2</v>
      </c>
      <c r="D37">
        <v>2.5477707006369428E-2</v>
      </c>
      <c r="E37">
        <v>0.13148316651501366</v>
      </c>
      <c r="F37">
        <v>0.15878070973612377</v>
      </c>
      <c r="G37">
        <v>0.37579617834394902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48D6-80E1-CD48-821F-B9B33A1D75D6}">
  <dimension ref="A1:O37"/>
  <sheetViews>
    <sheetView tabSelected="1" workbookViewId="0">
      <selection activeCell="Q18" sqref="Q18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6</v>
      </c>
      <c r="C1" s="2" t="s">
        <v>3</v>
      </c>
      <c r="D1" s="2" t="s">
        <v>5</v>
      </c>
      <c r="E1" s="2" t="s">
        <v>2</v>
      </c>
      <c r="F1" s="2" t="s">
        <v>4</v>
      </c>
      <c r="G1" s="2" t="s">
        <v>9</v>
      </c>
      <c r="H1" s="6" t="s">
        <v>7</v>
      </c>
      <c r="J1" s="2" t="s">
        <v>6</v>
      </c>
      <c r="K1" s="2" t="s">
        <v>3</v>
      </c>
      <c r="L1" s="2" t="s">
        <v>5</v>
      </c>
      <c r="M1" s="2" t="s">
        <v>2</v>
      </c>
      <c r="N1" s="2" t="s">
        <v>4</v>
      </c>
      <c r="O1" s="2" t="s">
        <v>9</v>
      </c>
    </row>
    <row r="2" spans="1:15" x14ac:dyDescent="0.2">
      <c r="A2">
        <v>1990</v>
      </c>
      <c r="B2">
        <v>0.79</v>
      </c>
      <c r="C2">
        <v>3.02</v>
      </c>
      <c r="D2">
        <v>52.72</v>
      </c>
      <c r="E2">
        <v>2.11</v>
      </c>
      <c r="F2">
        <v>1.71</v>
      </c>
      <c r="G2">
        <v>12.02</v>
      </c>
      <c r="H2">
        <f t="shared" ref="H2:H9" si="0">SUM(B2:G2)</f>
        <v>72.37</v>
      </c>
      <c r="J2">
        <f t="shared" ref="J2:J9" si="1">B2/H2</f>
        <v>1.0916125466353462E-2</v>
      </c>
      <c r="K2">
        <f t="shared" ref="K2:K9" si="2">C2/H2</f>
        <v>4.1729998618211965E-2</v>
      </c>
      <c r="L2">
        <f t="shared" ref="L2:L9" si="3">D2/H2</f>
        <v>0.72847865137487899</v>
      </c>
      <c r="M2">
        <f t="shared" ref="M2:M9" si="4">E2/H2</f>
        <v>2.9155727511399748E-2</v>
      </c>
      <c r="N2">
        <f t="shared" ref="N2:N9" si="5">F2/H2</f>
        <v>2.3628575376537238E-2</v>
      </c>
      <c r="O2">
        <f t="shared" ref="O2:O9" si="6">G2/H2</f>
        <v>0.16609092165261846</v>
      </c>
    </row>
    <row r="3" spans="1:15" x14ac:dyDescent="0.2">
      <c r="A3">
        <v>1991</v>
      </c>
      <c r="B3">
        <v>0.54</v>
      </c>
      <c r="C3">
        <v>2.88</v>
      </c>
      <c r="D3">
        <v>55.41</v>
      </c>
      <c r="E3">
        <v>2.1</v>
      </c>
      <c r="F3">
        <v>1.51</v>
      </c>
      <c r="G3">
        <v>10.91</v>
      </c>
      <c r="H3">
        <f t="shared" si="0"/>
        <v>73.349999999999994</v>
      </c>
      <c r="J3">
        <f t="shared" si="1"/>
        <v>7.3619631901840499E-3</v>
      </c>
      <c r="K3">
        <f t="shared" si="2"/>
        <v>3.9263803680981597E-2</v>
      </c>
      <c r="L3">
        <f t="shared" si="3"/>
        <v>0.75541922290388552</v>
      </c>
      <c r="M3">
        <f t="shared" si="4"/>
        <v>2.862985685071575E-2</v>
      </c>
      <c r="N3">
        <f t="shared" si="5"/>
        <v>2.0586230402181323E-2</v>
      </c>
      <c r="O3">
        <f t="shared" si="6"/>
        <v>0.14873892297205182</v>
      </c>
    </row>
    <row r="4" spans="1:15" x14ac:dyDescent="0.2">
      <c r="A4">
        <v>1992</v>
      </c>
      <c r="B4">
        <v>0.55000000000000004</v>
      </c>
      <c r="C4">
        <v>2.64</v>
      </c>
      <c r="D4">
        <v>55.15</v>
      </c>
      <c r="E4">
        <v>2.0099999999999998</v>
      </c>
      <c r="F4">
        <v>1.43</v>
      </c>
      <c r="G4">
        <v>11.13</v>
      </c>
      <c r="H4">
        <f t="shared" si="0"/>
        <v>72.91</v>
      </c>
      <c r="J4">
        <f t="shared" si="1"/>
        <v>7.5435468385680986E-3</v>
      </c>
      <c r="K4">
        <f t="shared" si="2"/>
        <v>3.6209024825126869E-2</v>
      </c>
      <c r="L4">
        <f t="shared" si="3"/>
        <v>0.75641201481278286</v>
      </c>
      <c r="M4">
        <f t="shared" si="4"/>
        <v>2.7568234810039772E-2</v>
      </c>
      <c r="N4">
        <f t="shared" si="5"/>
        <v>1.9613221780277055E-2</v>
      </c>
      <c r="O4">
        <f t="shared" si="6"/>
        <v>0.15265395693320533</v>
      </c>
    </row>
    <row r="5" spans="1:15" x14ac:dyDescent="0.2">
      <c r="A5">
        <v>1993</v>
      </c>
      <c r="B5">
        <v>0.97</v>
      </c>
      <c r="C5">
        <v>2.91</v>
      </c>
      <c r="D5">
        <v>49.44</v>
      </c>
      <c r="E5">
        <v>2.57</v>
      </c>
      <c r="F5">
        <v>1.55</v>
      </c>
      <c r="G5">
        <v>13.09</v>
      </c>
      <c r="H5">
        <f t="shared" si="0"/>
        <v>70.53</v>
      </c>
      <c r="J5">
        <f t="shared" si="1"/>
        <v>1.3753012902311073E-2</v>
      </c>
      <c r="K5">
        <f t="shared" si="2"/>
        <v>4.1259038706933218E-2</v>
      </c>
      <c r="L5">
        <f t="shared" si="3"/>
        <v>0.70097830710336018</v>
      </c>
      <c r="M5">
        <f t="shared" si="4"/>
        <v>3.6438395009215932E-2</v>
      </c>
      <c r="N5">
        <f t="shared" si="5"/>
        <v>2.1976463916064087E-2</v>
      </c>
      <c r="O5">
        <f t="shared" si="6"/>
        <v>0.18559478236211541</v>
      </c>
    </row>
    <row r="6" spans="1:15" x14ac:dyDescent="0.2">
      <c r="A6">
        <v>1994</v>
      </c>
      <c r="B6">
        <v>0.91</v>
      </c>
      <c r="C6">
        <v>3.03</v>
      </c>
      <c r="D6">
        <v>50.83</v>
      </c>
      <c r="E6">
        <v>2.2999999999999998</v>
      </c>
      <c r="F6">
        <v>1.68</v>
      </c>
      <c r="G6">
        <v>13.24</v>
      </c>
      <c r="H6">
        <f t="shared" si="0"/>
        <v>71.989999999999995</v>
      </c>
      <c r="J6">
        <f t="shared" si="1"/>
        <v>1.2640644533963052E-2</v>
      </c>
      <c r="K6">
        <f t="shared" si="2"/>
        <v>4.2089179052646204E-2</v>
      </c>
      <c r="L6">
        <f t="shared" si="3"/>
        <v>0.70607028753993617</v>
      </c>
      <c r="M6">
        <f t="shared" si="4"/>
        <v>3.1948881789137379E-2</v>
      </c>
      <c r="N6">
        <f t="shared" si="5"/>
        <v>2.3336574524239477E-2</v>
      </c>
      <c r="O6">
        <f t="shared" si="6"/>
        <v>0.18391443256007781</v>
      </c>
    </row>
    <row r="7" spans="1:15" x14ac:dyDescent="0.2">
      <c r="A7">
        <v>1995</v>
      </c>
      <c r="B7">
        <v>52.56</v>
      </c>
      <c r="C7">
        <v>3.09</v>
      </c>
      <c r="D7">
        <v>52.56</v>
      </c>
      <c r="E7">
        <v>1.92</v>
      </c>
      <c r="F7">
        <v>1.64</v>
      </c>
      <c r="G7">
        <v>11.97</v>
      </c>
      <c r="H7">
        <f t="shared" si="0"/>
        <v>123.74000000000001</v>
      </c>
      <c r="J7">
        <f t="shared" si="1"/>
        <v>0.42476159689671894</v>
      </c>
      <c r="K7">
        <f t="shared" si="2"/>
        <v>2.4971714886051394E-2</v>
      </c>
      <c r="L7">
        <f t="shared" si="3"/>
        <v>0.42476159689671894</v>
      </c>
      <c r="M7">
        <f t="shared" si="4"/>
        <v>1.5516405366090188E-2</v>
      </c>
      <c r="N7">
        <f t="shared" si="5"/>
        <v>1.3253596250202036E-2</v>
      </c>
      <c r="O7">
        <f t="shared" si="6"/>
        <v>9.6735089704218527E-2</v>
      </c>
    </row>
    <row r="8" spans="1:15" x14ac:dyDescent="0.2">
      <c r="A8">
        <v>1996</v>
      </c>
      <c r="B8">
        <v>0.76</v>
      </c>
      <c r="C8">
        <v>2.9</v>
      </c>
      <c r="D8">
        <v>51.78</v>
      </c>
      <c r="E8">
        <v>2.0299999999999998</v>
      </c>
      <c r="F8">
        <v>1.75</v>
      </c>
      <c r="G8">
        <v>12</v>
      </c>
      <c r="H8">
        <f t="shared" si="0"/>
        <v>71.22</v>
      </c>
      <c r="J8">
        <f t="shared" si="1"/>
        <v>1.0671159786576805E-2</v>
      </c>
      <c r="K8">
        <f t="shared" si="2"/>
        <v>4.0718899185622014E-2</v>
      </c>
      <c r="L8">
        <f t="shared" si="3"/>
        <v>0.72704296545914071</v>
      </c>
      <c r="M8">
        <f t="shared" si="4"/>
        <v>2.8503229429935408E-2</v>
      </c>
      <c r="N8">
        <f t="shared" si="5"/>
        <v>2.457174950856501E-2</v>
      </c>
      <c r="O8">
        <f t="shared" si="6"/>
        <v>0.16849199663016007</v>
      </c>
    </row>
    <row r="9" spans="1:15" x14ac:dyDescent="0.2">
      <c r="A9">
        <v>1997</v>
      </c>
      <c r="B9">
        <v>0.76</v>
      </c>
      <c r="C9">
        <v>2.87</v>
      </c>
      <c r="D9">
        <v>50.42</v>
      </c>
      <c r="E9">
        <v>1.87</v>
      </c>
      <c r="F9">
        <v>1.69</v>
      </c>
      <c r="G9">
        <v>12.98</v>
      </c>
      <c r="H9">
        <f t="shared" si="0"/>
        <v>70.59</v>
      </c>
      <c r="J9">
        <f t="shared" si="1"/>
        <v>1.0766397506728998E-2</v>
      </c>
      <c r="K9">
        <f t="shared" si="2"/>
        <v>4.0657316900410821E-2</v>
      </c>
      <c r="L9">
        <f t="shared" si="3"/>
        <v>0.71426547669641594</v>
      </c>
      <c r="M9">
        <f t="shared" si="4"/>
        <v>2.6491004391556879E-2</v>
      </c>
      <c r="N9">
        <f t="shared" si="5"/>
        <v>2.3941068139963165E-2</v>
      </c>
      <c r="O9">
        <f t="shared" si="6"/>
        <v>0.18387873636492422</v>
      </c>
    </row>
    <row r="10" spans="1:15" x14ac:dyDescent="0.2">
      <c r="A10">
        <v>1998</v>
      </c>
      <c r="B10">
        <v>0.76</v>
      </c>
      <c r="C10">
        <v>2.2799999999999998</v>
      </c>
      <c r="D10">
        <v>58.17</v>
      </c>
      <c r="E10">
        <v>1.96</v>
      </c>
      <c r="F10">
        <v>1.56</v>
      </c>
      <c r="G10">
        <v>13.91</v>
      </c>
      <c r="H10">
        <f>SUM(B10:G10)</f>
        <v>78.64</v>
      </c>
      <c r="J10">
        <f>B10/H10</f>
        <v>9.6642929806714135E-3</v>
      </c>
      <c r="K10">
        <f>C10/H10</f>
        <v>2.8992878942014241E-2</v>
      </c>
      <c r="L10">
        <f>D10/H10</f>
        <v>0.73969989827060023</v>
      </c>
      <c r="M10">
        <f>E10/H10</f>
        <v>2.4923702950152594E-2</v>
      </c>
      <c r="N10">
        <f>F10/H10</f>
        <v>1.9837232960325534E-2</v>
      </c>
      <c r="O10">
        <f>G10/H10</f>
        <v>0.17688199389623602</v>
      </c>
    </row>
    <row r="11" spans="1:15" x14ac:dyDescent="0.2">
      <c r="A11">
        <v>1999</v>
      </c>
      <c r="B11">
        <v>1.1200000000000001</v>
      </c>
      <c r="C11">
        <v>2.23</v>
      </c>
      <c r="D11">
        <v>58.84</v>
      </c>
      <c r="E11">
        <v>1.69</v>
      </c>
      <c r="F11">
        <v>1.44</v>
      </c>
      <c r="G11">
        <v>14.94</v>
      </c>
      <c r="H11">
        <f t="shared" ref="H11:H37" si="7">SUM(B11:G11)</f>
        <v>80.260000000000005</v>
      </c>
      <c r="J11">
        <f t="shared" ref="J11:J37" si="8">B11/H11</f>
        <v>1.3954647395963121E-2</v>
      </c>
      <c r="K11">
        <f t="shared" ref="K11:K37" si="9">C11/H11</f>
        <v>2.7784699725890854E-2</v>
      </c>
      <c r="L11">
        <f t="shared" ref="L11:L37" si="10">D11/H11</f>
        <v>0.73311736855220533</v>
      </c>
      <c r="M11">
        <f t="shared" ref="M11:M37" si="11">E11/H11</f>
        <v>2.1056566159980063E-2</v>
      </c>
      <c r="N11">
        <f t="shared" ref="N11:N37" si="12">F11/H11</f>
        <v>1.794168950909544E-2</v>
      </c>
      <c r="O11">
        <f t="shared" ref="O11:O37" si="13">G11/H11</f>
        <v>0.18614502865686516</v>
      </c>
    </row>
    <row r="12" spans="1:15" x14ac:dyDescent="0.2">
      <c r="A12">
        <v>2000</v>
      </c>
      <c r="B12">
        <v>1.26</v>
      </c>
      <c r="C12">
        <v>2.3199999999999998</v>
      </c>
      <c r="D12">
        <v>57.56</v>
      </c>
      <c r="E12">
        <v>1.69</v>
      </c>
      <c r="F12">
        <v>1.47</v>
      </c>
      <c r="G12">
        <v>15.38</v>
      </c>
      <c r="H12">
        <f t="shared" si="7"/>
        <v>79.679999999999993</v>
      </c>
      <c r="J12">
        <f t="shared" si="8"/>
        <v>1.5813253012048195E-2</v>
      </c>
      <c r="K12">
        <f t="shared" si="9"/>
        <v>2.9116465863453816E-2</v>
      </c>
      <c r="L12">
        <f t="shared" si="10"/>
        <v>0.72238955823293183</v>
      </c>
      <c r="M12">
        <f t="shared" si="11"/>
        <v>2.1209839357429719E-2</v>
      </c>
      <c r="N12">
        <f t="shared" si="12"/>
        <v>1.8448795180722892E-2</v>
      </c>
      <c r="O12">
        <f t="shared" si="13"/>
        <v>0.1930220883534137</v>
      </c>
    </row>
    <row r="13" spans="1:15" x14ac:dyDescent="0.2">
      <c r="A13">
        <v>2001</v>
      </c>
      <c r="B13">
        <v>1.31</v>
      </c>
      <c r="C13">
        <v>2.23</v>
      </c>
      <c r="D13">
        <v>57.44</v>
      </c>
      <c r="E13">
        <v>1.8</v>
      </c>
      <c r="F13">
        <v>1.28</v>
      </c>
      <c r="G13">
        <v>15.76</v>
      </c>
      <c r="H13">
        <f t="shared" si="7"/>
        <v>79.819999999999993</v>
      </c>
      <c r="J13">
        <f t="shared" si="8"/>
        <v>1.6411926835379606E-2</v>
      </c>
      <c r="K13">
        <f t="shared" si="9"/>
        <v>2.793786018541719E-2</v>
      </c>
      <c r="L13">
        <f t="shared" si="10"/>
        <v>0.71961914307191188</v>
      </c>
      <c r="M13">
        <f t="shared" si="11"/>
        <v>2.2550739163117017E-2</v>
      </c>
      <c r="N13">
        <f t="shared" si="12"/>
        <v>1.6036081182660988E-2</v>
      </c>
      <c r="O13">
        <f t="shared" si="13"/>
        <v>0.19744424956151341</v>
      </c>
    </row>
    <row r="14" spans="1:15" x14ac:dyDescent="0.2">
      <c r="A14">
        <v>2002</v>
      </c>
      <c r="B14">
        <v>1.24</v>
      </c>
      <c r="C14">
        <v>2</v>
      </c>
      <c r="D14">
        <v>58.84</v>
      </c>
      <c r="E14">
        <v>1.57</v>
      </c>
      <c r="F14">
        <v>1.25</v>
      </c>
      <c r="G14">
        <v>15.49</v>
      </c>
      <c r="H14">
        <f t="shared" si="7"/>
        <v>80.39</v>
      </c>
      <c r="J14">
        <f t="shared" si="8"/>
        <v>1.5424804080109466E-2</v>
      </c>
      <c r="K14">
        <f t="shared" si="9"/>
        <v>2.4878716258241073E-2</v>
      </c>
      <c r="L14">
        <f t="shared" si="10"/>
        <v>0.7319318323174524</v>
      </c>
      <c r="M14">
        <f t="shared" si="11"/>
        <v>1.9529792262719243E-2</v>
      </c>
      <c r="N14">
        <f t="shared" si="12"/>
        <v>1.5549197661400671E-2</v>
      </c>
      <c r="O14">
        <f t="shared" si="13"/>
        <v>0.19268565742007712</v>
      </c>
    </row>
    <row r="15" spans="1:15" x14ac:dyDescent="0.2">
      <c r="A15">
        <v>2003</v>
      </c>
      <c r="B15">
        <v>1.21</v>
      </c>
      <c r="C15">
        <v>1.98</v>
      </c>
      <c r="D15">
        <v>59.58</v>
      </c>
      <c r="E15">
        <v>1.41</v>
      </c>
      <c r="F15">
        <v>1.27</v>
      </c>
      <c r="G15">
        <v>14.81</v>
      </c>
      <c r="H15">
        <f t="shared" si="7"/>
        <v>80.259999999999991</v>
      </c>
      <c r="J15">
        <f t="shared" si="8"/>
        <v>1.5076002990281586E-2</v>
      </c>
      <c r="K15">
        <f t="shared" si="9"/>
        <v>2.4669823075006231E-2</v>
      </c>
      <c r="L15">
        <f t="shared" si="10"/>
        <v>0.74233740343882393</v>
      </c>
      <c r="M15">
        <f t="shared" si="11"/>
        <v>1.7567904310989285E-2</v>
      </c>
      <c r="N15">
        <f t="shared" si="12"/>
        <v>1.5823573386493896E-2</v>
      </c>
      <c r="O15">
        <f t="shared" si="13"/>
        <v>0.18452529279840521</v>
      </c>
    </row>
    <row r="16" spans="1:15" x14ac:dyDescent="0.2">
      <c r="A16">
        <v>2004</v>
      </c>
      <c r="B16">
        <v>1.4</v>
      </c>
      <c r="C16">
        <v>1.96</v>
      </c>
      <c r="D16">
        <v>59.7</v>
      </c>
      <c r="E16">
        <v>1.39</v>
      </c>
      <c r="F16">
        <v>1.33</v>
      </c>
      <c r="G16">
        <v>14.06</v>
      </c>
      <c r="H16">
        <f t="shared" si="7"/>
        <v>79.84</v>
      </c>
      <c r="J16">
        <f t="shared" si="8"/>
        <v>1.7535070140280558E-2</v>
      </c>
      <c r="K16">
        <f t="shared" si="9"/>
        <v>2.4549098196392782E-2</v>
      </c>
      <c r="L16">
        <f t="shared" si="10"/>
        <v>0.74774549098196397</v>
      </c>
      <c r="M16">
        <f t="shared" si="11"/>
        <v>1.7409819639278554E-2</v>
      </c>
      <c r="N16">
        <f t="shared" si="12"/>
        <v>1.6658316633266532E-2</v>
      </c>
      <c r="O16">
        <f t="shared" si="13"/>
        <v>0.17610220440881763</v>
      </c>
    </row>
    <row r="17" spans="1:15" x14ac:dyDescent="0.2">
      <c r="A17">
        <v>2005</v>
      </c>
      <c r="B17">
        <v>1.51</v>
      </c>
      <c r="C17">
        <v>1.84</v>
      </c>
      <c r="D17">
        <v>58.57</v>
      </c>
      <c r="E17">
        <v>1.53</v>
      </c>
      <c r="F17">
        <v>1.38</v>
      </c>
      <c r="G17">
        <v>14.4</v>
      </c>
      <c r="H17">
        <f t="shared" si="7"/>
        <v>79.23</v>
      </c>
      <c r="J17">
        <f t="shared" si="8"/>
        <v>1.9058437460557867E-2</v>
      </c>
      <c r="K17">
        <f t="shared" si="9"/>
        <v>2.3223526442004292E-2</v>
      </c>
      <c r="L17">
        <f t="shared" si="10"/>
        <v>0.73924018679793002</v>
      </c>
      <c r="M17">
        <f t="shared" si="11"/>
        <v>1.9310867095797046E-2</v>
      </c>
      <c r="N17">
        <f t="shared" si="12"/>
        <v>1.7417644831503216E-2</v>
      </c>
      <c r="O17">
        <f t="shared" si="13"/>
        <v>0.1817493373722075</v>
      </c>
    </row>
    <row r="18" spans="1:15" x14ac:dyDescent="0.2">
      <c r="A18">
        <v>2006</v>
      </c>
      <c r="B18">
        <v>1.65</v>
      </c>
      <c r="C18">
        <v>1.69</v>
      </c>
      <c r="D18">
        <v>59.83</v>
      </c>
      <c r="E18">
        <v>1.41</v>
      </c>
      <c r="F18">
        <v>1.26</v>
      </c>
      <c r="G18">
        <v>13.87</v>
      </c>
      <c r="H18">
        <f t="shared" si="7"/>
        <v>79.710000000000008</v>
      </c>
      <c r="J18">
        <f t="shared" si="8"/>
        <v>2.0700037636432064E-2</v>
      </c>
      <c r="K18">
        <f t="shared" si="9"/>
        <v>2.1201856730648599E-2</v>
      </c>
      <c r="L18">
        <f t="shared" si="10"/>
        <v>0.75059591017438199</v>
      </c>
      <c r="M18">
        <f t="shared" si="11"/>
        <v>1.7689123071132854E-2</v>
      </c>
      <c r="N18">
        <f t="shared" si="12"/>
        <v>1.5807301467820851E-2</v>
      </c>
      <c r="O18">
        <f t="shared" si="13"/>
        <v>0.17400577091958347</v>
      </c>
    </row>
    <row r="19" spans="1:15" x14ac:dyDescent="0.2">
      <c r="A19">
        <v>2007</v>
      </c>
      <c r="B19">
        <v>1.75</v>
      </c>
      <c r="C19">
        <v>1.69</v>
      </c>
      <c r="D19">
        <v>59.24</v>
      </c>
      <c r="E19">
        <v>1.5</v>
      </c>
      <c r="F19">
        <v>1.61</v>
      </c>
      <c r="G19">
        <v>13.04</v>
      </c>
      <c r="H19">
        <f t="shared" si="7"/>
        <v>78.830000000000013</v>
      </c>
      <c r="J19">
        <f t="shared" si="8"/>
        <v>2.2199670176328807E-2</v>
      </c>
      <c r="K19">
        <f t="shared" si="9"/>
        <v>2.1438538627426104E-2</v>
      </c>
      <c r="L19">
        <f t="shared" si="10"/>
        <v>0.75149054928326775</v>
      </c>
      <c r="M19">
        <f t="shared" si="11"/>
        <v>1.9028288722567548E-2</v>
      </c>
      <c r="N19">
        <f t="shared" si="12"/>
        <v>2.0423696562222503E-2</v>
      </c>
      <c r="O19">
        <f t="shared" si="13"/>
        <v>0.16541925662818721</v>
      </c>
    </row>
    <row r="20" spans="1:15" x14ac:dyDescent="0.2">
      <c r="A20">
        <v>2008</v>
      </c>
      <c r="B20">
        <v>2</v>
      </c>
      <c r="C20">
        <v>1.56</v>
      </c>
      <c r="D20">
        <v>57.59</v>
      </c>
      <c r="E20">
        <v>1.44</v>
      </c>
      <c r="F20">
        <v>1.84</v>
      </c>
      <c r="G20">
        <v>12.5</v>
      </c>
      <c r="H20">
        <f t="shared" si="7"/>
        <v>76.930000000000007</v>
      </c>
      <c r="J20">
        <f t="shared" si="8"/>
        <v>2.5997660210581044E-2</v>
      </c>
      <c r="K20">
        <f t="shared" si="9"/>
        <v>2.0278174964253215E-2</v>
      </c>
      <c r="L20">
        <f t="shared" si="10"/>
        <v>0.7486026257636812</v>
      </c>
      <c r="M20">
        <f t="shared" si="11"/>
        <v>1.8718315351618352E-2</v>
      </c>
      <c r="N20">
        <f t="shared" si="12"/>
        <v>2.3917847393734561E-2</v>
      </c>
      <c r="O20">
        <f t="shared" si="13"/>
        <v>0.16248537631613152</v>
      </c>
    </row>
    <row r="21" spans="1:15" x14ac:dyDescent="0.2">
      <c r="A21">
        <v>2009</v>
      </c>
      <c r="B21">
        <v>2.19</v>
      </c>
      <c r="C21">
        <v>1.58</v>
      </c>
      <c r="D21">
        <v>56.32</v>
      </c>
      <c r="E21">
        <v>1.66</v>
      </c>
      <c r="F21">
        <v>1.43</v>
      </c>
      <c r="G21">
        <v>13.44</v>
      </c>
      <c r="H21">
        <f t="shared" si="7"/>
        <v>76.62</v>
      </c>
      <c r="J21">
        <f t="shared" si="8"/>
        <v>2.8582615505090052E-2</v>
      </c>
      <c r="K21">
        <f t="shared" si="9"/>
        <v>2.0621247716001045E-2</v>
      </c>
      <c r="L21">
        <f t="shared" si="10"/>
        <v>0.73505612111720176</v>
      </c>
      <c r="M21">
        <f t="shared" si="11"/>
        <v>2.1665361524406158E-2</v>
      </c>
      <c r="N21">
        <f t="shared" si="12"/>
        <v>1.8663534325241451E-2</v>
      </c>
      <c r="O21">
        <f t="shared" si="13"/>
        <v>0.17541111981205951</v>
      </c>
    </row>
    <row r="22" spans="1:15" x14ac:dyDescent="0.2">
      <c r="A22">
        <v>2010</v>
      </c>
      <c r="B22">
        <v>2.81</v>
      </c>
      <c r="C22">
        <v>1.59</v>
      </c>
      <c r="D22">
        <v>55.71</v>
      </c>
      <c r="E22">
        <v>1.74</v>
      </c>
      <c r="F22">
        <v>1.41</v>
      </c>
      <c r="G22">
        <v>12.6</v>
      </c>
      <c r="H22">
        <f t="shared" si="7"/>
        <v>75.86</v>
      </c>
      <c r="J22">
        <f t="shared" si="8"/>
        <v>3.7041919325072503E-2</v>
      </c>
      <c r="K22">
        <f t="shared" si="9"/>
        <v>2.0959662536250988E-2</v>
      </c>
      <c r="L22">
        <f t="shared" si="10"/>
        <v>0.73437911943052991</v>
      </c>
      <c r="M22">
        <f t="shared" si="11"/>
        <v>2.293698919061429E-2</v>
      </c>
      <c r="N22">
        <f t="shared" si="12"/>
        <v>1.8586870551015027E-2</v>
      </c>
      <c r="O22">
        <f t="shared" si="13"/>
        <v>0.16609543896651727</v>
      </c>
    </row>
    <row r="23" spans="1:15" x14ac:dyDescent="0.2">
      <c r="A23">
        <v>2011</v>
      </c>
      <c r="B23">
        <v>3.14</v>
      </c>
      <c r="C23">
        <v>1.57</v>
      </c>
      <c r="D23">
        <v>56.99</v>
      </c>
      <c r="E23">
        <v>1.61</v>
      </c>
      <c r="F23">
        <v>1.59</v>
      </c>
      <c r="G23">
        <v>11.08</v>
      </c>
      <c r="H23">
        <f t="shared" si="7"/>
        <v>75.98</v>
      </c>
      <c r="J23">
        <f t="shared" si="8"/>
        <v>4.1326664911818897E-2</v>
      </c>
      <c r="K23">
        <f t="shared" si="9"/>
        <v>2.0663332455909449E-2</v>
      </c>
      <c r="L23">
        <f t="shared" si="10"/>
        <v>0.75006580679126089</v>
      </c>
      <c r="M23">
        <f t="shared" si="11"/>
        <v>2.1189786785996315E-2</v>
      </c>
      <c r="N23">
        <f t="shared" si="12"/>
        <v>2.0926559620952884E-2</v>
      </c>
      <c r="O23">
        <f t="shared" si="13"/>
        <v>0.1458278494340616</v>
      </c>
    </row>
    <row r="24" spans="1:15" x14ac:dyDescent="0.2">
      <c r="A24">
        <v>2012</v>
      </c>
      <c r="B24">
        <v>3.63</v>
      </c>
      <c r="C24">
        <v>1.57</v>
      </c>
      <c r="D24">
        <v>52.32</v>
      </c>
      <c r="E24">
        <v>3.05</v>
      </c>
      <c r="F24">
        <v>1.59</v>
      </c>
      <c r="G24">
        <v>11.87</v>
      </c>
      <c r="H24">
        <f t="shared" si="7"/>
        <v>74.03</v>
      </c>
      <c r="J24">
        <f t="shared" si="8"/>
        <v>4.9034175334323922E-2</v>
      </c>
      <c r="K24">
        <f t="shared" si="9"/>
        <v>2.1207618533027151E-2</v>
      </c>
      <c r="L24">
        <f t="shared" si="10"/>
        <v>0.70674051060380927</v>
      </c>
      <c r="M24">
        <f t="shared" si="11"/>
        <v>4.1199513710657838E-2</v>
      </c>
      <c r="N24">
        <f t="shared" si="12"/>
        <v>2.1477779278670811E-2</v>
      </c>
      <c r="O24">
        <f t="shared" si="13"/>
        <v>0.16034040253951098</v>
      </c>
    </row>
    <row r="25" spans="1:15" x14ac:dyDescent="0.2">
      <c r="A25">
        <v>2013</v>
      </c>
      <c r="B25">
        <v>3.63</v>
      </c>
      <c r="C25">
        <v>1.26</v>
      </c>
      <c r="D25">
        <v>46.59</v>
      </c>
      <c r="E25">
        <v>13.33</v>
      </c>
      <c r="F25">
        <v>1.21</v>
      </c>
      <c r="G25">
        <v>10.1</v>
      </c>
      <c r="H25">
        <f t="shared" si="7"/>
        <v>76.11999999999999</v>
      </c>
      <c r="J25">
        <f t="shared" si="8"/>
        <v>4.7687861271676305E-2</v>
      </c>
      <c r="K25">
        <f t="shared" si="9"/>
        <v>1.6552811350499214E-2</v>
      </c>
      <c r="L25">
        <f t="shared" si="10"/>
        <v>0.61205990541250666</v>
      </c>
      <c r="M25">
        <f t="shared" si="11"/>
        <v>0.1751182343667893</v>
      </c>
      <c r="N25">
        <f t="shared" si="12"/>
        <v>1.5895953757225436E-2</v>
      </c>
      <c r="O25">
        <f t="shared" si="13"/>
        <v>0.13268523384130321</v>
      </c>
    </row>
    <row r="26" spans="1:15" x14ac:dyDescent="0.2">
      <c r="A26">
        <v>2014</v>
      </c>
      <c r="B26">
        <v>4.8899999999999997</v>
      </c>
      <c r="C26">
        <v>1.33</v>
      </c>
      <c r="D26">
        <v>50.18</v>
      </c>
      <c r="E26">
        <v>7.02</v>
      </c>
      <c r="F26">
        <v>1.21</v>
      </c>
      <c r="G26">
        <v>11.29</v>
      </c>
      <c r="H26">
        <f t="shared" si="7"/>
        <v>75.919999999999987</v>
      </c>
      <c r="J26">
        <f t="shared" si="8"/>
        <v>6.4409905163329825E-2</v>
      </c>
      <c r="K26">
        <f t="shared" si="9"/>
        <v>1.7518440463645948E-2</v>
      </c>
      <c r="L26">
        <f t="shared" si="10"/>
        <v>0.66095890410958913</v>
      </c>
      <c r="M26">
        <f t="shared" si="11"/>
        <v>9.2465753424657543E-2</v>
      </c>
      <c r="N26">
        <f t="shared" si="12"/>
        <v>1.5937829293993681E-2</v>
      </c>
      <c r="O26">
        <f t="shared" si="13"/>
        <v>0.148709167544784</v>
      </c>
    </row>
    <row r="27" spans="1:15" x14ac:dyDescent="0.2">
      <c r="A27">
        <v>2015</v>
      </c>
      <c r="B27">
        <v>4.3899999999999997</v>
      </c>
      <c r="C27">
        <v>1.52</v>
      </c>
      <c r="D27">
        <v>47.64</v>
      </c>
      <c r="E27">
        <v>7.48</v>
      </c>
      <c r="F27">
        <v>1.31</v>
      </c>
      <c r="G27">
        <v>13.45</v>
      </c>
      <c r="H27">
        <f t="shared" si="7"/>
        <v>75.790000000000006</v>
      </c>
      <c r="J27">
        <f t="shared" si="8"/>
        <v>5.7923208866605083E-2</v>
      </c>
      <c r="K27">
        <f t="shared" si="9"/>
        <v>2.0055416281831374E-2</v>
      </c>
      <c r="L27">
        <f t="shared" si="10"/>
        <v>0.62857896820160963</v>
      </c>
      <c r="M27">
        <f t="shared" si="11"/>
        <v>9.8693759071117562E-2</v>
      </c>
      <c r="N27">
        <f t="shared" si="12"/>
        <v>1.7284602190262566E-2</v>
      </c>
      <c r="O27">
        <f t="shared" si="13"/>
        <v>0.17746404538857366</v>
      </c>
    </row>
    <row r="28" spans="1:15" x14ac:dyDescent="0.2">
      <c r="A28">
        <v>2016</v>
      </c>
      <c r="B28">
        <v>4.7300000000000004</v>
      </c>
      <c r="C28">
        <v>1.65</v>
      </c>
      <c r="D28">
        <v>50.6</v>
      </c>
      <c r="E28">
        <v>4.82</v>
      </c>
      <c r="F28">
        <v>1.43</v>
      </c>
      <c r="G28">
        <v>13.77</v>
      </c>
      <c r="H28">
        <f t="shared" si="7"/>
        <v>77</v>
      </c>
      <c r="J28">
        <f t="shared" si="8"/>
        <v>6.1428571428571437E-2</v>
      </c>
      <c r="K28">
        <f t="shared" si="9"/>
        <v>2.1428571428571429E-2</v>
      </c>
      <c r="L28">
        <f t="shared" si="10"/>
        <v>0.65714285714285714</v>
      </c>
      <c r="M28">
        <f t="shared" si="11"/>
        <v>6.2597402597402596E-2</v>
      </c>
      <c r="N28">
        <f t="shared" si="12"/>
        <v>1.8571428571428572E-2</v>
      </c>
      <c r="O28">
        <f t="shared" si="13"/>
        <v>0.17883116883116881</v>
      </c>
    </row>
    <row r="29" spans="1:15" x14ac:dyDescent="0.2">
      <c r="A29">
        <v>2017</v>
      </c>
      <c r="B29">
        <v>5.23</v>
      </c>
      <c r="C29">
        <v>1.66</v>
      </c>
      <c r="D29">
        <v>50.86</v>
      </c>
      <c r="E29">
        <v>4.5599999999999996</v>
      </c>
      <c r="F29">
        <v>1.31</v>
      </c>
      <c r="G29">
        <v>12.52</v>
      </c>
      <c r="H29">
        <f t="shared" si="7"/>
        <v>76.14</v>
      </c>
      <c r="J29">
        <f t="shared" si="8"/>
        <v>6.8689256632519055E-2</v>
      </c>
      <c r="K29">
        <f t="shared" si="9"/>
        <v>2.180194378775939E-2</v>
      </c>
      <c r="L29">
        <f t="shared" si="10"/>
        <v>0.66798003677436302</v>
      </c>
      <c r="M29">
        <f t="shared" si="11"/>
        <v>5.9889676910953503E-2</v>
      </c>
      <c r="N29">
        <f t="shared" si="12"/>
        <v>1.7205148410822171E-2</v>
      </c>
      <c r="O29">
        <f t="shared" si="13"/>
        <v>0.16443393748358287</v>
      </c>
    </row>
    <row r="30" spans="1:15" x14ac:dyDescent="0.2">
      <c r="A30">
        <v>2018</v>
      </c>
      <c r="B30">
        <v>5.03</v>
      </c>
      <c r="C30">
        <v>1.73</v>
      </c>
      <c r="D30">
        <v>48.73</v>
      </c>
      <c r="E30">
        <v>5.52</v>
      </c>
      <c r="F30">
        <v>1.21</v>
      </c>
      <c r="G30">
        <v>12.8</v>
      </c>
      <c r="H30">
        <f t="shared" si="7"/>
        <v>75.02</v>
      </c>
      <c r="J30">
        <f t="shared" si="8"/>
        <v>6.7048786990135972E-2</v>
      </c>
      <c r="K30">
        <f t="shared" si="9"/>
        <v>2.3060517195414559E-2</v>
      </c>
      <c r="L30">
        <f t="shared" si="10"/>
        <v>0.64956011730205276</v>
      </c>
      <c r="M30">
        <f t="shared" si="11"/>
        <v>7.3580378565715809E-2</v>
      </c>
      <c r="N30">
        <f t="shared" si="12"/>
        <v>1.6129032258064516E-2</v>
      </c>
      <c r="O30">
        <f t="shared" si="13"/>
        <v>0.17062116768861638</v>
      </c>
    </row>
    <row r="31" spans="1:15" x14ac:dyDescent="0.2">
      <c r="A31">
        <v>2019</v>
      </c>
      <c r="B31">
        <v>5.37</v>
      </c>
      <c r="C31">
        <v>1.84</v>
      </c>
      <c r="D31">
        <v>49.02</v>
      </c>
      <c r="E31">
        <v>3.65</v>
      </c>
      <c r="F31">
        <v>1.2</v>
      </c>
      <c r="G31">
        <v>14.26</v>
      </c>
      <c r="H31">
        <f t="shared" si="7"/>
        <v>75.34</v>
      </c>
      <c r="J31">
        <f t="shared" si="8"/>
        <v>7.1276878152375892E-2</v>
      </c>
      <c r="K31">
        <f t="shared" si="9"/>
        <v>2.4422617467480753E-2</v>
      </c>
      <c r="L31">
        <f t="shared" si="10"/>
        <v>0.65065038492168836</v>
      </c>
      <c r="M31">
        <f t="shared" si="11"/>
        <v>4.8447040084948233E-2</v>
      </c>
      <c r="N31">
        <f t="shared" si="12"/>
        <v>1.5927794000530925E-2</v>
      </c>
      <c r="O31">
        <f t="shared" si="13"/>
        <v>0.18927528537297583</v>
      </c>
    </row>
    <row r="32" spans="1:15" x14ac:dyDescent="0.2">
      <c r="A32">
        <v>2020</v>
      </c>
      <c r="B32">
        <v>5.2</v>
      </c>
      <c r="C32">
        <v>1.58</v>
      </c>
      <c r="D32">
        <v>50.91</v>
      </c>
      <c r="E32">
        <v>4.34</v>
      </c>
      <c r="F32">
        <v>1.35</v>
      </c>
      <c r="G32">
        <v>13.23</v>
      </c>
      <c r="H32">
        <f t="shared" si="7"/>
        <v>76.61</v>
      </c>
      <c r="J32">
        <f t="shared" si="8"/>
        <v>6.7876256363399043E-2</v>
      </c>
      <c r="K32">
        <f t="shared" si="9"/>
        <v>2.0623939433494325E-2</v>
      </c>
      <c r="L32">
        <f t="shared" si="10"/>
        <v>0.66453465605012396</v>
      </c>
      <c r="M32">
        <f t="shared" si="11"/>
        <v>5.6650567810990732E-2</v>
      </c>
      <c r="N32">
        <f t="shared" si="12"/>
        <v>1.762172040203629E-2</v>
      </c>
      <c r="O32">
        <f t="shared" si="13"/>
        <v>0.17269285993995562</v>
      </c>
    </row>
    <row r="33" spans="1:15" x14ac:dyDescent="0.2">
      <c r="A33">
        <v>2021</v>
      </c>
      <c r="B33">
        <v>6.26</v>
      </c>
      <c r="C33">
        <v>1.69</v>
      </c>
      <c r="D33">
        <v>42.68</v>
      </c>
      <c r="E33">
        <v>8.84</v>
      </c>
      <c r="F33">
        <v>1.39</v>
      </c>
      <c r="G33">
        <v>13.78</v>
      </c>
      <c r="H33">
        <f t="shared" si="7"/>
        <v>74.64</v>
      </c>
      <c r="J33">
        <f t="shared" si="8"/>
        <v>8.3869239013933547E-2</v>
      </c>
      <c r="K33">
        <f t="shared" si="9"/>
        <v>2.2642015005359055E-2</v>
      </c>
      <c r="L33">
        <f t="shared" si="10"/>
        <v>0.57181136120042875</v>
      </c>
      <c r="M33">
        <f t="shared" si="11"/>
        <v>0.11843515541264737</v>
      </c>
      <c r="N33">
        <f t="shared" si="12"/>
        <v>1.8622722400857449E-2</v>
      </c>
      <c r="O33">
        <f t="shared" si="13"/>
        <v>0.18461950696677384</v>
      </c>
    </row>
    <row r="34" spans="1:15" x14ac:dyDescent="0.2">
      <c r="A34">
        <v>2022</v>
      </c>
      <c r="B34">
        <v>4.74</v>
      </c>
      <c r="C34">
        <v>1.49</v>
      </c>
      <c r="D34">
        <v>49.49</v>
      </c>
      <c r="E34">
        <v>3.15</v>
      </c>
      <c r="F34">
        <v>1.17</v>
      </c>
      <c r="G34">
        <v>13.9</v>
      </c>
      <c r="H34">
        <f t="shared" si="7"/>
        <v>73.94</v>
      </c>
      <c r="J34">
        <f t="shared" si="8"/>
        <v>6.4106031917771172E-2</v>
      </c>
      <c r="K34">
        <f t="shared" si="9"/>
        <v>2.0151474168244522E-2</v>
      </c>
      <c r="L34">
        <f t="shared" si="10"/>
        <v>0.66932648093048419</v>
      </c>
      <c r="M34">
        <f t="shared" si="11"/>
        <v>4.260210981877198E-2</v>
      </c>
      <c r="N34">
        <f t="shared" si="12"/>
        <v>1.5823640789829591E-2</v>
      </c>
      <c r="O34">
        <f t="shared" si="13"/>
        <v>0.18799026237489858</v>
      </c>
    </row>
    <row r="35" spans="1:15" x14ac:dyDescent="0.2">
      <c r="A35">
        <v>2023</v>
      </c>
      <c r="B35">
        <v>4.78</v>
      </c>
      <c r="C35">
        <v>1.69</v>
      </c>
      <c r="D35">
        <v>46.52</v>
      </c>
      <c r="E35">
        <v>1.65</v>
      </c>
      <c r="F35">
        <v>1.35</v>
      </c>
      <c r="G35">
        <v>15.28</v>
      </c>
      <c r="H35">
        <f t="shared" si="7"/>
        <v>71.27</v>
      </c>
      <c r="J35">
        <f t="shared" si="8"/>
        <v>6.7068892942331981E-2</v>
      </c>
      <c r="K35">
        <f t="shared" si="9"/>
        <v>2.3712642065385155E-2</v>
      </c>
      <c r="L35">
        <f t="shared" si="10"/>
        <v>0.65272905850989205</v>
      </c>
      <c r="M35">
        <f t="shared" si="11"/>
        <v>2.3151396099340537E-2</v>
      </c>
      <c r="N35">
        <f t="shared" si="12"/>
        <v>1.8942051354005895E-2</v>
      </c>
      <c r="O35">
        <f t="shared" si="13"/>
        <v>0.21439595902904449</v>
      </c>
    </row>
    <row r="36" spans="1:15" x14ac:dyDescent="0.2">
      <c r="A36">
        <v>2024</v>
      </c>
      <c r="B36">
        <v>4.8499999999999996</v>
      </c>
      <c r="C36">
        <v>1.97</v>
      </c>
      <c r="D36">
        <v>43.87</v>
      </c>
      <c r="E36">
        <v>2.08</v>
      </c>
      <c r="F36">
        <v>1.35</v>
      </c>
      <c r="G36">
        <v>16.86</v>
      </c>
      <c r="H36">
        <f t="shared" si="7"/>
        <v>70.97999999999999</v>
      </c>
      <c r="J36">
        <f t="shared" si="8"/>
        <v>6.8329106790645258E-2</v>
      </c>
      <c r="K36">
        <f t="shared" si="9"/>
        <v>2.7754296985066221E-2</v>
      </c>
      <c r="L36">
        <f t="shared" si="10"/>
        <v>0.61806142575373346</v>
      </c>
      <c r="M36">
        <f t="shared" si="11"/>
        <v>2.9304029304029311E-2</v>
      </c>
      <c r="N36">
        <f t="shared" si="12"/>
        <v>1.9019442096365177E-2</v>
      </c>
      <c r="O36">
        <f t="shared" si="13"/>
        <v>0.23753169907016064</v>
      </c>
    </row>
    <row r="37" spans="1:15" x14ac:dyDescent="0.2">
      <c r="A37">
        <v>2025</v>
      </c>
      <c r="B37">
        <v>2.57</v>
      </c>
      <c r="C37">
        <v>2.0299999999999998</v>
      </c>
      <c r="D37">
        <v>46.74</v>
      </c>
      <c r="E37">
        <v>1.54</v>
      </c>
      <c r="F37">
        <v>1.5</v>
      </c>
      <c r="G37">
        <v>15.36</v>
      </c>
      <c r="H37">
        <f t="shared" si="7"/>
        <v>69.740000000000009</v>
      </c>
      <c r="J37">
        <f t="shared" si="8"/>
        <v>3.6851161456839684E-2</v>
      </c>
      <c r="K37">
        <f t="shared" si="9"/>
        <v>2.9108115858904497E-2</v>
      </c>
      <c r="L37">
        <f t="shared" si="10"/>
        <v>0.67020361342127899</v>
      </c>
      <c r="M37">
        <f t="shared" si="11"/>
        <v>2.2082018927444793E-2</v>
      </c>
      <c r="N37">
        <f t="shared" si="12"/>
        <v>2.1508459994264408E-2</v>
      </c>
      <c r="O37">
        <f t="shared" si="13"/>
        <v>0.22024663034126754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3542-B0D1-3442-943C-9EFC37C5419A}">
  <dimension ref="A1:G37"/>
  <sheetViews>
    <sheetView workbookViewId="0">
      <selection activeCell="O25" sqref="O25"/>
    </sheetView>
  </sheetViews>
  <sheetFormatPr baseColWidth="10" defaultRowHeight="16" x14ac:dyDescent="0.2"/>
  <sheetData>
    <row r="1" spans="1:7" x14ac:dyDescent="0.2">
      <c r="A1" s="2" t="s">
        <v>0</v>
      </c>
      <c r="B1" t="s">
        <v>6</v>
      </c>
      <c r="C1" t="s">
        <v>3</v>
      </c>
      <c r="D1" t="s">
        <v>5</v>
      </c>
      <c r="E1" t="s">
        <v>2</v>
      </c>
      <c r="F1" t="s">
        <v>4</v>
      </c>
      <c r="G1" t="s">
        <v>9</v>
      </c>
    </row>
    <row r="2" spans="1:7" x14ac:dyDescent="0.2">
      <c r="A2">
        <v>1990</v>
      </c>
      <c r="B2">
        <v>1.0916125466353462E-2</v>
      </c>
      <c r="C2">
        <v>4.1729998618211965E-2</v>
      </c>
      <c r="D2">
        <v>0.72847865137487899</v>
      </c>
      <c r="E2">
        <v>2.9155727511399748E-2</v>
      </c>
      <c r="F2">
        <v>2.3628575376537238E-2</v>
      </c>
      <c r="G2">
        <v>0.16609092165261846</v>
      </c>
    </row>
    <row r="3" spans="1:7" x14ac:dyDescent="0.2">
      <c r="A3">
        <v>1991</v>
      </c>
      <c r="B3">
        <v>7.3619631901840499E-3</v>
      </c>
      <c r="C3">
        <v>3.9263803680981597E-2</v>
      </c>
      <c r="D3">
        <v>0.75541922290388552</v>
      </c>
      <c r="E3">
        <v>2.862985685071575E-2</v>
      </c>
      <c r="F3">
        <v>2.0586230402181323E-2</v>
      </c>
      <c r="G3">
        <v>0.14873892297205182</v>
      </c>
    </row>
    <row r="4" spans="1:7" x14ac:dyDescent="0.2">
      <c r="A4">
        <v>1992</v>
      </c>
      <c r="B4">
        <v>7.5435468385680986E-3</v>
      </c>
      <c r="C4">
        <v>3.6209024825126869E-2</v>
      </c>
      <c r="D4">
        <v>0.75641201481278286</v>
      </c>
      <c r="E4">
        <v>2.7568234810039772E-2</v>
      </c>
      <c r="F4">
        <v>1.9613221780277055E-2</v>
      </c>
      <c r="G4">
        <v>0.15265395693320533</v>
      </c>
    </row>
    <row r="5" spans="1:7" x14ac:dyDescent="0.2">
      <c r="A5">
        <v>1993</v>
      </c>
      <c r="B5">
        <v>1.3753012902311073E-2</v>
      </c>
      <c r="C5">
        <v>4.1259038706933218E-2</v>
      </c>
      <c r="D5">
        <v>0.70097830710336018</v>
      </c>
      <c r="E5">
        <v>3.6438395009215932E-2</v>
      </c>
      <c r="F5">
        <v>2.1976463916064087E-2</v>
      </c>
      <c r="G5">
        <v>0.18559478236211541</v>
      </c>
    </row>
    <row r="6" spans="1:7" x14ac:dyDescent="0.2">
      <c r="A6">
        <v>1994</v>
      </c>
      <c r="B6">
        <v>1.2640644533963052E-2</v>
      </c>
      <c r="C6">
        <v>4.2089179052646204E-2</v>
      </c>
      <c r="D6">
        <v>0.70607028753993617</v>
      </c>
      <c r="E6">
        <v>3.1948881789137379E-2</v>
      </c>
      <c r="F6">
        <v>2.3336574524239477E-2</v>
      </c>
      <c r="G6">
        <v>0.18391443256007781</v>
      </c>
    </row>
    <row r="7" spans="1:7" x14ac:dyDescent="0.2">
      <c r="A7">
        <v>1995</v>
      </c>
      <c r="B7">
        <v>0.42476159689671894</v>
      </c>
      <c r="C7">
        <v>2.4971714886051394E-2</v>
      </c>
      <c r="D7">
        <v>0.42476159689671894</v>
      </c>
      <c r="E7">
        <v>1.5516405366090188E-2</v>
      </c>
      <c r="F7">
        <v>1.3253596250202036E-2</v>
      </c>
      <c r="G7">
        <v>9.6735089704218527E-2</v>
      </c>
    </row>
    <row r="8" spans="1:7" x14ac:dyDescent="0.2">
      <c r="A8">
        <v>1996</v>
      </c>
      <c r="B8">
        <v>1.0671159786576805E-2</v>
      </c>
      <c r="C8">
        <v>4.0718899185622014E-2</v>
      </c>
      <c r="D8">
        <v>0.72704296545914071</v>
      </c>
      <c r="E8">
        <v>2.8503229429935408E-2</v>
      </c>
      <c r="F8">
        <v>2.457174950856501E-2</v>
      </c>
      <c r="G8">
        <v>0.16849199663016007</v>
      </c>
    </row>
    <row r="9" spans="1:7" x14ac:dyDescent="0.2">
      <c r="A9">
        <v>1997</v>
      </c>
      <c r="B9">
        <v>1.0766397506728998E-2</v>
      </c>
      <c r="C9">
        <v>4.0657316900410821E-2</v>
      </c>
      <c r="D9">
        <v>0.71426547669641594</v>
      </c>
      <c r="E9">
        <v>2.6491004391556879E-2</v>
      </c>
      <c r="F9">
        <v>2.3941068139963165E-2</v>
      </c>
      <c r="G9">
        <v>0.18387873636492422</v>
      </c>
    </row>
    <row r="10" spans="1:7" x14ac:dyDescent="0.2">
      <c r="A10">
        <v>1998</v>
      </c>
      <c r="B10">
        <v>9.6642929806714135E-3</v>
      </c>
      <c r="C10">
        <v>2.8992878942014241E-2</v>
      </c>
      <c r="D10">
        <v>0.73969989827060023</v>
      </c>
      <c r="E10">
        <v>2.4923702950152594E-2</v>
      </c>
      <c r="F10">
        <v>1.9837232960325534E-2</v>
      </c>
      <c r="G10">
        <v>0.17688199389623602</v>
      </c>
    </row>
    <row r="11" spans="1:7" x14ac:dyDescent="0.2">
      <c r="A11">
        <v>1999</v>
      </c>
      <c r="B11">
        <v>1.3954647395963121E-2</v>
      </c>
      <c r="C11">
        <v>2.7784699725890854E-2</v>
      </c>
      <c r="D11">
        <v>0.73311736855220533</v>
      </c>
      <c r="E11">
        <v>2.1056566159980063E-2</v>
      </c>
      <c r="F11">
        <v>1.794168950909544E-2</v>
      </c>
      <c r="G11">
        <v>0.18614502865686516</v>
      </c>
    </row>
    <row r="12" spans="1:7" x14ac:dyDescent="0.2">
      <c r="A12">
        <v>2000</v>
      </c>
      <c r="B12">
        <v>1.5813253012048195E-2</v>
      </c>
      <c r="C12">
        <v>2.9116465863453816E-2</v>
      </c>
      <c r="D12">
        <v>0.72238955823293183</v>
      </c>
      <c r="E12">
        <v>2.1209839357429719E-2</v>
      </c>
      <c r="F12">
        <v>1.8448795180722892E-2</v>
      </c>
      <c r="G12">
        <v>0.1930220883534137</v>
      </c>
    </row>
    <row r="13" spans="1:7" x14ac:dyDescent="0.2">
      <c r="A13">
        <v>2001</v>
      </c>
      <c r="B13">
        <v>1.6411926835379606E-2</v>
      </c>
      <c r="C13">
        <v>2.793786018541719E-2</v>
      </c>
      <c r="D13">
        <v>0.71961914307191188</v>
      </c>
      <c r="E13">
        <v>2.2550739163117017E-2</v>
      </c>
      <c r="F13">
        <v>1.6036081182660988E-2</v>
      </c>
      <c r="G13">
        <v>0.19744424956151341</v>
      </c>
    </row>
    <row r="14" spans="1:7" x14ac:dyDescent="0.2">
      <c r="A14">
        <v>2002</v>
      </c>
      <c r="B14">
        <v>1.5424804080109466E-2</v>
      </c>
      <c r="C14">
        <v>2.4878716258241073E-2</v>
      </c>
      <c r="D14">
        <v>0.7319318323174524</v>
      </c>
      <c r="E14">
        <v>1.9529792262719243E-2</v>
      </c>
      <c r="F14">
        <v>1.5549197661400671E-2</v>
      </c>
      <c r="G14">
        <v>0.19268565742007712</v>
      </c>
    </row>
    <row r="15" spans="1:7" x14ac:dyDescent="0.2">
      <c r="A15">
        <v>2003</v>
      </c>
      <c r="B15">
        <v>1.5076002990281586E-2</v>
      </c>
      <c r="C15">
        <v>2.4669823075006231E-2</v>
      </c>
      <c r="D15">
        <v>0.74233740343882393</v>
      </c>
      <c r="E15">
        <v>1.7567904310989285E-2</v>
      </c>
      <c r="F15">
        <v>1.5823573386493896E-2</v>
      </c>
      <c r="G15">
        <v>0.18452529279840521</v>
      </c>
    </row>
    <row r="16" spans="1:7" x14ac:dyDescent="0.2">
      <c r="A16">
        <v>2004</v>
      </c>
      <c r="B16">
        <v>1.7535070140280558E-2</v>
      </c>
      <c r="C16">
        <v>2.4549098196392782E-2</v>
      </c>
      <c r="D16">
        <v>0.74774549098196397</v>
      </c>
      <c r="E16">
        <v>1.7409819639278554E-2</v>
      </c>
      <c r="F16">
        <v>1.6658316633266532E-2</v>
      </c>
      <c r="G16">
        <v>0.17610220440881763</v>
      </c>
    </row>
    <row r="17" spans="1:7" x14ac:dyDescent="0.2">
      <c r="A17">
        <v>2005</v>
      </c>
      <c r="B17">
        <v>1.9058437460557867E-2</v>
      </c>
      <c r="C17">
        <v>2.3223526442004292E-2</v>
      </c>
      <c r="D17">
        <v>0.73924018679793002</v>
      </c>
      <c r="E17">
        <v>1.9310867095797046E-2</v>
      </c>
      <c r="F17">
        <v>1.7417644831503216E-2</v>
      </c>
      <c r="G17">
        <v>0.1817493373722075</v>
      </c>
    </row>
    <row r="18" spans="1:7" x14ac:dyDescent="0.2">
      <c r="A18">
        <v>2006</v>
      </c>
      <c r="B18">
        <v>2.0700037636432064E-2</v>
      </c>
      <c r="C18">
        <v>2.1201856730648599E-2</v>
      </c>
      <c r="D18">
        <v>0.75059591017438199</v>
      </c>
      <c r="E18">
        <v>1.7689123071132854E-2</v>
      </c>
      <c r="F18">
        <v>1.5807301467820851E-2</v>
      </c>
      <c r="G18">
        <v>0.17400577091958347</v>
      </c>
    </row>
    <row r="19" spans="1:7" x14ac:dyDescent="0.2">
      <c r="A19">
        <v>2007</v>
      </c>
      <c r="B19">
        <v>2.2199670176328807E-2</v>
      </c>
      <c r="C19">
        <v>2.1438538627426104E-2</v>
      </c>
      <c r="D19">
        <v>0.75149054928326775</v>
      </c>
      <c r="E19">
        <v>1.9028288722567548E-2</v>
      </c>
      <c r="F19">
        <v>2.0423696562222503E-2</v>
      </c>
      <c r="G19">
        <v>0.16541925662818721</v>
      </c>
    </row>
    <row r="20" spans="1:7" x14ac:dyDescent="0.2">
      <c r="A20">
        <v>2008</v>
      </c>
      <c r="B20">
        <v>2.5997660210581044E-2</v>
      </c>
      <c r="C20">
        <v>2.0278174964253215E-2</v>
      </c>
      <c r="D20">
        <v>0.7486026257636812</v>
      </c>
      <c r="E20">
        <v>1.8718315351618352E-2</v>
      </c>
      <c r="F20">
        <v>2.3917847393734561E-2</v>
      </c>
      <c r="G20">
        <v>0.16248537631613152</v>
      </c>
    </row>
    <row r="21" spans="1:7" x14ac:dyDescent="0.2">
      <c r="A21">
        <v>2009</v>
      </c>
      <c r="B21">
        <v>2.8582615505090052E-2</v>
      </c>
      <c r="C21">
        <v>2.0621247716001045E-2</v>
      </c>
      <c r="D21">
        <v>0.73505612111720176</v>
      </c>
      <c r="E21">
        <v>2.1665361524406158E-2</v>
      </c>
      <c r="F21">
        <v>1.8663534325241451E-2</v>
      </c>
      <c r="G21">
        <v>0.17541111981205951</v>
      </c>
    </row>
    <row r="22" spans="1:7" x14ac:dyDescent="0.2">
      <c r="A22">
        <v>2010</v>
      </c>
      <c r="B22">
        <v>3.7041919325072503E-2</v>
      </c>
      <c r="C22">
        <v>2.0959662536250988E-2</v>
      </c>
      <c r="D22">
        <v>0.73437911943052991</v>
      </c>
      <c r="E22">
        <v>2.293698919061429E-2</v>
      </c>
      <c r="F22">
        <v>1.8586870551015027E-2</v>
      </c>
      <c r="G22">
        <v>0.16609543896651727</v>
      </c>
    </row>
    <row r="23" spans="1:7" x14ac:dyDescent="0.2">
      <c r="A23">
        <v>2011</v>
      </c>
      <c r="B23">
        <v>4.1326664911818897E-2</v>
      </c>
      <c r="C23">
        <v>2.0663332455909449E-2</v>
      </c>
      <c r="D23">
        <v>0.75006580679126089</v>
      </c>
      <c r="E23">
        <v>2.1189786785996315E-2</v>
      </c>
      <c r="F23">
        <v>2.0926559620952884E-2</v>
      </c>
      <c r="G23">
        <v>0.1458278494340616</v>
      </c>
    </row>
    <row r="24" spans="1:7" x14ac:dyDescent="0.2">
      <c r="A24">
        <v>2012</v>
      </c>
      <c r="B24">
        <v>4.9034175334323922E-2</v>
      </c>
      <c r="C24">
        <v>2.1207618533027151E-2</v>
      </c>
      <c r="D24">
        <v>0.70674051060380927</v>
      </c>
      <c r="E24">
        <v>4.1199513710657838E-2</v>
      </c>
      <c r="F24">
        <v>2.1477779278670811E-2</v>
      </c>
      <c r="G24">
        <v>0.16034040253951098</v>
      </c>
    </row>
    <row r="25" spans="1:7" x14ac:dyDescent="0.2">
      <c r="A25">
        <v>2013</v>
      </c>
      <c r="B25">
        <v>4.7687861271676305E-2</v>
      </c>
      <c r="C25">
        <v>1.6552811350499214E-2</v>
      </c>
      <c r="D25">
        <v>0.61205990541250666</v>
      </c>
      <c r="E25">
        <v>0.1751182343667893</v>
      </c>
      <c r="F25">
        <v>1.5895953757225436E-2</v>
      </c>
      <c r="G25">
        <v>0.13268523384130321</v>
      </c>
    </row>
    <row r="26" spans="1:7" x14ac:dyDescent="0.2">
      <c r="A26">
        <v>2014</v>
      </c>
      <c r="B26">
        <v>6.4409905163329825E-2</v>
      </c>
      <c r="C26">
        <v>1.7518440463645948E-2</v>
      </c>
      <c r="D26">
        <v>0.66095890410958913</v>
      </c>
      <c r="E26">
        <v>9.2465753424657543E-2</v>
      </c>
      <c r="F26">
        <v>1.5937829293993681E-2</v>
      </c>
      <c r="G26">
        <v>0.148709167544784</v>
      </c>
    </row>
    <row r="27" spans="1:7" x14ac:dyDescent="0.2">
      <c r="A27">
        <v>2015</v>
      </c>
      <c r="B27">
        <v>5.7923208866605083E-2</v>
      </c>
      <c r="C27">
        <v>2.0055416281831374E-2</v>
      </c>
      <c r="D27">
        <v>0.62857896820160963</v>
      </c>
      <c r="E27">
        <v>9.8693759071117562E-2</v>
      </c>
      <c r="F27">
        <v>1.7284602190262566E-2</v>
      </c>
      <c r="G27">
        <v>0.17746404538857366</v>
      </c>
    </row>
    <row r="28" spans="1:7" x14ac:dyDescent="0.2">
      <c r="A28">
        <v>2016</v>
      </c>
      <c r="B28">
        <v>6.1428571428571437E-2</v>
      </c>
      <c r="C28">
        <v>2.1428571428571429E-2</v>
      </c>
      <c r="D28">
        <v>0.65714285714285714</v>
      </c>
      <c r="E28">
        <v>6.2597402597402596E-2</v>
      </c>
      <c r="F28">
        <v>1.8571428571428572E-2</v>
      </c>
      <c r="G28">
        <v>0.17883116883116881</v>
      </c>
    </row>
    <row r="29" spans="1:7" x14ac:dyDescent="0.2">
      <c r="A29">
        <v>2017</v>
      </c>
      <c r="B29">
        <v>6.8689256632519055E-2</v>
      </c>
      <c r="C29">
        <v>2.180194378775939E-2</v>
      </c>
      <c r="D29">
        <v>0.66798003677436302</v>
      </c>
      <c r="E29">
        <v>5.9889676910953503E-2</v>
      </c>
      <c r="F29">
        <v>1.7205148410822171E-2</v>
      </c>
      <c r="G29">
        <v>0.16443393748358287</v>
      </c>
    </row>
    <row r="30" spans="1:7" x14ac:dyDescent="0.2">
      <c r="A30">
        <v>2018</v>
      </c>
      <c r="B30">
        <v>6.7048786990135972E-2</v>
      </c>
      <c r="C30">
        <v>2.3060517195414559E-2</v>
      </c>
      <c r="D30">
        <v>0.64956011730205276</v>
      </c>
      <c r="E30">
        <v>7.3580378565715809E-2</v>
      </c>
      <c r="F30">
        <v>1.6129032258064516E-2</v>
      </c>
      <c r="G30">
        <v>0.17062116768861638</v>
      </c>
    </row>
    <row r="31" spans="1:7" x14ac:dyDescent="0.2">
      <c r="A31">
        <v>2019</v>
      </c>
      <c r="B31">
        <v>7.1276878152375892E-2</v>
      </c>
      <c r="C31">
        <v>2.4422617467480753E-2</v>
      </c>
      <c r="D31">
        <v>0.65065038492168836</v>
      </c>
      <c r="E31">
        <v>4.8447040084948233E-2</v>
      </c>
      <c r="F31">
        <v>1.5927794000530925E-2</v>
      </c>
      <c r="G31">
        <v>0.18927528537297583</v>
      </c>
    </row>
    <row r="32" spans="1:7" x14ac:dyDescent="0.2">
      <c r="A32">
        <v>2020</v>
      </c>
      <c r="B32">
        <v>6.7876256363399043E-2</v>
      </c>
      <c r="C32">
        <v>2.0623939433494325E-2</v>
      </c>
      <c r="D32">
        <v>0.66453465605012396</v>
      </c>
      <c r="E32">
        <v>5.6650567810990732E-2</v>
      </c>
      <c r="F32">
        <v>1.762172040203629E-2</v>
      </c>
      <c r="G32">
        <v>0.17269285993995562</v>
      </c>
    </row>
    <row r="33" spans="1:7" x14ac:dyDescent="0.2">
      <c r="A33">
        <v>2021</v>
      </c>
      <c r="B33">
        <v>8.3869239013933547E-2</v>
      </c>
      <c r="C33">
        <v>2.2642015005359055E-2</v>
      </c>
      <c r="D33">
        <v>0.57181136120042875</v>
      </c>
      <c r="E33">
        <v>0.11843515541264737</v>
      </c>
      <c r="F33">
        <v>1.8622722400857449E-2</v>
      </c>
      <c r="G33">
        <v>0.18461950696677384</v>
      </c>
    </row>
    <row r="34" spans="1:7" x14ac:dyDescent="0.2">
      <c r="A34">
        <v>2022</v>
      </c>
      <c r="B34">
        <v>6.4106031917771172E-2</v>
      </c>
      <c r="C34">
        <v>2.0151474168244522E-2</v>
      </c>
      <c r="D34">
        <v>0.66932648093048419</v>
      </c>
      <c r="E34">
        <v>4.260210981877198E-2</v>
      </c>
      <c r="F34">
        <v>1.5823640789829591E-2</v>
      </c>
      <c r="G34">
        <v>0.18799026237489858</v>
      </c>
    </row>
    <row r="35" spans="1:7" x14ac:dyDescent="0.2">
      <c r="A35">
        <v>2023</v>
      </c>
      <c r="B35">
        <v>6.7068892942331981E-2</v>
      </c>
      <c r="C35">
        <v>2.3712642065385155E-2</v>
      </c>
      <c r="D35">
        <v>0.65272905850989205</v>
      </c>
      <c r="E35">
        <v>2.3151396099340537E-2</v>
      </c>
      <c r="F35">
        <v>1.8942051354005895E-2</v>
      </c>
      <c r="G35">
        <v>0.21439595902904449</v>
      </c>
    </row>
    <row r="36" spans="1:7" x14ac:dyDescent="0.2">
      <c r="A36">
        <v>2024</v>
      </c>
      <c r="B36">
        <v>6.8329106790645258E-2</v>
      </c>
      <c r="C36">
        <v>2.7754296985066221E-2</v>
      </c>
      <c r="D36">
        <v>0.61806142575373346</v>
      </c>
      <c r="E36">
        <v>2.9304029304029311E-2</v>
      </c>
      <c r="F36">
        <v>1.9019442096365177E-2</v>
      </c>
      <c r="G36">
        <v>0.23753169907016064</v>
      </c>
    </row>
    <row r="37" spans="1:7" x14ac:dyDescent="0.2">
      <c r="A37">
        <v>2025</v>
      </c>
      <c r="B37">
        <v>3.6851161456839684E-2</v>
      </c>
      <c r="C37">
        <v>2.9108115858904497E-2</v>
      </c>
      <c r="D37">
        <v>0.67020361342127899</v>
      </c>
      <c r="E37">
        <v>2.2082018927444793E-2</v>
      </c>
      <c r="F37">
        <v>2.1508459994264408E-2</v>
      </c>
      <c r="G37">
        <v>0.22024663034126754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FB4C6A-74B9-46B6-9B82-4DE55E8105EA}"/>
</file>

<file path=customXml/itemProps2.xml><?xml version="1.0" encoding="utf-8"?>
<ds:datastoreItem xmlns:ds="http://schemas.openxmlformats.org/officeDocument/2006/customXml" ds:itemID="{D370672C-A94F-43F3-9B13-72EC4D961689}"/>
</file>

<file path=customXml/itemProps3.xml><?xml version="1.0" encoding="utf-8"?>
<ds:datastoreItem xmlns:ds="http://schemas.openxmlformats.org/officeDocument/2006/customXml" ds:itemID="{63DE1BD6-FF2E-452C-8169-65597A390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 Exports</vt:lpstr>
      <vt:lpstr>US</vt:lpstr>
      <vt:lpstr>Japan Exports</vt:lpstr>
      <vt:lpstr>JP</vt:lpstr>
      <vt:lpstr>Switzerland Exports</vt:lpstr>
      <vt:lpstr>CH</vt:lpstr>
      <vt:lpstr>Australia Exports</vt:lpstr>
      <vt:lpstr>AU</vt:lpstr>
      <vt:lpstr>EM Exports</vt:lpstr>
      <vt:lpstr>EM</vt:lpstr>
      <vt:lpstr>Eurozone Exports</vt:lpstr>
      <vt:lpstr>EU</vt:lpstr>
      <vt:lpstr>UK Exports</vt:lpstr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Yo</dc:creator>
  <cp:lastModifiedBy>Ryan Yo</cp:lastModifiedBy>
  <dcterms:created xsi:type="dcterms:W3CDTF">2025-12-03T16:43:27Z</dcterms:created>
  <dcterms:modified xsi:type="dcterms:W3CDTF">2025-12-07T10:01:18Z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</Properties>
</file>